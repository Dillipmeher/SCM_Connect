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ell\Mohit\Training\SCM Training\Case Studies\Location Planning\"/>
    </mc:Choice>
  </mc:AlternateContent>
  <xr:revisionPtr revIDLastSave="0" documentId="13_ncr:1_{FBE43B6A-0F4D-4118-9080-52DFD5C5466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seStudy" sheetId="2" r:id="rId1"/>
    <sheet name="Data" sheetId="3" r:id="rId2"/>
    <sheet name="Solution" sheetId="4" r:id="rId3"/>
  </sheets>
  <definedNames>
    <definedName name="OpenSolver_ChosenSolver" localSheetId="2" hidden="1">CBC</definedName>
    <definedName name="OpenSolver_DualsNewSheet" localSheetId="2" hidden="1">0</definedName>
    <definedName name="OpenSolver_LinearityCheck" localSheetId="2" hidden="1">1</definedName>
    <definedName name="OpenSolver_UpdateSensitivity" localSheetId="2" hidden="1">1</definedName>
    <definedName name="_xlnm.Print_Area" localSheetId="0">CaseStudy!$A$1:$I$34</definedName>
    <definedName name="solver_adj" localSheetId="2" hidden="1">Solution!$B$50:$X$50,Solution!$B$84:$ES$106,Solution!$EV$84:$EV$106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Solution!$E$3</definedName>
    <definedName name="solver_lhs10" localSheetId="2" hidden="1">Solution!$EV$84:$EV$106</definedName>
    <definedName name="solver_lhs11" localSheetId="2" hidden="1">Solution!$EV$107</definedName>
    <definedName name="solver_lhs2" localSheetId="2" hidden="1">Solution!$B$50:$X$50</definedName>
    <definedName name="solver_lhs3" localSheetId="2" hidden="1">Solution!$B$50:$X$50</definedName>
    <definedName name="solver_lhs4" localSheetId="2" hidden="1">Solution!$ET$84:$ET$106</definedName>
    <definedName name="solver_lhs5" localSheetId="2" hidden="1">Solution!$B$84:$ES$107</definedName>
    <definedName name="solver_lhs6" localSheetId="2" hidden="1">Solution!$E$3</definedName>
    <definedName name="solver_lhs7" localSheetId="2" hidden="1">Solution!$E$4</definedName>
    <definedName name="solver_lhs8" localSheetId="2" hidden="1">Solution!$E$5</definedName>
    <definedName name="solver_lhs9" localSheetId="2" hidden="1">Solution!$B$107:$ES$107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10</definedName>
    <definedName name="solver_nwt" localSheetId="2" hidden="1">1</definedName>
    <definedName name="solver_opt" localSheetId="2" hidden="1">Solution!$B$2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10" localSheetId="2" hidden="1">5</definedName>
    <definedName name="solver_rel11" localSheetId="2" hidden="1">2</definedName>
    <definedName name="solver_rel2" localSheetId="2" hidden="1">3</definedName>
    <definedName name="solver_rel3" localSheetId="2" hidden="1">2</definedName>
    <definedName name="solver_rel4" localSheetId="2" hidden="1">1</definedName>
    <definedName name="solver_rel5" localSheetId="2" hidden="1">3</definedName>
    <definedName name="solver_rel6" localSheetId="2" hidden="1">3</definedName>
    <definedName name="solver_rel7" localSheetId="2" hidden="1">1</definedName>
    <definedName name="solver_rel8" localSheetId="2" hidden="1">3</definedName>
    <definedName name="solver_rel9" localSheetId="2" hidden="1">3</definedName>
    <definedName name="solver_rhs1" localSheetId="2" hidden="1">Solution!$G$3</definedName>
    <definedName name="solver_rhs10" localSheetId="2" hidden="1">binary</definedName>
    <definedName name="solver_rhs11" localSheetId="2" hidden="1">Solution!$EV$108</definedName>
    <definedName name="solver_rhs2" localSheetId="2" hidden="1">0</definedName>
    <definedName name="solver_rhs3" localSheetId="2" hidden="1">Solution!$ET$84:$ET$106</definedName>
    <definedName name="solver_rhs4" localSheetId="2" hidden="1">Solution!$FA$84:$FA$106</definedName>
    <definedName name="solver_rhs5" localSheetId="2" hidden="1">0</definedName>
    <definedName name="solver_rhs6" localSheetId="2" hidden="1">Solution!$F$3</definedName>
    <definedName name="solver_rhs7" localSheetId="2" hidden="1">Solution!$G$4</definedName>
    <definedName name="solver_rhs8" localSheetId="2" hidden="1">Solution!$F$5</definedName>
    <definedName name="solver_rhs9" localSheetId="2" hidden="1">Solution!$B$15:$ES$15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4" l="1"/>
  <c r="BG151" i="4"/>
  <c r="ES132" i="4"/>
  <c r="ER132" i="4"/>
  <c r="EQ132" i="4"/>
  <c r="EP132" i="4"/>
  <c r="EO132" i="4"/>
  <c r="EN132" i="4"/>
  <c r="EM132" i="4"/>
  <c r="EL132" i="4"/>
  <c r="EK132" i="4"/>
  <c r="EJ132" i="4"/>
  <c r="EI132" i="4"/>
  <c r="EH132" i="4"/>
  <c r="EG132" i="4"/>
  <c r="EF132" i="4"/>
  <c r="EE132" i="4"/>
  <c r="ED132" i="4"/>
  <c r="EC132" i="4"/>
  <c r="EB132" i="4"/>
  <c r="EA132" i="4"/>
  <c r="DZ132" i="4"/>
  <c r="DY132" i="4"/>
  <c r="DX132" i="4"/>
  <c r="DW132" i="4"/>
  <c r="DV132" i="4"/>
  <c r="DU132" i="4"/>
  <c r="DT132" i="4"/>
  <c r="DS132" i="4"/>
  <c r="DR132" i="4"/>
  <c r="DQ132" i="4"/>
  <c r="DP132" i="4"/>
  <c r="DO132" i="4"/>
  <c r="DN132" i="4"/>
  <c r="DM132" i="4"/>
  <c r="DL132" i="4"/>
  <c r="DK132" i="4"/>
  <c r="DJ132" i="4"/>
  <c r="DI132" i="4"/>
  <c r="DH132" i="4"/>
  <c r="DG132" i="4"/>
  <c r="DF132" i="4"/>
  <c r="DE132" i="4"/>
  <c r="DD132" i="4"/>
  <c r="DC132" i="4"/>
  <c r="DB132" i="4"/>
  <c r="DA132" i="4"/>
  <c r="CZ132" i="4"/>
  <c r="CY132" i="4"/>
  <c r="CX132" i="4"/>
  <c r="CW132" i="4"/>
  <c r="CV132" i="4"/>
  <c r="CU132" i="4"/>
  <c r="CT132" i="4"/>
  <c r="CS132" i="4"/>
  <c r="CR132" i="4"/>
  <c r="CQ132" i="4"/>
  <c r="CP132" i="4"/>
  <c r="CO132" i="4"/>
  <c r="CN132" i="4"/>
  <c r="CM132" i="4"/>
  <c r="CL132" i="4"/>
  <c r="CK132" i="4"/>
  <c r="CJ132" i="4"/>
  <c r="CI132" i="4"/>
  <c r="CH132" i="4"/>
  <c r="CG132" i="4"/>
  <c r="CF132" i="4"/>
  <c r="CE132" i="4"/>
  <c r="CD132" i="4"/>
  <c r="CC132" i="4"/>
  <c r="CB132" i="4"/>
  <c r="CA132" i="4"/>
  <c r="BZ132" i="4"/>
  <c r="BY132" i="4"/>
  <c r="BX132" i="4"/>
  <c r="BW132" i="4"/>
  <c r="BV132" i="4"/>
  <c r="BU132" i="4"/>
  <c r="BT132" i="4"/>
  <c r="BS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ES131" i="4"/>
  <c r="ER131" i="4"/>
  <c r="EQ131" i="4"/>
  <c r="EP131" i="4"/>
  <c r="EO131" i="4"/>
  <c r="EN131" i="4"/>
  <c r="EM131" i="4"/>
  <c r="EL131" i="4"/>
  <c r="EK131" i="4"/>
  <c r="EJ131" i="4"/>
  <c r="EI131" i="4"/>
  <c r="EH131" i="4"/>
  <c r="EG131" i="4"/>
  <c r="EF131" i="4"/>
  <c r="EE131" i="4"/>
  <c r="ED131" i="4"/>
  <c r="EC131" i="4"/>
  <c r="EB131" i="4"/>
  <c r="EA131" i="4"/>
  <c r="DZ131" i="4"/>
  <c r="DY131" i="4"/>
  <c r="DX131" i="4"/>
  <c r="DW131" i="4"/>
  <c r="DV131" i="4"/>
  <c r="DU131" i="4"/>
  <c r="DT131" i="4"/>
  <c r="DS131" i="4"/>
  <c r="DR131" i="4"/>
  <c r="DQ131" i="4"/>
  <c r="DP131" i="4"/>
  <c r="DO131" i="4"/>
  <c r="DN131" i="4"/>
  <c r="DM131" i="4"/>
  <c r="DL131" i="4"/>
  <c r="DK131" i="4"/>
  <c r="DJ131" i="4"/>
  <c r="DI131" i="4"/>
  <c r="DH131" i="4"/>
  <c r="DG131" i="4"/>
  <c r="DF131" i="4"/>
  <c r="DE131" i="4"/>
  <c r="DD131" i="4"/>
  <c r="DC131" i="4"/>
  <c r="DB131" i="4"/>
  <c r="DA131" i="4"/>
  <c r="CZ131" i="4"/>
  <c r="CY131" i="4"/>
  <c r="CX131" i="4"/>
  <c r="CW131" i="4"/>
  <c r="CV131" i="4"/>
  <c r="CU131" i="4"/>
  <c r="CT131" i="4"/>
  <c r="CS131" i="4"/>
  <c r="CR131" i="4"/>
  <c r="CQ131" i="4"/>
  <c r="CP131" i="4"/>
  <c r="CO131" i="4"/>
  <c r="CN131" i="4"/>
  <c r="CM131" i="4"/>
  <c r="CL131" i="4"/>
  <c r="CK131" i="4"/>
  <c r="CJ131" i="4"/>
  <c r="CI131" i="4"/>
  <c r="CH131" i="4"/>
  <c r="CG131" i="4"/>
  <c r="CF131" i="4"/>
  <c r="CE131" i="4"/>
  <c r="CD131" i="4"/>
  <c r="CC131" i="4"/>
  <c r="CB131" i="4"/>
  <c r="CA131" i="4"/>
  <c r="BZ131" i="4"/>
  <c r="BY131" i="4"/>
  <c r="BX131" i="4"/>
  <c r="BW131" i="4"/>
  <c r="BV131" i="4"/>
  <c r="BU131" i="4"/>
  <c r="BT131" i="4"/>
  <c r="BS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ES130" i="4"/>
  <c r="ER130" i="4"/>
  <c r="EQ130" i="4"/>
  <c r="EP130" i="4"/>
  <c r="EO130" i="4"/>
  <c r="EN130" i="4"/>
  <c r="EM130" i="4"/>
  <c r="EL130" i="4"/>
  <c r="EK130" i="4"/>
  <c r="EJ130" i="4"/>
  <c r="EI130" i="4"/>
  <c r="EH130" i="4"/>
  <c r="EG130" i="4"/>
  <c r="EF130" i="4"/>
  <c r="EE130" i="4"/>
  <c r="ED130" i="4"/>
  <c r="EC130" i="4"/>
  <c r="EB130" i="4"/>
  <c r="EA130" i="4"/>
  <c r="DZ130" i="4"/>
  <c r="DY130" i="4"/>
  <c r="DX130" i="4"/>
  <c r="DW130" i="4"/>
  <c r="DV130" i="4"/>
  <c r="DU130" i="4"/>
  <c r="DT130" i="4"/>
  <c r="DS130" i="4"/>
  <c r="DR130" i="4"/>
  <c r="DQ130" i="4"/>
  <c r="DP130" i="4"/>
  <c r="DO130" i="4"/>
  <c r="DN130" i="4"/>
  <c r="DM130" i="4"/>
  <c r="DL130" i="4"/>
  <c r="DK130" i="4"/>
  <c r="DJ130" i="4"/>
  <c r="DI130" i="4"/>
  <c r="DH130" i="4"/>
  <c r="DG130" i="4"/>
  <c r="DF130" i="4"/>
  <c r="DE130" i="4"/>
  <c r="DD130" i="4"/>
  <c r="DC130" i="4"/>
  <c r="DB130" i="4"/>
  <c r="DA130" i="4"/>
  <c r="CZ130" i="4"/>
  <c r="CY130" i="4"/>
  <c r="CX130" i="4"/>
  <c r="CW130" i="4"/>
  <c r="CV130" i="4"/>
  <c r="CU130" i="4"/>
  <c r="CT130" i="4"/>
  <c r="CS130" i="4"/>
  <c r="CR130" i="4"/>
  <c r="CQ130" i="4"/>
  <c r="CP130" i="4"/>
  <c r="CO130" i="4"/>
  <c r="CN130" i="4"/>
  <c r="CM130" i="4"/>
  <c r="CL130" i="4"/>
  <c r="CK130" i="4"/>
  <c r="CJ130" i="4"/>
  <c r="CI130" i="4"/>
  <c r="CH130" i="4"/>
  <c r="CG130" i="4"/>
  <c r="CF130" i="4"/>
  <c r="CE130" i="4"/>
  <c r="CD130" i="4"/>
  <c r="CC130" i="4"/>
  <c r="CB130" i="4"/>
  <c r="CA130" i="4"/>
  <c r="BZ130" i="4"/>
  <c r="BY130" i="4"/>
  <c r="BX130" i="4"/>
  <c r="BW130" i="4"/>
  <c r="BV130" i="4"/>
  <c r="BU130" i="4"/>
  <c r="BT130" i="4"/>
  <c r="BS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ES129" i="4"/>
  <c r="ER129" i="4"/>
  <c r="EQ129" i="4"/>
  <c r="EP129" i="4"/>
  <c r="EO129" i="4"/>
  <c r="EN129" i="4"/>
  <c r="EM129" i="4"/>
  <c r="EL129" i="4"/>
  <c r="EK129" i="4"/>
  <c r="EJ129" i="4"/>
  <c r="EI129" i="4"/>
  <c r="EH129" i="4"/>
  <c r="EG129" i="4"/>
  <c r="EF129" i="4"/>
  <c r="EE129" i="4"/>
  <c r="ED129" i="4"/>
  <c r="EC129" i="4"/>
  <c r="EB129" i="4"/>
  <c r="EA129" i="4"/>
  <c r="DZ129" i="4"/>
  <c r="DY129" i="4"/>
  <c r="DX129" i="4"/>
  <c r="DW129" i="4"/>
  <c r="DV129" i="4"/>
  <c r="DU129" i="4"/>
  <c r="DT129" i="4"/>
  <c r="DS129" i="4"/>
  <c r="DR129" i="4"/>
  <c r="DQ129" i="4"/>
  <c r="DP129" i="4"/>
  <c r="DO129" i="4"/>
  <c r="DN129" i="4"/>
  <c r="DM129" i="4"/>
  <c r="DL129" i="4"/>
  <c r="DK129" i="4"/>
  <c r="DJ129" i="4"/>
  <c r="DI129" i="4"/>
  <c r="DH129" i="4"/>
  <c r="DG129" i="4"/>
  <c r="DF129" i="4"/>
  <c r="DE129" i="4"/>
  <c r="DD129" i="4"/>
  <c r="DC129" i="4"/>
  <c r="DB129" i="4"/>
  <c r="DA129" i="4"/>
  <c r="CZ129" i="4"/>
  <c r="CY129" i="4"/>
  <c r="CX129" i="4"/>
  <c r="CW129" i="4"/>
  <c r="CV129" i="4"/>
  <c r="CU129" i="4"/>
  <c r="CT129" i="4"/>
  <c r="CS129" i="4"/>
  <c r="CR129" i="4"/>
  <c r="CQ129" i="4"/>
  <c r="CP129" i="4"/>
  <c r="CO129" i="4"/>
  <c r="CN129" i="4"/>
  <c r="CM129" i="4"/>
  <c r="CL129" i="4"/>
  <c r="CK129" i="4"/>
  <c r="CJ129" i="4"/>
  <c r="CI129" i="4"/>
  <c r="CH129" i="4"/>
  <c r="CG129" i="4"/>
  <c r="CF129" i="4"/>
  <c r="CE129" i="4"/>
  <c r="CD129" i="4"/>
  <c r="CC129" i="4"/>
  <c r="CB129" i="4"/>
  <c r="CA129" i="4"/>
  <c r="BZ129" i="4"/>
  <c r="BY129" i="4"/>
  <c r="BX129" i="4"/>
  <c r="BW129" i="4"/>
  <c r="BV129" i="4"/>
  <c r="BU129" i="4"/>
  <c r="BT129" i="4"/>
  <c r="BS129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ES128" i="4"/>
  <c r="ER128" i="4"/>
  <c r="EQ128" i="4"/>
  <c r="EP128" i="4"/>
  <c r="EO128" i="4"/>
  <c r="EN128" i="4"/>
  <c r="EM128" i="4"/>
  <c r="EL128" i="4"/>
  <c r="EK128" i="4"/>
  <c r="EJ128" i="4"/>
  <c r="EI128" i="4"/>
  <c r="EH128" i="4"/>
  <c r="EG128" i="4"/>
  <c r="EF128" i="4"/>
  <c r="EE128" i="4"/>
  <c r="ED128" i="4"/>
  <c r="EC128" i="4"/>
  <c r="EB128" i="4"/>
  <c r="EA128" i="4"/>
  <c r="DZ128" i="4"/>
  <c r="DY128" i="4"/>
  <c r="DX128" i="4"/>
  <c r="DW128" i="4"/>
  <c r="DV128" i="4"/>
  <c r="DU128" i="4"/>
  <c r="DT128" i="4"/>
  <c r="DS128" i="4"/>
  <c r="DR128" i="4"/>
  <c r="DQ128" i="4"/>
  <c r="DP128" i="4"/>
  <c r="DO128" i="4"/>
  <c r="DN128" i="4"/>
  <c r="DM128" i="4"/>
  <c r="DL128" i="4"/>
  <c r="DK128" i="4"/>
  <c r="DJ128" i="4"/>
  <c r="DI128" i="4"/>
  <c r="DH128" i="4"/>
  <c r="DG128" i="4"/>
  <c r="DF128" i="4"/>
  <c r="DE128" i="4"/>
  <c r="DD128" i="4"/>
  <c r="DC128" i="4"/>
  <c r="DB128" i="4"/>
  <c r="DA128" i="4"/>
  <c r="CZ128" i="4"/>
  <c r="CY128" i="4"/>
  <c r="CX128" i="4"/>
  <c r="CW128" i="4"/>
  <c r="CV128" i="4"/>
  <c r="CU128" i="4"/>
  <c r="CT128" i="4"/>
  <c r="CS128" i="4"/>
  <c r="CR128" i="4"/>
  <c r="CQ128" i="4"/>
  <c r="CP128" i="4"/>
  <c r="CO128" i="4"/>
  <c r="CN128" i="4"/>
  <c r="CM128" i="4"/>
  <c r="CL128" i="4"/>
  <c r="CK128" i="4"/>
  <c r="CJ128" i="4"/>
  <c r="CI128" i="4"/>
  <c r="CH128" i="4"/>
  <c r="CG128" i="4"/>
  <c r="CF128" i="4"/>
  <c r="CE128" i="4"/>
  <c r="CD128" i="4"/>
  <c r="CC128" i="4"/>
  <c r="CB128" i="4"/>
  <c r="CA128" i="4"/>
  <c r="BZ128" i="4"/>
  <c r="BY128" i="4"/>
  <c r="BX128" i="4"/>
  <c r="BW128" i="4"/>
  <c r="BV128" i="4"/>
  <c r="BU128" i="4"/>
  <c r="BT128" i="4"/>
  <c r="BS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ES127" i="4"/>
  <c r="ER127" i="4"/>
  <c r="EQ127" i="4"/>
  <c r="EP127" i="4"/>
  <c r="EO127" i="4"/>
  <c r="EN127" i="4"/>
  <c r="EM127" i="4"/>
  <c r="EL127" i="4"/>
  <c r="EK127" i="4"/>
  <c r="EJ127" i="4"/>
  <c r="EI127" i="4"/>
  <c r="EH127" i="4"/>
  <c r="EG127" i="4"/>
  <c r="EF127" i="4"/>
  <c r="EE127" i="4"/>
  <c r="ED127" i="4"/>
  <c r="EC127" i="4"/>
  <c r="EB127" i="4"/>
  <c r="EA127" i="4"/>
  <c r="DZ127" i="4"/>
  <c r="DY127" i="4"/>
  <c r="DX127" i="4"/>
  <c r="DW127" i="4"/>
  <c r="DV127" i="4"/>
  <c r="DU127" i="4"/>
  <c r="DT127" i="4"/>
  <c r="DS127" i="4"/>
  <c r="DR127" i="4"/>
  <c r="DQ127" i="4"/>
  <c r="DP127" i="4"/>
  <c r="DO127" i="4"/>
  <c r="DN127" i="4"/>
  <c r="DM127" i="4"/>
  <c r="DL127" i="4"/>
  <c r="DK127" i="4"/>
  <c r="DJ127" i="4"/>
  <c r="DI127" i="4"/>
  <c r="DH127" i="4"/>
  <c r="DG127" i="4"/>
  <c r="DF127" i="4"/>
  <c r="DE127" i="4"/>
  <c r="DD127" i="4"/>
  <c r="DC127" i="4"/>
  <c r="DB127" i="4"/>
  <c r="DA127" i="4"/>
  <c r="CZ127" i="4"/>
  <c r="CY127" i="4"/>
  <c r="CX127" i="4"/>
  <c r="CW127" i="4"/>
  <c r="CV127" i="4"/>
  <c r="CU127" i="4"/>
  <c r="CT127" i="4"/>
  <c r="CS127" i="4"/>
  <c r="CR127" i="4"/>
  <c r="CQ127" i="4"/>
  <c r="CP127" i="4"/>
  <c r="CO127" i="4"/>
  <c r="CN127" i="4"/>
  <c r="CM127" i="4"/>
  <c r="CL127" i="4"/>
  <c r="CK127" i="4"/>
  <c r="CJ127" i="4"/>
  <c r="CI127" i="4"/>
  <c r="CH127" i="4"/>
  <c r="CG127" i="4"/>
  <c r="CF127" i="4"/>
  <c r="CE127" i="4"/>
  <c r="CD127" i="4"/>
  <c r="CC127" i="4"/>
  <c r="CB127" i="4"/>
  <c r="CA127" i="4"/>
  <c r="BZ127" i="4"/>
  <c r="BY127" i="4"/>
  <c r="BX127" i="4"/>
  <c r="BW127" i="4"/>
  <c r="BV127" i="4"/>
  <c r="BU127" i="4"/>
  <c r="BT127" i="4"/>
  <c r="BS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ES126" i="4"/>
  <c r="ER126" i="4"/>
  <c r="EQ126" i="4"/>
  <c r="EP126" i="4"/>
  <c r="EO126" i="4"/>
  <c r="EN126" i="4"/>
  <c r="EM126" i="4"/>
  <c r="EL126" i="4"/>
  <c r="EK126" i="4"/>
  <c r="EJ126" i="4"/>
  <c r="EI126" i="4"/>
  <c r="EH126" i="4"/>
  <c r="EG126" i="4"/>
  <c r="EF126" i="4"/>
  <c r="EE126" i="4"/>
  <c r="ED126" i="4"/>
  <c r="EC126" i="4"/>
  <c r="EB126" i="4"/>
  <c r="EA126" i="4"/>
  <c r="DZ126" i="4"/>
  <c r="DY126" i="4"/>
  <c r="DX126" i="4"/>
  <c r="DW126" i="4"/>
  <c r="DV126" i="4"/>
  <c r="DU126" i="4"/>
  <c r="DT126" i="4"/>
  <c r="DS126" i="4"/>
  <c r="DR126" i="4"/>
  <c r="DQ126" i="4"/>
  <c r="DP126" i="4"/>
  <c r="DO126" i="4"/>
  <c r="DN126" i="4"/>
  <c r="DM126" i="4"/>
  <c r="DL126" i="4"/>
  <c r="DK126" i="4"/>
  <c r="DJ126" i="4"/>
  <c r="DI126" i="4"/>
  <c r="DH126" i="4"/>
  <c r="DG126" i="4"/>
  <c r="DF126" i="4"/>
  <c r="DE126" i="4"/>
  <c r="DD126" i="4"/>
  <c r="DC126" i="4"/>
  <c r="DB126" i="4"/>
  <c r="DA126" i="4"/>
  <c r="CZ126" i="4"/>
  <c r="CY126" i="4"/>
  <c r="CX126" i="4"/>
  <c r="CW126" i="4"/>
  <c r="CV126" i="4"/>
  <c r="CU126" i="4"/>
  <c r="CT126" i="4"/>
  <c r="CS126" i="4"/>
  <c r="CR126" i="4"/>
  <c r="CQ126" i="4"/>
  <c r="CP126" i="4"/>
  <c r="CO126" i="4"/>
  <c r="CN126" i="4"/>
  <c r="CM126" i="4"/>
  <c r="CL126" i="4"/>
  <c r="CK126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W126" i="4"/>
  <c r="BV126" i="4"/>
  <c r="BU126" i="4"/>
  <c r="BT126" i="4"/>
  <c r="BS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ES125" i="4"/>
  <c r="ER125" i="4"/>
  <c r="EQ125" i="4"/>
  <c r="EP125" i="4"/>
  <c r="EO125" i="4"/>
  <c r="EN125" i="4"/>
  <c r="EM125" i="4"/>
  <c r="EL125" i="4"/>
  <c r="EK125" i="4"/>
  <c r="EJ125" i="4"/>
  <c r="EI125" i="4"/>
  <c r="EH125" i="4"/>
  <c r="EG125" i="4"/>
  <c r="EF125" i="4"/>
  <c r="EE125" i="4"/>
  <c r="ED125" i="4"/>
  <c r="EC125" i="4"/>
  <c r="EB125" i="4"/>
  <c r="EA125" i="4"/>
  <c r="DZ125" i="4"/>
  <c r="DY125" i="4"/>
  <c r="DX125" i="4"/>
  <c r="DW125" i="4"/>
  <c r="DV125" i="4"/>
  <c r="DU125" i="4"/>
  <c r="DT125" i="4"/>
  <c r="DS125" i="4"/>
  <c r="DR125" i="4"/>
  <c r="DQ125" i="4"/>
  <c r="DP125" i="4"/>
  <c r="DO125" i="4"/>
  <c r="DN125" i="4"/>
  <c r="DM125" i="4"/>
  <c r="DL125" i="4"/>
  <c r="DK125" i="4"/>
  <c r="DJ125" i="4"/>
  <c r="DI125" i="4"/>
  <c r="DH125" i="4"/>
  <c r="DG125" i="4"/>
  <c r="DF125" i="4"/>
  <c r="DE125" i="4"/>
  <c r="DD125" i="4"/>
  <c r="DC125" i="4"/>
  <c r="DB125" i="4"/>
  <c r="DA125" i="4"/>
  <c r="CZ125" i="4"/>
  <c r="CY125" i="4"/>
  <c r="CX125" i="4"/>
  <c r="CW125" i="4"/>
  <c r="CV125" i="4"/>
  <c r="CU125" i="4"/>
  <c r="CT125" i="4"/>
  <c r="CS125" i="4"/>
  <c r="CR125" i="4"/>
  <c r="CQ125" i="4"/>
  <c r="CP125" i="4"/>
  <c r="CO125" i="4"/>
  <c r="CN125" i="4"/>
  <c r="CM125" i="4"/>
  <c r="CL125" i="4"/>
  <c r="CK125" i="4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W125" i="4"/>
  <c r="BV125" i="4"/>
  <c r="BU125" i="4"/>
  <c r="BT125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ES124" i="4"/>
  <c r="ER124" i="4"/>
  <c r="EQ124" i="4"/>
  <c r="EP124" i="4"/>
  <c r="EO124" i="4"/>
  <c r="EN124" i="4"/>
  <c r="EM124" i="4"/>
  <c r="EL124" i="4"/>
  <c r="EK124" i="4"/>
  <c r="EJ124" i="4"/>
  <c r="EI124" i="4"/>
  <c r="EH124" i="4"/>
  <c r="EG124" i="4"/>
  <c r="EF124" i="4"/>
  <c r="EE124" i="4"/>
  <c r="ED124" i="4"/>
  <c r="EC124" i="4"/>
  <c r="EB124" i="4"/>
  <c r="EA124" i="4"/>
  <c r="DZ124" i="4"/>
  <c r="DY124" i="4"/>
  <c r="DX124" i="4"/>
  <c r="DW124" i="4"/>
  <c r="DV124" i="4"/>
  <c r="DU124" i="4"/>
  <c r="DT124" i="4"/>
  <c r="DS124" i="4"/>
  <c r="DR124" i="4"/>
  <c r="DQ124" i="4"/>
  <c r="DP124" i="4"/>
  <c r="DO124" i="4"/>
  <c r="DN124" i="4"/>
  <c r="DM124" i="4"/>
  <c r="DL124" i="4"/>
  <c r="DK124" i="4"/>
  <c r="DJ124" i="4"/>
  <c r="DI124" i="4"/>
  <c r="DH124" i="4"/>
  <c r="DG124" i="4"/>
  <c r="DF124" i="4"/>
  <c r="DE124" i="4"/>
  <c r="DD124" i="4"/>
  <c r="DC124" i="4"/>
  <c r="DB124" i="4"/>
  <c r="DA124" i="4"/>
  <c r="CZ124" i="4"/>
  <c r="CY124" i="4"/>
  <c r="CX124" i="4"/>
  <c r="CW124" i="4"/>
  <c r="CV124" i="4"/>
  <c r="CU124" i="4"/>
  <c r="CT124" i="4"/>
  <c r="CS124" i="4"/>
  <c r="CR124" i="4"/>
  <c r="CQ124" i="4"/>
  <c r="CP124" i="4"/>
  <c r="CO124" i="4"/>
  <c r="CN124" i="4"/>
  <c r="CM124" i="4"/>
  <c r="CL124" i="4"/>
  <c r="CK124" i="4"/>
  <c r="CJ124" i="4"/>
  <c r="CI124" i="4"/>
  <c r="CH124" i="4"/>
  <c r="CG124" i="4"/>
  <c r="CF124" i="4"/>
  <c r="CE124" i="4"/>
  <c r="CD124" i="4"/>
  <c r="CC124" i="4"/>
  <c r="CB124" i="4"/>
  <c r="CA124" i="4"/>
  <c r="BZ124" i="4"/>
  <c r="BY124" i="4"/>
  <c r="BX124" i="4"/>
  <c r="BW124" i="4"/>
  <c r="BV124" i="4"/>
  <c r="BU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ES123" i="4"/>
  <c r="ER123" i="4"/>
  <c r="EQ123" i="4"/>
  <c r="EP123" i="4"/>
  <c r="EO123" i="4"/>
  <c r="EN123" i="4"/>
  <c r="EM123" i="4"/>
  <c r="EL123" i="4"/>
  <c r="EK123" i="4"/>
  <c r="EJ123" i="4"/>
  <c r="EI123" i="4"/>
  <c r="EH123" i="4"/>
  <c r="EG123" i="4"/>
  <c r="EF123" i="4"/>
  <c r="EE123" i="4"/>
  <c r="ED123" i="4"/>
  <c r="EC123" i="4"/>
  <c r="EB123" i="4"/>
  <c r="EA123" i="4"/>
  <c r="DZ123" i="4"/>
  <c r="DY123" i="4"/>
  <c r="DX123" i="4"/>
  <c r="DW123" i="4"/>
  <c r="DV123" i="4"/>
  <c r="DU123" i="4"/>
  <c r="DT123" i="4"/>
  <c r="DS123" i="4"/>
  <c r="DR123" i="4"/>
  <c r="DQ123" i="4"/>
  <c r="DP123" i="4"/>
  <c r="DO123" i="4"/>
  <c r="DN123" i="4"/>
  <c r="DM123" i="4"/>
  <c r="DL123" i="4"/>
  <c r="DK123" i="4"/>
  <c r="DJ123" i="4"/>
  <c r="DI123" i="4"/>
  <c r="DH123" i="4"/>
  <c r="DG123" i="4"/>
  <c r="DF123" i="4"/>
  <c r="DE123" i="4"/>
  <c r="DD123" i="4"/>
  <c r="DC123" i="4"/>
  <c r="DB123" i="4"/>
  <c r="DA123" i="4"/>
  <c r="CZ123" i="4"/>
  <c r="CY123" i="4"/>
  <c r="CX123" i="4"/>
  <c r="CW123" i="4"/>
  <c r="CV123" i="4"/>
  <c r="CU123" i="4"/>
  <c r="CT123" i="4"/>
  <c r="CS123" i="4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W123" i="4"/>
  <c r="BV123" i="4"/>
  <c r="BU123" i="4"/>
  <c r="BT123" i="4"/>
  <c r="BS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ES122" i="4"/>
  <c r="ER122" i="4"/>
  <c r="EQ122" i="4"/>
  <c r="EP122" i="4"/>
  <c r="EO122" i="4"/>
  <c r="EN122" i="4"/>
  <c r="EM122" i="4"/>
  <c r="EL122" i="4"/>
  <c r="EK122" i="4"/>
  <c r="EJ122" i="4"/>
  <c r="EI122" i="4"/>
  <c r="EH122" i="4"/>
  <c r="EG122" i="4"/>
  <c r="EF122" i="4"/>
  <c r="EE122" i="4"/>
  <c r="ED122" i="4"/>
  <c r="EC122" i="4"/>
  <c r="EB122" i="4"/>
  <c r="EA122" i="4"/>
  <c r="DZ122" i="4"/>
  <c r="DY122" i="4"/>
  <c r="DX122" i="4"/>
  <c r="DW122" i="4"/>
  <c r="DV122" i="4"/>
  <c r="DU122" i="4"/>
  <c r="DT122" i="4"/>
  <c r="DS122" i="4"/>
  <c r="DR122" i="4"/>
  <c r="DQ122" i="4"/>
  <c r="DP122" i="4"/>
  <c r="DO122" i="4"/>
  <c r="DN122" i="4"/>
  <c r="DM122" i="4"/>
  <c r="DL122" i="4"/>
  <c r="DK122" i="4"/>
  <c r="DJ122" i="4"/>
  <c r="DI122" i="4"/>
  <c r="DH122" i="4"/>
  <c r="DG122" i="4"/>
  <c r="DF122" i="4"/>
  <c r="DE122" i="4"/>
  <c r="DD122" i="4"/>
  <c r="DC122" i="4"/>
  <c r="DB122" i="4"/>
  <c r="DA122" i="4"/>
  <c r="CZ122" i="4"/>
  <c r="CY122" i="4"/>
  <c r="CX122" i="4"/>
  <c r="CW122" i="4"/>
  <c r="CV122" i="4"/>
  <c r="CU122" i="4"/>
  <c r="CT122" i="4"/>
  <c r="CS122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ES121" i="4"/>
  <c r="ER121" i="4"/>
  <c r="EQ121" i="4"/>
  <c r="EP121" i="4"/>
  <c r="EO121" i="4"/>
  <c r="EN121" i="4"/>
  <c r="EM121" i="4"/>
  <c r="EL121" i="4"/>
  <c r="EK121" i="4"/>
  <c r="EJ121" i="4"/>
  <c r="EI121" i="4"/>
  <c r="EH121" i="4"/>
  <c r="EG121" i="4"/>
  <c r="EF121" i="4"/>
  <c r="EE121" i="4"/>
  <c r="ED121" i="4"/>
  <c r="EC121" i="4"/>
  <c r="EB121" i="4"/>
  <c r="EA121" i="4"/>
  <c r="DZ121" i="4"/>
  <c r="DY121" i="4"/>
  <c r="DX121" i="4"/>
  <c r="DW121" i="4"/>
  <c r="DV121" i="4"/>
  <c r="DU121" i="4"/>
  <c r="DT121" i="4"/>
  <c r="DS121" i="4"/>
  <c r="DR121" i="4"/>
  <c r="DQ121" i="4"/>
  <c r="DP121" i="4"/>
  <c r="DO121" i="4"/>
  <c r="DN121" i="4"/>
  <c r="DM121" i="4"/>
  <c r="DL121" i="4"/>
  <c r="DK121" i="4"/>
  <c r="DJ121" i="4"/>
  <c r="DI121" i="4"/>
  <c r="DH121" i="4"/>
  <c r="DG121" i="4"/>
  <c r="DF121" i="4"/>
  <c r="DE121" i="4"/>
  <c r="DD121" i="4"/>
  <c r="DC121" i="4"/>
  <c r="DB121" i="4"/>
  <c r="DA121" i="4"/>
  <c r="CZ121" i="4"/>
  <c r="CY121" i="4"/>
  <c r="CX121" i="4"/>
  <c r="CW121" i="4"/>
  <c r="CV121" i="4"/>
  <c r="CU121" i="4"/>
  <c r="CT121" i="4"/>
  <c r="CS121" i="4"/>
  <c r="CR121" i="4"/>
  <c r="CQ121" i="4"/>
  <c r="CP121" i="4"/>
  <c r="CO121" i="4"/>
  <c r="CN121" i="4"/>
  <c r="CM121" i="4"/>
  <c r="CL121" i="4"/>
  <c r="CK121" i="4"/>
  <c r="CJ121" i="4"/>
  <c r="CI121" i="4"/>
  <c r="CH121" i="4"/>
  <c r="CG121" i="4"/>
  <c r="CF121" i="4"/>
  <c r="CE121" i="4"/>
  <c r="CD121" i="4"/>
  <c r="CC121" i="4"/>
  <c r="CB121" i="4"/>
  <c r="CA121" i="4"/>
  <c r="BZ121" i="4"/>
  <c r="BY121" i="4"/>
  <c r="BX121" i="4"/>
  <c r="BW121" i="4"/>
  <c r="BV121" i="4"/>
  <c r="BU121" i="4"/>
  <c r="BT121" i="4"/>
  <c r="BS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ES120" i="4"/>
  <c r="ER120" i="4"/>
  <c r="EQ120" i="4"/>
  <c r="EP120" i="4"/>
  <c r="EO120" i="4"/>
  <c r="EN120" i="4"/>
  <c r="EM120" i="4"/>
  <c r="EL120" i="4"/>
  <c r="EK120" i="4"/>
  <c r="EJ120" i="4"/>
  <c r="EI120" i="4"/>
  <c r="EH120" i="4"/>
  <c r="EG120" i="4"/>
  <c r="EF120" i="4"/>
  <c r="EE120" i="4"/>
  <c r="ED120" i="4"/>
  <c r="EC120" i="4"/>
  <c r="EB120" i="4"/>
  <c r="EA120" i="4"/>
  <c r="DZ120" i="4"/>
  <c r="DY120" i="4"/>
  <c r="DX120" i="4"/>
  <c r="DW120" i="4"/>
  <c r="DV120" i="4"/>
  <c r="DU120" i="4"/>
  <c r="DT120" i="4"/>
  <c r="DS120" i="4"/>
  <c r="DR120" i="4"/>
  <c r="DQ120" i="4"/>
  <c r="DP120" i="4"/>
  <c r="DO120" i="4"/>
  <c r="DN120" i="4"/>
  <c r="DM120" i="4"/>
  <c r="DL120" i="4"/>
  <c r="DK120" i="4"/>
  <c r="DJ120" i="4"/>
  <c r="DI120" i="4"/>
  <c r="DH120" i="4"/>
  <c r="DG120" i="4"/>
  <c r="DF120" i="4"/>
  <c r="DE120" i="4"/>
  <c r="DD120" i="4"/>
  <c r="DC120" i="4"/>
  <c r="DB120" i="4"/>
  <c r="DA120" i="4"/>
  <c r="CZ120" i="4"/>
  <c r="CY120" i="4"/>
  <c r="CX120" i="4"/>
  <c r="CW120" i="4"/>
  <c r="CV120" i="4"/>
  <c r="CU120" i="4"/>
  <c r="CT120" i="4"/>
  <c r="CS120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ES119" i="4"/>
  <c r="ER119" i="4"/>
  <c r="EQ119" i="4"/>
  <c r="EP119" i="4"/>
  <c r="EO119" i="4"/>
  <c r="EN119" i="4"/>
  <c r="EM119" i="4"/>
  <c r="EL119" i="4"/>
  <c r="EK119" i="4"/>
  <c r="EJ119" i="4"/>
  <c r="EI119" i="4"/>
  <c r="EH119" i="4"/>
  <c r="EG119" i="4"/>
  <c r="EF119" i="4"/>
  <c r="EE119" i="4"/>
  <c r="ED119" i="4"/>
  <c r="EC119" i="4"/>
  <c r="EB119" i="4"/>
  <c r="EA119" i="4"/>
  <c r="DZ119" i="4"/>
  <c r="DY119" i="4"/>
  <c r="DX119" i="4"/>
  <c r="DW119" i="4"/>
  <c r="DV119" i="4"/>
  <c r="DU119" i="4"/>
  <c r="DT119" i="4"/>
  <c r="DS119" i="4"/>
  <c r="DR119" i="4"/>
  <c r="DQ119" i="4"/>
  <c r="DP119" i="4"/>
  <c r="DO119" i="4"/>
  <c r="DN119" i="4"/>
  <c r="DM119" i="4"/>
  <c r="DL119" i="4"/>
  <c r="DK119" i="4"/>
  <c r="DJ119" i="4"/>
  <c r="DI119" i="4"/>
  <c r="DH119" i="4"/>
  <c r="DG119" i="4"/>
  <c r="DF119" i="4"/>
  <c r="DE119" i="4"/>
  <c r="DD119" i="4"/>
  <c r="DC119" i="4"/>
  <c r="DB119" i="4"/>
  <c r="DA119" i="4"/>
  <c r="CZ119" i="4"/>
  <c r="CY119" i="4"/>
  <c r="CX119" i="4"/>
  <c r="CW119" i="4"/>
  <c r="CV119" i="4"/>
  <c r="CU119" i="4"/>
  <c r="CT119" i="4"/>
  <c r="CS119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ES118" i="4"/>
  <c r="ER118" i="4"/>
  <c r="EQ118" i="4"/>
  <c r="EP118" i="4"/>
  <c r="EO118" i="4"/>
  <c r="EN118" i="4"/>
  <c r="EM118" i="4"/>
  <c r="EL118" i="4"/>
  <c r="EK118" i="4"/>
  <c r="EJ118" i="4"/>
  <c r="EI118" i="4"/>
  <c r="EH118" i="4"/>
  <c r="EG118" i="4"/>
  <c r="EF118" i="4"/>
  <c r="EE118" i="4"/>
  <c r="ED118" i="4"/>
  <c r="EC118" i="4"/>
  <c r="EB118" i="4"/>
  <c r="EA118" i="4"/>
  <c r="DZ118" i="4"/>
  <c r="DY118" i="4"/>
  <c r="DX118" i="4"/>
  <c r="DW118" i="4"/>
  <c r="DV118" i="4"/>
  <c r="DU118" i="4"/>
  <c r="DT118" i="4"/>
  <c r="DS118" i="4"/>
  <c r="DR118" i="4"/>
  <c r="DQ118" i="4"/>
  <c r="DP118" i="4"/>
  <c r="DO118" i="4"/>
  <c r="DN118" i="4"/>
  <c r="DM118" i="4"/>
  <c r="DL118" i="4"/>
  <c r="DK118" i="4"/>
  <c r="DJ118" i="4"/>
  <c r="DI118" i="4"/>
  <c r="DH118" i="4"/>
  <c r="DG118" i="4"/>
  <c r="DF118" i="4"/>
  <c r="DE118" i="4"/>
  <c r="DD118" i="4"/>
  <c r="DC118" i="4"/>
  <c r="DB118" i="4"/>
  <c r="DA118" i="4"/>
  <c r="CZ118" i="4"/>
  <c r="CY118" i="4"/>
  <c r="CX118" i="4"/>
  <c r="CW118" i="4"/>
  <c r="CV118" i="4"/>
  <c r="CU118" i="4"/>
  <c r="CT118" i="4"/>
  <c r="CS118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ES117" i="4"/>
  <c r="ER117" i="4"/>
  <c r="EQ117" i="4"/>
  <c r="EP117" i="4"/>
  <c r="EO117" i="4"/>
  <c r="EN117" i="4"/>
  <c r="EM117" i="4"/>
  <c r="EL117" i="4"/>
  <c r="EK117" i="4"/>
  <c r="EJ117" i="4"/>
  <c r="EI117" i="4"/>
  <c r="EH117" i="4"/>
  <c r="EG117" i="4"/>
  <c r="EF117" i="4"/>
  <c r="EE117" i="4"/>
  <c r="ED117" i="4"/>
  <c r="EC117" i="4"/>
  <c r="EB117" i="4"/>
  <c r="EA117" i="4"/>
  <c r="DZ117" i="4"/>
  <c r="DY117" i="4"/>
  <c r="DX117" i="4"/>
  <c r="DW117" i="4"/>
  <c r="DV117" i="4"/>
  <c r="DU117" i="4"/>
  <c r="DT117" i="4"/>
  <c r="DS117" i="4"/>
  <c r="DR117" i="4"/>
  <c r="DQ117" i="4"/>
  <c r="DP117" i="4"/>
  <c r="DO117" i="4"/>
  <c r="DN117" i="4"/>
  <c r="DM117" i="4"/>
  <c r="DL117" i="4"/>
  <c r="DK117" i="4"/>
  <c r="DJ117" i="4"/>
  <c r="DI117" i="4"/>
  <c r="DH117" i="4"/>
  <c r="DG117" i="4"/>
  <c r="DF117" i="4"/>
  <c r="DE117" i="4"/>
  <c r="DD117" i="4"/>
  <c r="DC117" i="4"/>
  <c r="DB117" i="4"/>
  <c r="DA117" i="4"/>
  <c r="CZ117" i="4"/>
  <c r="CY117" i="4"/>
  <c r="CX117" i="4"/>
  <c r="CW117" i="4"/>
  <c r="CV117" i="4"/>
  <c r="CU117" i="4"/>
  <c r="CT117" i="4"/>
  <c r="CS117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ES116" i="4"/>
  <c r="ER116" i="4"/>
  <c r="EQ116" i="4"/>
  <c r="EP116" i="4"/>
  <c r="EO116" i="4"/>
  <c r="EN116" i="4"/>
  <c r="EM116" i="4"/>
  <c r="EL116" i="4"/>
  <c r="EK116" i="4"/>
  <c r="EJ116" i="4"/>
  <c r="EI116" i="4"/>
  <c r="EH116" i="4"/>
  <c r="EG116" i="4"/>
  <c r="EF116" i="4"/>
  <c r="EE116" i="4"/>
  <c r="ED116" i="4"/>
  <c r="EC116" i="4"/>
  <c r="EB116" i="4"/>
  <c r="EA116" i="4"/>
  <c r="DZ116" i="4"/>
  <c r="DY116" i="4"/>
  <c r="DX116" i="4"/>
  <c r="DW116" i="4"/>
  <c r="DV116" i="4"/>
  <c r="DU116" i="4"/>
  <c r="DT116" i="4"/>
  <c r="DS116" i="4"/>
  <c r="DR116" i="4"/>
  <c r="DQ116" i="4"/>
  <c r="DP116" i="4"/>
  <c r="DO116" i="4"/>
  <c r="DN116" i="4"/>
  <c r="DM116" i="4"/>
  <c r="DL116" i="4"/>
  <c r="DK116" i="4"/>
  <c r="DJ116" i="4"/>
  <c r="DI116" i="4"/>
  <c r="DH116" i="4"/>
  <c r="DG116" i="4"/>
  <c r="DF116" i="4"/>
  <c r="DE116" i="4"/>
  <c r="DD116" i="4"/>
  <c r="DC116" i="4"/>
  <c r="DB116" i="4"/>
  <c r="DA116" i="4"/>
  <c r="CZ116" i="4"/>
  <c r="CY116" i="4"/>
  <c r="CX116" i="4"/>
  <c r="CW116" i="4"/>
  <c r="CV116" i="4"/>
  <c r="CU116" i="4"/>
  <c r="CT116" i="4"/>
  <c r="CS116" i="4"/>
  <c r="CR116" i="4"/>
  <c r="CQ116" i="4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ES115" i="4"/>
  <c r="ER115" i="4"/>
  <c r="EQ115" i="4"/>
  <c r="EP115" i="4"/>
  <c r="EO115" i="4"/>
  <c r="EN115" i="4"/>
  <c r="EM115" i="4"/>
  <c r="EL115" i="4"/>
  <c r="EK115" i="4"/>
  <c r="EJ115" i="4"/>
  <c r="EI115" i="4"/>
  <c r="EH115" i="4"/>
  <c r="EG115" i="4"/>
  <c r="EF115" i="4"/>
  <c r="EE115" i="4"/>
  <c r="ED115" i="4"/>
  <c r="EC115" i="4"/>
  <c r="EB115" i="4"/>
  <c r="EA115" i="4"/>
  <c r="DZ115" i="4"/>
  <c r="DY115" i="4"/>
  <c r="DX115" i="4"/>
  <c r="DW115" i="4"/>
  <c r="DV115" i="4"/>
  <c r="DU115" i="4"/>
  <c r="DT115" i="4"/>
  <c r="DS115" i="4"/>
  <c r="DR115" i="4"/>
  <c r="DQ115" i="4"/>
  <c r="DP115" i="4"/>
  <c r="DO115" i="4"/>
  <c r="DN115" i="4"/>
  <c r="DM115" i="4"/>
  <c r="DL115" i="4"/>
  <c r="DK115" i="4"/>
  <c r="DJ115" i="4"/>
  <c r="DI115" i="4"/>
  <c r="DH115" i="4"/>
  <c r="DG115" i="4"/>
  <c r="DF115" i="4"/>
  <c r="DE115" i="4"/>
  <c r="DD115" i="4"/>
  <c r="DC115" i="4"/>
  <c r="DB115" i="4"/>
  <c r="DA115" i="4"/>
  <c r="CZ115" i="4"/>
  <c r="CY115" i="4"/>
  <c r="CX115" i="4"/>
  <c r="CW115" i="4"/>
  <c r="CV115" i="4"/>
  <c r="CU115" i="4"/>
  <c r="CT115" i="4"/>
  <c r="CS115" i="4"/>
  <c r="CR115" i="4"/>
  <c r="CQ115" i="4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ES114" i="4"/>
  <c r="ER114" i="4"/>
  <c r="EQ114" i="4"/>
  <c r="EP114" i="4"/>
  <c r="EO114" i="4"/>
  <c r="EN114" i="4"/>
  <c r="EM114" i="4"/>
  <c r="EL114" i="4"/>
  <c r="EK114" i="4"/>
  <c r="EJ114" i="4"/>
  <c r="EI114" i="4"/>
  <c r="EH114" i="4"/>
  <c r="EG114" i="4"/>
  <c r="EF114" i="4"/>
  <c r="EE114" i="4"/>
  <c r="ED114" i="4"/>
  <c r="EC114" i="4"/>
  <c r="EB114" i="4"/>
  <c r="EA114" i="4"/>
  <c r="DZ114" i="4"/>
  <c r="DY114" i="4"/>
  <c r="DX114" i="4"/>
  <c r="DW114" i="4"/>
  <c r="DV114" i="4"/>
  <c r="DU114" i="4"/>
  <c r="DT114" i="4"/>
  <c r="DS114" i="4"/>
  <c r="DR114" i="4"/>
  <c r="DQ114" i="4"/>
  <c r="DP114" i="4"/>
  <c r="DO114" i="4"/>
  <c r="DN114" i="4"/>
  <c r="DM114" i="4"/>
  <c r="DL114" i="4"/>
  <c r="DK114" i="4"/>
  <c r="DJ114" i="4"/>
  <c r="DI114" i="4"/>
  <c r="DH114" i="4"/>
  <c r="DG114" i="4"/>
  <c r="DF114" i="4"/>
  <c r="DE114" i="4"/>
  <c r="DD114" i="4"/>
  <c r="DC114" i="4"/>
  <c r="DB114" i="4"/>
  <c r="DA114" i="4"/>
  <c r="CZ114" i="4"/>
  <c r="CY114" i="4"/>
  <c r="CX114" i="4"/>
  <c r="CW114" i="4"/>
  <c r="CV114" i="4"/>
  <c r="CU114" i="4"/>
  <c r="CT114" i="4"/>
  <c r="CS114" i="4"/>
  <c r="CR114" i="4"/>
  <c r="CQ114" i="4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ES113" i="4"/>
  <c r="ER113" i="4"/>
  <c r="EQ113" i="4"/>
  <c r="EP113" i="4"/>
  <c r="EO113" i="4"/>
  <c r="EN113" i="4"/>
  <c r="EM113" i="4"/>
  <c r="EL113" i="4"/>
  <c r="EK113" i="4"/>
  <c r="EJ113" i="4"/>
  <c r="EI113" i="4"/>
  <c r="EH113" i="4"/>
  <c r="EG113" i="4"/>
  <c r="EF113" i="4"/>
  <c r="EE113" i="4"/>
  <c r="ED113" i="4"/>
  <c r="EC113" i="4"/>
  <c r="EB113" i="4"/>
  <c r="EA113" i="4"/>
  <c r="DZ113" i="4"/>
  <c r="DY113" i="4"/>
  <c r="DX113" i="4"/>
  <c r="DW113" i="4"/>
  <c r="DV113" i="4"/>
  <c r="DU113" i="4"/>
  <c r="DT113" i="4"/>
  <c r="DS113" i="4"/>
  <c r="DR113" i="4"/>
  <c r="DQ113" i="4"/>
  <c r="DP113" i="4"/>
  <c r="DO113" i="4"/>
  <c r="DN113" i="4"/>
  <c r="DM113" i="4"/>
  <c r="DL113" i="4"/>
  <c r="DK113" i="4"/>
  <c r="DJ113" i="4"/>
  <c r="DI113" i="4"/>
  <c r="DH113" i="4"/>
  <c r="DG113" i="4"/>
  <c r="DF113" i="4"/>
  <c r="DE113" i="4"/>
  <c r="DD113" i="4"/>
  <c r="DC113" i="4"/>
  <c r="DB113" i="4"/>
  <c r="DA113" i="4"/>
  <c r="CZ113" i="4"/>
  <c r="CY113" i="4"/>
  <c r="CX113" i="4"/>
  <c r="CW113" i="4"/>
  <c r="CV113" i="4"/>
  <c r="CU113" i="4"/>
  <c r="CT113" i="4"/>
  <c r="CS113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ES112" i="4"/>
  <c r="ER112" i="4"/>
  <c r="EQ112" i="4"/>
  <c r="EP112" i="4"/>
  <c r="EO112" i="4"/>
  <c r="EN112" i="4"/>
  <c r="EM112" i="4"/>
  <c r="EL112" i="4"/>
  <c r="EK112" i="4"/>
  <c r="EJ112" i="4"/>
  <c r="EI112" i="4"/>
  <c r="EH112" i="4"/>
  <c r="EG112" i="4"/>
  <c r="EF112" i="4"/>
  <c r="EE112" i="4"/>
  <c r="ED112" i="4"/>
  <c r="EC112" i="4"/>
  <c r="EB112" i="4"/>
  <c r="EA112" i="4"/>
  <c r="DZ112" i="4"/>
  <c r="DY112" i="4"/>
  <c r="DX112" i="4"/>
  <c r="DW112" i="4"/>
  <c r="DV112" i="4"/>
  <c r="DU112" i="4"/>
  <c r="DT112" i="4"/>
  <c r="DS112" i="4"/>
  <c r="DR112" i="4"/>
  <c r="DQ112" i="4"/>
  <c r="DP112" i="4"/>
  <c r="DO112" i="4"/>
  <c r="DN112" i="4"/>
  <c r="DM112" i="4"/>
  <c r="DL112" i="4"/>
  <c r="DK112" i="4"/>
  <c r="DJ112" i="4"/>
  <c r="DI112" i="4"/>
  <c r="DH112" i="4"/>
  <c r="DG112" i="4"/>
  <c r="DF112" i="4"/>
  <c r="DE112" i="4"/>
  <c r="DD112" i="4"/>
  <c r="DC112" i="4"/>
  <c r="DB112" i="4"/>
  <c r="DA112" i="4"/>
  <c r="CZ112" i="4"/>
  <c r="CY112" i="4"/>
  <c r="CX112" i="4"/>
  <c r="CW112" i="4"/>
  <c r="CV112" i="4"/>
  <c r="CU112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ES111" i="4"/>
  <c r="ER111" i="4"/>
  <c r="EQ111" i="4"/>
  <c r="EP111" i="4"/>
  <c r="EO111" i="4"/>
  <c r="EN111" i="4"/>
  <c r="EM111" i="4"/>
  <c r="EL111" i="4"/>
  <c r="EK111" i="4"/>
  <c r="EJ111" i="4"/>
  <c r="EI111" i="4"/>
  <c r="EH111" i="4"/>
  <c r="EG111" i="4"/>
  <c r="EF111" i="4"/>
  <c r="EE111" i="4"/>
  <c r="ED111" i="4"/>
  <c r="EC111" i="4"/>
  <c r="EB111" i="4"/>
  <c r="EA111" i="4"/>
  <c r="DZ111" i="4"/>
  <c r="DY111" i="4"/>
  <c r="DX111" i="4"/>
  <c r="DW111" i="4"/>
  <c r="DV111" i="4"/>
  <c r="DU111" i="4"/>
  <c r="DT111" i="4"/>
  <c r="DS111" i="4"/>
  <c r="DR111" i="4"/>
  <c r="DQ111" i="4"/>
  <c r="DP111" i="4"/>
  <c r="DO111" i="4"/>
  <c r="DN111" i="4"/>
  <c r="DM111" i="4"/>
  <c r="DL111" i="4"/>
  <c r="DK111" i="4"/>
  <c r="DJ111" i="4"/>
  <c r="DI111" i="4"/>
  <c r="DH111" i="4"/>
  <c r="DG111" i="4"/>
  <c r="DF111" i="4"/>
  <c r="DE111" i="4"/>
  <c r="DD111" i="4"/>
  <c r="DC111" i="4"/>
  <c r="DB111" i="4"/>
  <c r="DA111" i="4"/>
  <c r="CZ111" i="4"/>
  <c r="CY111" i="4"/>
  <c r="CX111" i="4"/>
  <c r="CW111" i="4"/>
  <c r="CV111" i="4"/>
  <c r="CU111" i="4"/>
  <c r="CT111" i="4"/>
  <c r="CS111" i="4"/>
  <c r="CR111" i="4"/>
  <c r="CQ111" i="4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ES110" i="4"/>
  <c r="ER110" i="4"/>
  <c r="EQ110" i="4"/>
  <c r="EP110" i="4"/>
  <c r="EO110" i="4"/>
  <c r="EN110" i="4"/>
  <c r="EM110" i="4"/>
  <c r="EL110" i="4"/>
  <c r="EK110" i="4"/>
  <c r="EJ110" i="4"/>
  <c r="EI110" i="4"/>
  <c r="EH110" i="4"/>
  <c r="EG110" i="4"/>
  <c r="EF110" i="4"/>
  <c r="EE110" i="4"/>
  <c r="ED110" i="4"/>
  <c r="EC110" i="4"/>
  <c r="EB110" i="4"/>
  <c r="EA110" i="4"/>
  <c r="DZ110" i="4"/>
  <c r="DY110" i="4"/>
  <c r="DX110" i="4"/>
  <c r="DW110" i="4"/>
  <c r="DV110" i="4"/>
  <c r="DU110" i="4"/>
  <c r="DT110" i="4"/>
  <c r="DS110" i="4"/>
  <c r="DR110" i="4"/>
  <c r="DQ110" i="4"/>
  <c r="DP110" i="4"/>
  <c r="DO110" i="4"/>
  <c r="DN110" i="4"/>
  <c r="DM110" i="4"/>
  <c r="DL110" i="4"/>
  <c r="DK110" i="4"/>
  <c r="DJ110" i="4"/>
  <c r="DI110" i="4"/>
  <c r="DH110" i="4"/>
  <c r="DG110" i="4"/>
  <c r="DF110" i="4"/>
  <c r="DE110" i="4"/>
  <c r="DD110" i="4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EV107" i="4"/>
  <c r="E3" i="4" s="1"/>
  <c r="ES107" i="4"/>
  <c r="ER107" i="4"/>
  <c r="EQ107" i="4"/>
  <c r="EP107" i="4"/>
  <c r="EO107" i="4"/>
  <c r="EN107" i="4"/>
  <c r="EM107" i="4"/>
  <c r="EL107" i="4"/>
  <c r="EK107" i="4"/>
  <c r="EJ107" i="4"/>
  <c r="EI107" i="4"/>
  <c r="EH107" i="4"/>
  <c r="EG107" i="4"/>
  <c r="EF107" i="4"/>
  <c r="EE107" i="4"/>
  <c r="ED107" i="4"/>
  <c r="EC107" i="4"/>
  <c r="EB107" i="4"/>
  <c r="EA107" i="4"/>
  <c r="DZ107" i="4"/>
  <c r="DY107" i="4"/>
  <c r="DX107" i="4"/>
  <c r="DW107" i="4"/>
  <c r="DV107" i="4"/>
  <c r="DU107" i="4"/>
  <c r="DT107" i="4"/>
  <c r="DS107" i="4"/>
  <c r="DR107" i="4"/>
  <c r="DQ107" i="4"/>
  <c r="DP107" i="4"/>
  <c r="DO107" i="4"/>
  <c r="DN107" i="4"/>
  <c r="DM107" i="4"/>
  <c r="DL107" i="4"/>
  <c r="DK107" i="4"/>
  <c r="DJ107" i="4"/>
  <c r="DI107" i="4"/>
  <c r="DH107" i="4"/>
  <c r="DG107" i="4"/>
  <c r="DF107" i="4"/>
  <c r="DE107" i="4"/>
  <c r="DD107" i="4"/>
  <c r="DC107" i="4"/>
  <c r="DB107" i="4"/>
  <c r="DA107" i="4"/>
  <c r="CZ107" i="4"/>
  <c r="CY107" i="4"/>
  <c r="CX107" i="4"/>
  <c r="CW107" i="4"/>
  <c r="CV107" i="4"/>
  <c r="CU107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FA106" i="4"/>
  <c r="ET106" i="4"/>
  <c r="FB106" i="4" s="1"/>
  <c r="FA105" i="4"/>
  <c r="ET105" i="4"/>
  <c r="EW105" i="4" s="1"/>
  <c r="EX105" i="4" s="1"/>
  <c r="EY105" i="4" s="1"/>
  <c r="FA104" i="4"/>
  <c r="ET104" i="4"/>
  <c r="FB104" i="4" s="1"/>
  <c r="FA103" i="4"/>
  <c r="ET103" i="4"/>
  <c r="FB103" i="4" s="1"/>
  <c r="FA102" i="4"/>
  <c r="ET102" i="4"/>
  <c r="FB102" i="4" s="1"/>
  <c r="FA101" i="4"/>
  <c r="ET101" i="4"/>
  <c r="EW101" i="4" s="1"/>
  <c r="EX101" i="4" s="1"/>
  <c r="EY101" i="4" s="1"/>
  <c r="FA100" i="4"/>
  <c r="ET100" i="4"/>
  <c r="EW100" i="4" s="1"/>
  <c r="EX100" i="4" s="1"/>
  <c r="EY100" i="4" s="1"/>
  <c r="FA99" i="4"/>
  <c r="ET99" i="4"/>
  <c r="FB99" i="4" s="1"/>
  <c r="FA98" i="4"/>
  <c r="ET98" i="4"/>
  <c r="FB98" i="4" s="1"/>
  <c r="FA97" i="4"/>
  <c r="ET97" i="4"/>
  <c r="EW97" i="4" s="1"/>
  <c r="EX97" i="4" s="1"/>
  <c r="EY97" i="4" s="1"/>
  <c r="FA96" i="4"/>
  <c r="ET96" i="4"/>
  <c r="FB96" i="4" s="1"/>
  <c r="FA95" i="4"/>
  <c r="ET95" i="4"/>
  <c r="FB95" i="4" s="1"/>
  <c r="FA94" i="4"/>
  <c r="ET94" i="4"/>
  <c r="FB94" i="4" s="1"/>
  <c r="FA93" i="4"/>
  <c r="ET93" i="4"/>
  <c r="EW93" i="4" s="1"/>
  <c r="EX93" i="4" s="1"/>
  <c r="EY93" i="4" s="1"/>
  <c r="FA92" i="4"/>
  <c r="ET92" i="4"/>
  <c r="EW92" i="4" s="1"/>
  <c r="EX92" i="4" s="1"/>
  <c r="EY92" i="4" s="1"/>
  <c r="FA91" i="4"/>
  <c r="ET91" i="4"/>
  <c r="FB91" i="4" s="1"/>
  <c r="FA90" i="4"/>
  <c r="ET90" i="4"/>
  <c r="FB90" i="4" s="1"/>
  <c r="FA89" i="4"/>
  <c r="ET89" i="4"/>
  <c r="EW89" i="4" s="1"/>
  <c r="EX89" i="4" s="1"/>
  <c r="EY89" i="4" s="1"/>
  <c r="FA88" i="4"/>
  <c r="ET88" i="4"/>
  <c r="EW88" i="4" s="1"/>
  <c r="EX88" i="4" s="1"/>
  <c r="EY88" i="4" s="1"/>
  <c r="FA87" i="4"/>
  <c r="ET87" i="4"/>
  <c r="FB87" i="4" s="1"/>
  <c r="FA86" i="4"/>
  <c r="ET86" i="4"/>
  <c r="FB86" i="4" s="1"/>
  <c r="FA85" i="4"/>
  <c r="ET85" i="4"/>
  <c r="EW85" i="4" s="1"/>
  <c r="EX85" i="4" s="1"/>
  <c r="EY85" i="4" s="1"/>
  <c r="FA84" i="4"/>
  <c r="ET84" i="4"/>
  <c r="FB84" i="4" s="1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ET15" i="4"/>
  <c r="L10" i="4" s="1"/>
  <c r="L9" i="4"/>
  <c r="L8" i="4"/>
  <c r="L7" i="4"/>
  <c r="L6" i="4"/>
  <c r="L5" i="4"/>
  <c r="L4" i="4"/>
  <c r="L3" i="4"/>
  <c r="L2" i="4"/>
  <c r="EW87" i="4" l="1"/>
  <c r="K7" i="4"/>
  <c r="B8" i="4"/>
  <c r="E4" i="4" s="1"/>
  <c r="K8" i="4"/>
  <c r="K9" i="4"/>
  <c r="K2" i="4"/>
  <c r="K3" i="4"/>
  <c r="K1" i="4" s="1"/>
  <c r="BG177" i="4"/>
  <c r="K4" i="4"/>
  <c r="K5" i="4"/>
  <c r="K6" i="4"/>
  <c r="CT160" i="4"/>
  <c r="CT186" i="4" s="1"/>
  <c r="EL159" i="4"/>
  <c r="M158" i="4"/>
  <c r="DR160" i="4"/>
  <c r="DR186" i="4" s="1"/>
  <c r="Z160" i="4"/>
  <c r="Z186" i="4" s="1"/>
  <c r="AX158" i="4"/>
  <c r="B159" i="4"/>
  <c r="BN160" i="4"/>
  <c r="BN186" i="4" s="1"/>
  <c r="DM159" i="4"/>
  <c r="DM185" i="4" s="1"/>
  <c r="EN156" i="4"/>
  <c r="EK159" i="4"/>
  <c r="B152" i="4"/>
  <c r="B178" i="4" s="1"/>
  <c r="BG160" i="4"/>
  <c r="BG186" i="4" s="1"/>
  <c r="CG159" i="4"/>
  <c r="P156" i="4"/>
  <c r="DD157" i="4"/>
  <c r="DD183" i="4" s="1"/>
  <c r="B151" i="4"/>
  <c r="B177" i="4" s="1"/>
  <c r="BF160" i="4"/>
  <c r="AW159" i="4"/>
  <c r="ES153" i="4"/>
  <c r="ES179" i="4" s="1"/>
  <c r="CL160" i="4"/>
  <c r="CL186" i="4" s="1"/>
  <c r="DZ160" i="4"/>
  <c r="AH160" i="4"/>
  <c r="M159" i="4"/>
  <c r="M185" i="4" s="1"/>
  <c r="BZ150" i="4"/>
  <c r="BZ176" i="4" s="1"/>
  <c r="DS160" i="4"/>
  <c r="AA160" i="4"/>
  <c r="DS158" i="4"/>
  <c r="DS184" i="4" s="1"/>
  <c r="CM160" i="4"/>
  <c r="CM186" i="4" s="1"/>
  <c r="ES159" i="4"/>
  <c r="CI158" i="4"/>
  <c r="B160" i="4"/>
  <c r="B186" i="4" s="1"/>
  <c r="EA160" i="4"/>
  <c r="EA186" i="4" s="1"/>
  <c r="CU160" i="4"/>
  <c r="BO160" i="4"/>
  <c r="AI160" i="4"/>
  <c r="AI186" i="4" s="1"/>
  <c r="C160" i="4"/>
  <c r="C186" i="4" s="1"/>
  <c r="DN159" i="4"/>
  <c r="DN185" i="4" s="1"/>
  <c r="CH159" i="4"/>
  <c r="AX159" i="4"/>
  <c r="AX185" i="4" s="1"/>
  <c r="N159" i="4"/>
  <c r="N185" i="4" s="1"/>
  <c r="DT158" i="4"/>
  <c r="CJ158" i="4"/>
  <c r="AY158" i="4"/>
  <c r="AY184" i="4" s="1"/>
  <c r="O158" i="4"/>
  <c r="O184" i="4" s="1"/>
  <c r="DE157" i="4"/>
  <c r="DE183" i="4" s="1"/>
  <c r="M157" i="4"/>
  <c r="AF156" i="4"/>
  <c r="AF182" i="4" s="1"/>
  <c r="BN154" i="4"/>
  <c r="BN180" i="4" s="1"/>
  <c r="EL150" i="4"/>
  <c r="EL176" i="4" s="1"/>
  <c r="DF159" i="4"/>
  <c r="BZ159" i="4"/>
  <c r="BZ185" i="4" s="1"/>
  <c r="AO159" i="4"/>
  <c r="AO185" i="4" s="1"/>
  <c r="E159" i="4"/>
  <c r="E185" i="4" s="1"/>
  <c r="DK158" i="4"/>
  <c r="CA158" i="4"/>
  <c r="CA184" i="4" s="1"/>
  <c r="AP158" i="4"/>
  <c r="AP184" i="4" s="1"/>
  <c r="E158" i="4"/>
  <c r="E184" i="4" s="1"/>
  <c r="CO157" i="4"/>
  <c r="DX156" i="4"/>
  <c r="DX182" i="4" s="1"/>
  <c r="EQ155" i="4"/>
  <c r="EQ181" i="4" s="1"/>
  <c r="CG153" i="4"/>
  <c r="CG179" i="4" s="1"/>
  <c r="N150" i="4"/>
  <c r="DE159" i="4"/>
  <c r="DE185" i="4" s="1"/>
  <c r="BY159" i="4"/>
  <c r="BY185" i="4" s="1"/>
  <c r="AN159" i="4"/>
  <c r="AN185" i="4" s="1"/>
  <c r="D159" i="4"/>
  <c r="DJ158" i="4"/>
  <c r="DJ184" i="4" s="1"/>
  <c r="BY158" i="4"/>
  <c r="BY184" i="4" s="1"/>
  <c r="AO158" i="4"/>
  <c r="AO184" i="4" s="1"/>
  <c r="D158" i="4"/>
  <c r="CN157" i="4"/>
  <c r="CN183" i="4" s="1"/>
  <c r="DH156" i="4"/>
  <c r="DH182" i="4" s="1"/>
  <c r="DW155" i="4"/>
  <c r="DW181" i="4" s="1"/>
  <c r="U153" i="4"/>
  <c r="CL149" i="4"/>
  <c r="CL175" i="4" s="1"/>
  <c r="EQ160" i="4"/>
  <c r="EQ186" i="4" s="1"/>
  <c r="DK160" i="4"/>
  <c r="DK186" i="4" s="1"/>
  <c r="CE160" i="4"/>
  <c r="AY160" i="4"/>
  <c r="AY186" i="4" s="1"/>
  <c r="S160" i="4"/>
  <c r="S186" i="4" s="1"/>
  <c r="ED159" i="4"/>
  <c r="ED185" i="4" s="1"/>
  <c r="CX159" i="4"/>
  <c r="BQ159" i="4"/>
  <c r="BQ185" i="4" s="1"/>
  <c r="AF159" i="4"/>
  <c r="AF185" i="4" s="1"/>
  <c r="EM158" i="4"/>
  <c r="EM184" i="4" s="1"/>
  <c r="DB158" i="4"/>
  <c r="BQ158" i="4"/>
  <c r="BQ184" i="4" s="1"/>
  <c r="AG158" i="4"/>
  <c r="AG184" i="4" s="1"/>
  <c r="EK157" i="4"/>
  <c r="EK183" i="4" s="1"/>
  <c r="BY157" i="4"/>
  <c r="CR156" i="4"/>
  <c r="CR182" i="4" s="1"/>
  <c r="CX155" i="4"/>
  <c r="CX181" i="4" s="1"/>
  <c r="CZ152" i="4"/>
  <c r="CZ178" i="4" s="1"/>
  <c r="BO148" i="4"/>
  <c r="EP160" i="4"/>
  <c r="EP186" i="4" s="1"/>
  <c r="DJ160" i="4"/>
  <c r="DJ186" i="4" s="1"/>
  <c r="CD160" i="4"/>
  <c r="CD186" i="4" s="1"/>
  <c r="AX160" i="4"/>
  <c r="R160" i="4"/>
  <c r="R186" i="4" s="1"/>
  <c r="EC159" i="4"/>
  <c r="EC185" i="4" s="1"/>
  <c r="CW159" i="4"/>
  <c r="CW185" i="4" s="1"/>
  <c r="BP159" i="4"/>
  <c r="AE159" i="4"/>
  <c r="AE185" i="4" s="1"/>
  <c r="EK158" i="4"/>
  <c r="EK184" i="4" s="1"/>
  <c r="DA158" i="4"/>
  <c r="DA184" i="4" s="1"/>
  <c r="BP158" i="4"/>
  <c r="BP184" i="4" s="1"/>
  <c r="AF158" i="4"/>
  <c r="AF184" i="4" s="1"/>
  <c r="EJ157" i="4"/>
  <c r="EJ183" i="4" s="1"/>
  <c r="BI157" i="4"/>
  <c r="BI183" i="4" s="1"/>
  <c r="CB156" i="4"/>
  <c r="BY155" i="4"/>
  <c r="BY181" i="4" s="1"/>
  <c r="AN152" i="4"/>
  <c r="AN178" i="4" s="1"/>
  <c r="DA146" i="4"/>
  <c r="DA172" i="4" s="1"/>
  <c r="B140" i="4"/>
  <c r="B166" i="4" s="1"/>
  <c r="EI160" i="4"/>
  <c r="EI186" i="4" s="1"/>
  <c r="DC160" i="4"/>
  <c r="DC186" i="4" s="1"/>
  <c r="BW160" i="4"/>
  <c r="BW186" i="4" s="1"/>
  <c r="AQ160" i="4"/>
  <c r="K160" i="4"/>
  <c r="K186" i="4" s="1"/>
  <c r="DV159" i="4"/>
  <c r="DV185" i="4" s="1"/>
  <c r="CP159" i="4"/>
  <c r="CP185" i="4" s="1"/>
  <c r="BH159" i="4"/>
  <c r="BH185" i="4" s="1"/>
  <c r="W159" i="4"/>
  <c r="W185" i="4" s="1"/>
  <c r="EC158" i="4"/>
  <c r="EC184" i="4" s="1"/>
  <c r="CS158" i="4"/>
  <c r="CS184" i="4" s="1"/>
  <c r="BH158" i="4"/>
  <c r="X158" i="4"/>
  <c r="X184" i="4" s="1"/>
  <c r="DU157" i="4"/>
  <c r="DU183" i="4" s="1"/>
  <c r="AS157" i="4"/>
  <c r="AS183" i="4" s="1"/>
  <c r="BL156" i="4"/>
  <c r="BL182" i="4" s="1"/>
  <c r="AU155" i="4"/>
  <c r="AU181" i="4" s="1"/>
  <c r="DS151" i="4"/>
  <c r="DS177" i="4" s="1"/>
  <c r="DR143" i="4"/>
  <c r="DR169" i="4" s="1"/>
  <c r="B139" i="4"/>
  <c r="EH160" i="4"/>
  <c r="EH186" i="4" s="1"/>
  <c r="DB160" i="4"/>
  <c r="DB186" i="4" s="1"/>
  <c r="BV160" i="4"/>
  <c r="BV186" i="4" s="1"/>
  <c r="AP160" i="4"/>
  <c r="AP186" i="4" s="1"/>
  <c r="J160" i="4"/>
  <c r="J186" i="4" s="1"/>
  <c r="DU159" i="4"/>
  <c r="DU185" i="4" s="1"/>
  <c r="CO159" i="4"/>
  <c r="CO185" i="4" s="1"/>
  <c r="BF159" i="4"/>
  <c r="V159" i="4"/>
  <c r="V185" i="4" s="1"/>
  <c r="EB158" i="4"/>
  <c r="EB184" i="4" s="1"/>
  <c r="CR158" i="4"/>
  <c r="CR184" i="4" s="1"/>
  <c r="BG158" i="4"/>
  <c r="BG184" i="4" s="1"/>
  <c r="W158" i="4"/>
  <c r="W184" i="4" s="1"/>
  <c r="DT157" i="4"/>
  <c r="DT183" i="4" s="1"/>
  <c r="AC157" i="4"/>
  <c r="AC183" i="4" s="1"/>
  <c r="AV156" i="4"/>
  <c r="AV182" i="4" s="1"/>
  <c r="DZ154" i="4"/>
  <c r="DZ180" i="4" s="1"/>
  <c r="U133" i="4"/>
  <c r="BI133" i="4"/>
  <c r="BQ133" i="4"/>
  <c r="BY133" i="4"/>
  <c r="DU133" i="4"/>
  <c r="CG133" i="4"/>
  <c r="D133" i="4"/>
  <c r="L133" i="4"/>
  <c r="T133" i="4"/>
  <c r="AZ133" i="4"/>
  <c r="BH133" i="4"/>
  <c r="BP133" i="4"/>
  <c r="DT133" i="4"/>
  <c r="B138" i="4"/>
  <c r="B164" i="4" s="1"/>
  <c r="J138" i="4"/>
  <c r="J164" i="4" s="1"/>
  <c r="R138" i="4"/>
  <c r="R164" i="4" s="1"/>
  <c r="Z138" i="4"/>
  <c r="Z164" i="4" s="1"/>
  <c r="AH138" i="4"/>
  <c r="AH164" i="4" s="1"/>
  <c r="AP138" i="4"/>
  <c r="AP164" i="4" s="1"/>
  <c r="AX138" i="4"/>
  <c r="AX164" i="4" s="1"/>
  <c r="BF138" i="4"/>
  <c r="BF164" i="4" s="1"/>
  <c r="BN138" i="4"/>
  <c r="BN164" i="4" s="1"/>
  <c r="BV138" i="4"/>
  <c r="BV164" i="4" s="1"/>
  <c r="CD138" i="4"/>
  <c r="CD164" i="4" s="1"/>
  <c r="CL138" i="4"/>
  <c r="CL164" i="4" s="1"/>
  <c r="CT138" i="4"/>
  <c r="CT164" i="4" s="1"/>
  <c r="DB138" i="4"/>
  <c r="DB164" i="4" s="1"/>
  <c r="DJ138" i="4"/>
  <c r="DJ164" i="4" s="1"/>
  <c r="DR138" i="4"/>
  <c r="DR164" i="4" s="1"/>
  <c r="DZ138" i="4"/>
  <c r="DZ164" i="4" s="1"/>
  <c r="EH138" i="4"/>
  <c r="EH164" i="4" s="1"/>
  <c r="EP138" i="4"/>
  <c r="EP164" i="4" s="1"/>
  <c r="G139" i="4"/>
  <c r="G165" i="4" s="1"/>
  <c r="O139" i="4"/>
  <c r="O165" i="4" s="1"/>
  <c r="W139" i="4"/>
  <c r="W165" i="4" s="1"/>
  <c r="AE139" i="4"/>
  <c r="AE165" i="4" s="1"/>
  <c r="AM139" i="4"/>
  <c r="AM165" i="4" s="1"/>
  <c r="AU139" i="4"/>
  <c r="AU165" i="4" s="1"/>
  <c r="BC139" i="4"/>
  <c r="BC165" i="4" s="1"/>
  <c r="BK139" i="4"/>
  <c r="BK165" i="4" s="1"/>
  <c r="BS139" i="4"/>
  <c r="BS165" i="4" s="1"/>
  <c r="CA139" i="4"/>
  <c r="CA165" i="4" s="1"/>
  <c r="CI139" i="4"/>
  <c r="CI165" i="4" s="1"/>
  <c r="CQ139" i="4"/>
  <c r="CQ165" i="4" s="1"/>
  <c r="CY139" i="4"/>
  <c r="CY165" i="4" s="1"/>
  <c r="DG139" i="4"/>
  <c r="DG165" i="4" s="1"/>
  <c r="DO139" i="4"/>
  <c r="DO165" i="4" s="1"/>
  <c r="DW139" i="4"/>
  <c r="DW165" i="4" s="1"/>
  <c r="EE139" i="4"/>
  <c r="EE165" i="4" s="1"/>
  <c r="EM139" i="4"/>
  <c r="EM165" i="4" s="1"/>
  <c r="D140" i="4"/>
  <c r="D166" i="4" s="1"/>
  <c r="L140" i="4"/>
  <c r="L166" i="4" s="1"/>
  <c r="T140" i="4"/>
  <c r="T166" i="4" s="1"/>
  <c r="AB140" i="4"/>
  <c r="AB166" i="4" s="1"/>
  <c r="AJ140" i="4"/>
  <c r="AJ166" i="4" s="1"/>
  <c r="AR140" i="4"/>
  <c r="AR166" i="4" s="1"/>
  <c r="AZ140" i="4"/>
  <c r="AZ166" i="4" s="1"/>
  <c r="BH140" i="4"/>
  <c r="BH166" i="4" s="1"/>
  <c r="BP140" i="4"/>
  <c r="BP166" i="4" s="1"/>
  <c r="BX140" i="4"/>
  <c r="BX166" i="4" s="1"/>
  <c r="CF140" i="4"/>
  <c r="CF166" i="4" s="1"/>
  <c r="CN140" i="4"/>
  <c r="CN166" i="4" s="1"/>
  <c r="CV140" i="4"/>
  <c r="CV166" i="4" s="1"/>
  <c r="DD140" i="4"/>
  <c r="DD166" i="4" s="1"/>
  <c r="DL140" i="4"/>
  <c r="DL166" i="4" s="1"/>
  <c r="DT140" i="4"/>
  <c r="DT166" i="4" s="1"/>
  <c r="EB140" i="4"/>
  <c r="EB166" i="4" s="1"/>
  <c r="EJ140" i="4"/>
  <c r="EJ166" i="4" s="1"/>
  <c r="ER140" i="4"/>
  <c r="ER166" i="4" s="1"/>
  <c r="I141" i="4"/>
  <c r="I167" i="4" s="1"/>
  <c r="Q141" i="4"/>
  <c r="Q167" i="4" s="1"/>
  <c r="Y141" i="4"/>
  <c r="Y167" i="4" s="1"/>
  <c r="AG141" i="4"/>
  <c r="AG167" i="4" s="1"/>
  <c r="AO141" i="4"/>
  <c r="AO167" i="4" s="1"/>
  <c r="AW141" i="4"/>
  <c r="AW167" i="4" s="1"/>
  <c r="BE141" i="4"/>
  <c r="BE167" i="4" s="1"/>
  <c r="BM141" i="4"/>
  <c r="BM167" i="4" s="1"/>
  <c r="BU141" i="4"/>
  <c r="BU167" i="4" s="1"/>
  <c r="CC141" i="4"/>
  <c r="CC167" i="4" s="1"/>
  <c r="CK141" i="4"/>
  <c r="CK167" i="4" s="1"/>
  <c r="CS141" i="4"/>
  <c r="CS167" i="4" s="1"/>
  <c r="DA141" i="4"/>
  <c r="DA167" i="4" s="1"/>
  <c r="DI141" i="4"/>
  <c r="DI167" i="4" s="1"/>
  <c r="DQ141" i="4"/>
  <c r="DQ167" i="4" s="1"/>
  <c r="DY141" i="4"/>
  <c r="DY167" i="4" s="1"/>
  <c r="EG141" i="4"/>
  <c r="EG167" i="4" s="1"/>
  <c r="EO141" i="4"/>
  <c r="EO167" i="4" s="1"/>
  <c r="F142" i="4"/>
  <c r="F168" i="4" s="1"/>
  <c r="N142" i="4"/>
  <c r="N168" i="4" s="1"/>
  <c r="V142" i="4"/>
  <c r="V168" i="4" s="1"/>
  <c r="AD142" i="4"/>
  <c r="AD168" i="4" s="1"/>
  <c r="AL142" i="4"/>
  <c r="AL168" i="4" s="1"/>
  <c r="AT142" i="4"/>
  <c r="AT168" i="4" s="1"/>
  <c r="BB142" i="4"/>
  <c r="BB168" i="4" s="1"/>
  <c r="BJ142" i="4"/>
  <c r="BJ168" i="4" s="1"/>
  <c r="BR142" i="4"/>
  <c r="BR168" i="4" s="1"/>
  <c r="BZ142" i="4"/>
  <c r="BZ168" i="4" s="1"/>
  <c r="CH142" i="4"/>
  <c r="CH168" i="4" s="1"/>
  <c r="CP142" i="4"/>
  <c r="CP168" i="4" s="1"/>
  <c r="C138" i="4"/>
  <c r="C164" i="4" s="1"/>
  <c r="K138" i="4"/>
  <c r="K164" i="4" s="1"/>
  <c r="S138" i="4"/>
  <c r="S164" i="4" s="1"/>
  <c r="AA138" i="4"/>
  <c r="AA164" i="4" s="1"/>
  <c r="AI138" i="4"/>
  <c r="AI164" i="4" s="1"/>
  <c r="AQ138" i="4"/>
  <c r="AQ164" i="4" s="1"/>
  <c r="AY138" i="4"/>
  <c r="AY164" i="4" s="1"/>
  <c r="BG138" i="4"/>
  <c r="BG164" i="4" s="1"/>
  <c r="BO138" i="4"/>
  <c r="BO164" i="4" s="1"/>
  <c r="BW138" i="4"/>
  <c r="BW164" i="4" s="1"/>
  <c r="CE138" i="4"/>
  <c r="CE164" i="4" s="1"/>
  <c r="CM138" i="4"/>
  <c r="CM164" i="4" s="1"/>
  <c r="CU138" i="4"/>
  <c r="CU164" i="4" s="1"/>
  <c r="DC138" i="4"/>
  <c r="DC164" i="4" s="1"/>
  <c r="DK138" i="4"/>
  <c r="DK164" i="4" s="1"/>
  <c r="DS138" i="4"/>
  <c r="DS164" i="4" s="1"/>
  <c r="EA138" i="4"/>
  <c r="EA164" i="4" s="1"/>
  <c r="EI138" i="4"/>
  <c r="EI164" i="4" s="1"/>
  <c r="EQ138" i="4"/>
  <c r="EQ164" i="4" s="1"/>
  <c r="H139" i="4"/>
  <c r="H165" i="4" s="1"/>
  <c r="P139" i="4"/>
  <c r="P165" i="4" s="1"/>
  <c r="X139" i="4"/>
  <c r="X165" i="4" s="1"/>
  <c r="AF139" i="4"/>
  <c r="AF165" i="4" s="1"/>
  <c r="AN139" i="4"/>
  <c r="AN165" i="4" s="1"/>
  <c r="AV139" i="4"/>
  <c r="AV165" i="4" s="1"/>
  <c r="BD139" i="4"/>
  <c r="BD165" i="4" s="1"/>
  <c r="BL139" i="4"/>
  <c r="BL165" i="4" s="1"/>
  <c r="BT139" i="4"/>
  <c r="BT165" i="4" s="1"/>
  <c r="CB139" i="4"/>
  <c r="CB165" i="4" s="1"/>
  <c r="CJ139" i="4"/>
  <c r="CJ165" i="4" s="1"/>
  <c r="CR139" i="4"/>
  <c r="CR165" i="4" s="1"/>
  <c r="CZ139" i="4"/>
  <c r="CZ165" i="4" s="1"/>
  <c r="DH139" i="4"/>
  <c r="DH165" i="4" s="1"/>
  <c r="DP139" i="4"/>
  <c r="DP165" i="4" s="1"/>
  <c r="DX139" i="4"/>
  <c r="DX165" i="4" s="1"/>
  <c r="EF139" i="4"/>
  <c r="EF165" i="4" s="1"/>
  <c r="EN139" i="4"/>
  <c r="EN165" i="4" s="1"/>
  <c r="E140" i="4"/>
  <c r="E166" i="4" s="1"/>
  <c r="M140" i="4"/>
  <c r="M166" i="4" s="1"/>
  <c r="U140" i="4"/>
  <c r="U166" i="4" s="1"/>
  <c r="AC140" i="4"/>
  <c r="AC166" i="4" s="1"/>
  <c r="AK140" i="4"/>
  <c r="AK166" i="4" s="1"/>
  <c r="AS140" i="4"/>
  <c r="AS166" i="4" s="1"/>
  <c r="BA140" i="4"/>
  <c r="BA166" i="4" s="1"/>
  <c r="BI140" i="4"/>
  <c r="BI166" i="4" s="1"/>
  <c r="BQ140" i="4"/>
  <c r="BQ166" i="4" s="1"/>
  <c r="BY140" i="4"/>
  <c r="BY166" i="4" s="1"/>
  <c r="CG140" i="4"/>
  <c r="CG166" i="4" s="1"/>
  <c r="CO140" i="4"/>
  <c r="CO166" i="4" s="1"/>
  <c r="CW140" i="4"/>
  <c r="CW166" i="4" s="1"/>
  <c r="DE140" i="4"/>
  <c r="DE166" i="4" s="1"/>
  <c r="DM140" i="4"/>
  <c r="DM166" i="4" s="1"/>
  <c r="DU140" i="4"/>
  <c r="DU166" i="4" s="1"/>
  <c r="EC140" i="4"/>
  <c r="EC166" i="4" s="1"/>
  <c r="EK140" i="4"/>
  <c r="EK166" i="4" s="1"/>
  <c r="ES140" i="4"/>
  <c r="ES166" i="4" s="1"/>
  <c r="J141" i="4"/>
  <c r="J167" i="4" s="1"/>
  <c r="R141" i="4"/>
  <c r="R167" i="4" s="1"/>
  <c r="Z141" i="4"/>
  <c r="Z167" i="4" s="1"/>
  <c r="AH141" i="4"/>
  <c r="AH167" i="4" s="1"/>
  <c r="AP141" i="4"/>
  <c r="AP167" i="4" s="1"/>
  <c r="AX141" i="4"/>
  <c r="AX167" i="4" s="1"/>
  <c r="BF141" i="4"/>
  <c r="BF167" i="4" s="1"/>
  <c r="BN141" i="4"/>
  <c r="BN167" i="4" s="1"/>
  <c r="BV141" i="4"/>
  <c r="BV167" i="4" s="1"/>
  <c r="CD141" i="4"/>
  <c r="CD167" i="4" s="1"/>
  <c r="CL141" i="4"/>
  <c r="CL167" i="4" s="1"/>
  <c r="CT141" i="4"/>
  <c r="CT167" i="4" s="1"/>
  <c r="DB141" i="4"/>
  <c r="DB167" i="4" s="1"/>
  <c r="DJ141" i="4"/>
  <c r="DJ167" i="4" s="1"/>
  <c r="DR141" i="4"/>
  <c r="DR167" i="4" s="1"/>
  <c r="DZ141" i="4"/>
  <c r="DZ167" i="4" s="1"/>
  <c r="EH141" i="4"/>
  <c r="EH167" i="4" s="1"/>
  <c r="EP141" i="4"/>
  <c r="EP167" i="4" s="1"/>
  <c r="G142" i="4"/>
  <c r="G168" i="4" s="1"/>
  <c r="O142" i="4"/>
  <c r="O168" i="4" s="1"/>
  <c r="W142" i="4"/>
  <c r="W168" i="4" s="1"/>
  <c r="AE142" i="4"/>
  <c r="AE168" i="4" s="1"/>
  <c r="AM142" i="4"/>
  <c r="AM168" i="4" s="1"/>
  <c r="AU142" i="4"/>
  <c r="AU168" i="4" s="1"/>
  <c r="BC142" i="4"/>
  <c r="BC168" i="4" s="1"/>
  <c r="BK142" i="4"/>
  <c r="BK168" i="4" s="1"/>
  <c r="BS142" i="4"/>
  <c r="BS168" i="4" s="1"/>
  <c r="CA142" i="4"/>
  <c r="CA168" i="4" s="1"/>
  <c r="CI142" i="4"/>
  <c r="CI168" i="4" s="1"/>
  <c r="D138" i="4"/>
  <c r="D164" i="4" s="1"/>
  <c r="L138" i="4"/>
  <c r="L164" i="4" s="1"/>
  <c r="T138" i="4"/>
  <c r="T164" i="4" s="1"/>
  <c r="AB138" i="4"/>
  <c r="AB164" i="4" s="1"/>
  <c r="AJ138" i="4"/>
  <c r="AJ164" i="4" s="1"/>
  <c r="AR138" i="4"/>
  <c r="AR164" i="4" s="1"/>
  <c r="AZ138" i="4"/>
  <c r="AZ164" i="4" s="1"/>
  <c r="BH138" i="4"/>
  <c r="BH164" i="4" s="1"/>
  <c r="BP138" i="4"/>
  <c r="BP164" i="4" s="1"/>
  <c r="BX138" i="4"/>
  <c r="BX164" i="4" s="1"/>
  <c r="CF138" i="4"/>
  <c r="CF164" i="4" s="1"/>
  <c r="CN138" i="4"/>
  <c r="CN164" i="4" s="1"/>
  <c r="CV138" i="4"/>
  <c r="CV164" i="4" s="1"/>
  <c r="DD138" i="4"/>
  <c r="DD164" i="4" s="1"/>
  <c r="DL138" i="4"/>
  <c r="DL164" i="4" s="1"/>
  <c r="DT138" i="4"/>
  <c r="DT164" i="4" s="1"/>
  <c r="EB138" i="4"/>
  <c r="EB164" i="4" s="1"/>
  <c r="EJ138" i="4"/>
  <c r="EJ164" i="4" s="1"/>
  <c r="ER138" i="4"/>
  <c r="ER164" i="4" s="1"/>
  <c r="I139" i="4"/>
  <c r="I165" i="4" s="1"/>
  <c r="Q139" i="4"/>
  <c r="Q165" i="4" s="1"/>
  <c r="Y139" i="4"/>
  <c r="Y165" i="4" s="1"/>
  <c r="AG139" i="4"/>
  <c r="AG165" i="4" s="1"/>
  <c r="AO139" i="4"/>
  <c r="AO165" i="4" s="1"/>
  <c r="AW139" i="4"/>
  <c r="AW165" i="4" s="1"/>
  <c r="BE139" i="4"/>
  <c r="BE165" i="4" s="1"/>
  <c r="BM139" i="4"/>
  <c r="BM165" i="4" s="1"/>
  <c r="BU139" i="4"/>
  <c r="BU165" i="4" s="1"/>
  <c r="CC139" i="4"/>
  <c r="CC165" i="4" s="1"/>
  <c r="CK139" i="4"/>
  <c r="CK165" i="4" s="1"/>
  <c r="CS139" i="4"/>
  <c r="CS165" i="4" s="1"/>
  <c r="DA139" i="4"/>
  <c r="DA165" i="4" s="1"/>
  <c r="DI139" i="4"/>
  <c r="DI165" i="4" s="1"/>
  <c r="DQ139" i="4"/>
  <c r="DQ165" i="4" s="1"/>
  <c r="DY139" i="4"/>
  <c r="DY165" i="4" s="1"/>
  <c r="EG139" i="4"/>
  <c r="EG165" i="4" s="1"/>
  <c r="EO139" i="4"/>
  <c r="EO165" i="4" s="1"/>
  <c r="F140" i="4"/>
  <c r="F166" i="4" s="1"/>
  <c r="N140" i="4"/>
  <c r="N166" i="4" s="1"/>
  <c r="V140" i="4"/>
  <c r="V166" i="4" s="1"/>
  <c r="AD140" i="4"/>
  <c r="AD166" i="4" s="1"/>
  <c r="AL140" i="4"/>
  <c r="AL166" i="4" s="1"/>
  <c r="AT140" i="4"/>
  <c r="AT166" i="4" s="1"/>
  <c r="BB140" i="4"/>
  <c r="BB166" i="4" s="1"/>
  <c r="BJ140" i="4"/>
  <c r="BJ166" i="4" s="1"/>
  <c r="BR140" i="4"/>
  <c r="BR166" i="4" s="1"/>
  <c r="BZ140" i="4"/>
  <c r="BZ166" i="4" s="1"/>
  <c r="CH140" i="4"/>
  <c r="CH166" i="4" s="1"/>
  <c r="CP140" i="4"/>
  <c r="CP166" i="4" s="1"/>
  <c r="CX140" i="4"/>
  <c r="CX166" i="4" s="1"/>
  <c r="DF140" i="4"/>
  <c r="DF166" i="4" s="1"/>
  <c r="DN140" i="4"/>
  <c r="DN166" i="4" s="1"/>
  <c r="DV140" i="4"/>
  <c r="DV166" i="4" s="1"/>
  <c r="ED140" i="4"/>
  <c r="ED166" i="4" s="1"/>
  <c r="EL140" i="4"/>
  <c r="EL166" i="4" s="1"/>
  <c r="C141" i="4"/>
  <c r="C167" i="4" s="1"/>
  <c r="K141" i="4"/>
  <c r="K167" i="4" s="1"/>
  <c r="S141" i="4"/>
  <c r="S167" i="4" s="1"/>
  <c r="AA141" i="4"/>
  <c r="AA167" i="4" s="1"/>
  <c r="AI141" i="4"/>
  <c r="AI167" i="4" s="1"/>
  <c r="AQ141" i="4"/>
  <c r="AQ167" i="4" s="1"/>
  <c r="AY141" i="4"/>
  <c r="AY167" i="4" s="1"/>
  <c r="BG141" i="4"/>
  <c r="BG167" i="4" s="1"/>
  <c r="BO141" i="4"/>
  <c r="BO167" i="4" s="1"/>
  <c r="BW141" i="4"/>
  <c r="BW167" i="4" s="1"/>
  <c r="CE141" i="4"/>
  <c r="CE167" i="4" s="1"/>
  <c r="CM141" i="4"/>
  <c r="CM167" i="4" s="1"/>
  <c r="CU141" i="4"/>
  <c r="CU167" i="4" s="1"/>
  <c r="DC141" i="4"/>
  <c r="DC167" i="4" s="1"/>
  <c r="DK141" i="4"/>
  <c r="DK167" i="4" s="1"/>
  <c r="DS141" i="4"/>
  <c r="DS167" i="4" s="1"/>
  <c r="EA141" i="4"/>
  <c r="EA167" i="4" s="1"/>
  <c r="EI141" i="4"/>
  <c r="EI167" i="4" s="1"/>
  <c r="EQ141" i="4"/>
  <c r="EQ167" i="4" s="1"/>
  <c r="H142" i="4"/>
  <c r="H168" i="4" s="1"/>
  <c r="P142" i="4"/>
  <c r="P168" i="4" s="1"/>
  <c r="X142" i="4"/>
  <c r="X168" i="4" s="1"/>
  <c r="AF142" i="4"/>
  <c r="AF168" i="4" s="1"/>
  <c r="AN142" i="4"/>
  <c r="AN168" i="4" s="1"/>
  <c r="AV142" i="4"/>
  <c r="AV168" i="4" s="1"/>
  <c r="BD142" i="4"/>
  <c r="BD168" i="4" s="1"/>
  <c r="BL142" i="4"/>
  <c r="BL168" i="4" s="1"/>
  <c r="BT142" i="4"/>
  <c r="BT168" i="4" s="1"/>
  <c r="CB142" i="4"/>
  <c r="CB168" i="4" s="1"/>
  <c r="CJ142" i="4"/>
  <c r="CJ168" i="4" s="1"/>
  <c r="E138" i="4"/>
  <c r="E164" i="4" s="1"/>
  <c r="M138" i="4"/>
  <c r="M164" i="4" s="1"/>
  <c r="U138" i="4"/>
  <c r="U164" i="4" s="1"/>
  <c r="AC138" i="4"/>
  <c r="AC164" i="4" s="1"/>
  <c r="AK138" i="4"/>
  <c r="AK164" i="4" s="1"/>
  <c r="AS138" i="4"/>
  <c r="AS164" i="4" s="1"/>
  <c r="BA138" i="4"/>
  <c r="BA164" i="4" s="1"/>
  <c r="BI138" i="4"/>
  <c r="BI164" i="4" s="1"/>
  <c r="BQ138" i="4"/>
  <c r="BQ164" i="4" s="1"/>
  <c r="BY138" i="4"/>
  <c r="BY164" i="4" s="1"/>
  <c r="CG138" i="4"/>
  <c r="CG164" i="4" s="1"/>
  <c r="CO138" i="4"/>
  <c r="CO164" i="4" s="1"/>
  <c r="CW138" i="4"/>
  <c r="CW164" i="4" s="1"/>
  <c r="DE138" i="4"/>
  <c r="DE164" i="4" s="1"/>
  <c r="DM138" i="4"/>
  <c r="DM164" i="4" s="1"/>
  <c r="DU138" i="4"/>
  <c r="DU164" i="4" s="1"/>
  <c r="EC138" i="4"/>
  <c r="EC164" i="4" s="1"/>
  <c r="EK138" i="4"/>
  <c r="EK164" i="4" s="1"/>
  <c r="ES138" i="4"/>
  <c r="ES164" i="4" s="1"/>
  <c r="J139" i="4"/>
  <c r="J165" i="4" s="1"/>
  <c r="R139" i="4"/>
  <c r="R165" i="4" s="1"/>
  <c r="Z139" i="4"/>
  <c r="Z165" i="4" s="1"/>
  <c r="AH139" i="4"/>
  <c r="AH165" i="4" s="1"/>
  <c r="AP139" i="4"/>
  <c r="AP165" i="4" s="1"/>
  <c r="AX139" i="4"/>
  <c r="AX165" i="4" s="1"/>
  <c r="BF139" i="4"/>
  <c r="BF165" i="4" s="1"/>
  <c r="BN139" i="4"/>
  <c r="BN165" i="4" s="1"/>
  <c r="BV139" i="4"/>
  <c r="BV165" i="4" s="1"/>
  <c r="CD139" i="4"/>
  <c r="CD165" i="4" s="1"/>
  <c r="CL139" i="4"/>
  <c r="CL165" i="4" s="1"/>
  <c r="CT139" i="4"/>
  <c r="CT165" i="4" s="1"/>
  <c r="DB139" i="4"/>
  <c r="DB165" i="4" s="1"/>
  <c r="DJ139" i="4"/>
  <c r="DJ165" i="4" s="1"/>
  <c r="DR139" i="4"/>
  <c r="DR165" i="4" s="1"/>
  <c r="DZ139" i="4"/>
  <c r="DZ165" i="4" s="1"/>
  <c r="EH139" i="4"/>
  <c r="EH165" i="4" s="1"/>
  <c r="EP139" i="4"/>
  <c r="EP165" i="4" s="1"/>
  <c r="G140" i="4"/>
  <c r="G166" i="4" s="1"/>
  <c r="O140" i="4"/>
  <c r="O166" i="4" s="1"/>
  <c r="W140" i="4"/>
  <c r="W166" i="4" s="1"/>
  <c r="AE140" i="4"/>
  <c r="AE166" i="4" s="1"/>
  <c r="AM140" i="4"/>
  <c r="AM166" i="4" s="1"/>
  <c r="AU140" i="4"/>
  <c r="AU166" i="4" s="1"/>
  <c r="BC140" i="4"/>
  <c r="BC166" i="4" s="1"/>
  <c r="BK140" i="4"/>
  <c r="BK166" i="4" s="1"/>
  <c r="BS140" i="4"/>
  <c r="BS166" i="4" s="1"/>
  <c r="CA140" i="4"/>
  <c r="CA166" i="4" s="1"/>
  <c r="CI140" i="4"/>
  <c r="CI166" i="4" s="1"/>
  <c r="CQ140" i="4"/>
  <c r="CQ166" i="4" s="1"/>
  <c r="CY140" i="4"/>
  <c r="CY166" i="4" s="1"/>
  <c r="DG140" i="4"/>
  <c r="DG166" i="4" s="1"/>
  <c r="DO140" i="4"/>
  <c r="DO166" i="4" s="1"/>
  <c r="DW140" i="4"/>
  <c r="DW166" i="4" s="1"/>
  <c r="EE140" i="4"/>
  <c r="EE166" i="4" s="1"/>
  <c r="EM140" i="4"/>
  <c r="EM166" i="4" s="1"/>
  <c r="D141" i="4"/>
  <c r="D167" i="4" s="1"/>
  <c r="L141" i="4"/>
  <c r="L167" i="4" s="1"/>
  <c r="T141" i="4"/>
  <c r="T167" i="4" s="1"/>
  <c r="AB141" i="4"/>
  <c r="AB167" i="4" s="1"/>
  <c r="AJ141" i="4"/>
  <c r="AJ167" i="4" s="1"/>
  <c r="AR141" i="4"/>
  <c r="AR167" i="4" s="1"/>
  <c r="AZ141" i="4"/>
  <c r="AZ167" i="4" s="1"/>
  <c r="BH141" i="4"/>
  <c r="BH167" i="4" s="1"/>
  <c r="BP141" i="4"/>
  <c r="BP167" i="4" s="1"/>
  <c r="BX141" i="4"/>
  <c r="BX167" i="4" s="1"/>
  <c r="CF141" i="4"/>
  <c r="CF167" i="4" s="1"/>
  <c r="CN141" i="4"/>
  <c r="CN167" i="4" s="1"/>
  <c r="CV141" i="4"/>
  <c r="CV167" i="4" s="1"/>
  <c r="DD141" i="4"/>
  <c r="DD167" i="4" s="1"/>
  <c r="DL141" i="4"/>
  <c r="DL167" i="4" s="1"/>
  <c r="DT141" i="4"/>
  <c r="DT167" i="4" s="1"/>
  <c r="EB141" i="4"/>
  <c r="EB167" i="4" s="1"/>
  <c r="EJ141" i="4"/>
  <c r="EJ167" i="4" s="1"/>
  <c r="ER141" i="4"/>
  <c r="ER167" i="4" s="1"/>
  <c r="I142" i="4"/>
  <c r="I168" i="4" s="1"/>
  <c r="Q142" i="4"/>
  <c r="Q168" i="4" s="1"/>
  <c r="Y142" i="4"/>
  <c r="Y168" i="4" s="1"/>
  <c r="AG142" i="4"/>
  <c r="AG168" i="4" s="1"/>
  <c r="AO142" i="4"/>
  <c r="AO168" i="4" s="1"/>
  <c r="AW142" i="4"/>
  <c r="AW168" i="4" s="1"/>
  <c r="BE142" i="4"/>
  <c r="BE168" i="4" s="1"/>
  <c r="BM142" i="4"/>
  <c r="BM168" i="4" s="1"/>
  <c r="BU142" i="4"/>
  <c r="BU168" i="4" s="1"/>
  <c r="CC142" i="4"/>
  <c r="CC168" i="4" s="1"/>
  <c r="CK142" i="4"/>
  <c r="CK168" i="4" s="1"/>
  <c r="F138" i="4"/>
  <c r="F164" i="4" s="1"/>
  <c r="N138" i="4"/>
  <c r="N164" i="4" s="1"/>
  <c r="V138" i="4"/>
  <c r="V164" i="4" s="1"/>
  <c r="AD138" i="4"/>
  <c r="AD164" i="4" s="1"/>
  <c r="AL138" i="4"/>
  <c r="AL164" i="4" s="1"/>
  <c r="AT138" i="4"/>
  <c r="AT164" i="4" s="1"/>
  <c r="BB138" i="4"/>
  <c r="BB164" i="4" s="1"/>
  <c r="BJ138" i="4"/>
  <c r="BJ164" i="4" s="1"/>
  <c r="BR138" i="4"/>
  <c r="BR164" i="4" s="1"/>
  <c r="BZ138" i="4"/>
  <c r="BZ164" i="4" s="1"/>
  <c r="CH138" i="4"/>
  <c r="CH164" i="4" s="1"/>
  <c r="CP138" i="4"/>
  <c r="CP164" i="4" s="1"/>
  <c r="CX138" i="4"/>
  <c r="CX164" i="4" s="1"/>
  <c r="DF138" i="4"/>
  <c r="DF164" i="4" s="1"/>
  <c r="DN138" i="4"/>
  <c r="DN164" i="4" s="1"/>
  <c r="DV138" i="4"/>
  <c r="DV164" i="4" s="1"/>
  <c r="ED138" i="4"/>
  <c r="ED164" i="4" s="1"/>
  <c r="EL138" i="4"/>
  <c r="EL164" i="4" s="1"/>
  <c r="C139" i="4"/>
  <c r="C165" i="4" s="1"/>
  <c r="K139" i="4"/>
  <c r="K165" i="4" s="1"/>
  <c r="S139" i="4"/>
  <c r="S165" i="4" s="1"/>
  <c r="AA139" i="4"/>
  <c r="AA165" i="4" s="1"/>
  <c r="AI139" i="4"/>
  <c r="AI165" i="4" s="1"/>
  <c r="AQ139" i="4"/>
  <c r="AQ165" i="4" s="1"/>
  <c r="AY139" i="4"/>
  <c r="AY165" i="4" s="1"/>
  <c r="BG139" i="4"/>
  <c r="BG165" i="4" s="1"/>
  <c r="BO139" i="4"/>
  <c r="BO165" i="4" s="1"/>
  <c r="BW139" i="4"/>
  <c r="BW165" i="4" s="1"/>
  <c r="CE139" i="4"/>
  <c r="CE165" i="4" s="1"/>
  <c r="CM139" i="4"/>
  <c r="CM165" i="4" s="1"/>
  <c r="CU139" i="4"/>
  <c r="CU165" i="4" s="1"/>
  <c r="DC139" i="4"/>
  <c r="DC165" i="4" s="1"/>
  <c r="DK139" i="4"/>
  <c r="DK165" i="4" s="1"/>
  <c r="DS139" i="4"/>
  <c r="DS165" i="4" s="1"/>
  <c r="EA139" i="4"/>
  <c r="EA165" i="4" s="1"/>
  <c r="EI139" i="4"/>
  <c r="EI165" i="4" s="1"/>
  <c r="EQ139" i="4"/>
  <c r="EQ165" i="4" s="1"/>
  <c r="H140" i="4"/>
  <c r="H166" i="4" s="1"/>
  <c r="P140" i="4"/>
  <c r="P166" i="4" s="1"/>
  <c r="X140" i="4"/>
  <c r="X166" i="4" s="1"/>
  <c r="AF140" i="4"/>
  <c r="AF166" i="4" s="1"/>
  <c r="AN140" i="4"/>
  <c r="AN166" i="4" s="1"/>
  <c r="AV140" i="4"/>
  <c r="AV166" i="4" s="1"/>
  <c r="BD140" i="4"/>
  <c r="BD166" i="4" s="1"/>
  <c r="BL140" i="4"/>
  <c r="BL166" i="4" s="1"/>
  <c r="BT140" i="4"/>
  <c r="BT166" i="4" s="1"/>
  <c r="CB140" i="4"/>
  <c r="CB166" i="4" s="1"/>
  <c r="CJ140" i="4"/>
  <c r="CJ166" i="4" s="1"/>
  <c r="CR140" i="4"/>
  <c r="CR166" i="4" s="1"/>
  <c r="CZ140" i="4"/>
  <c r="CZ166" i="4" s="1"/>
  <c r="DH140" i="4"/>
  <c r="DH166" i="4" s="1"/>
  <c r="DP140" i="4"/>
  <c r="DP166" i="4" s="1"/>
  <c r="DX140" i="4"/>
  <c r="DX166" i="4" s="1"/>
  <c r="EF140" i="4"/>
  <c r="EF166" i="4" s="1"/>
  <c r="EN140" i="4"/>
  <c r="EN166" i="4" s="1"/>
  <c r="E141" i="4"/>
  <c r="E167" i="4" s="1"/>
  <c r="M141" i="4"/>
  <c r="M167" i="4" s="1"/>
  <c r="U141" i="4"/>
  <c r="U167" i="4" s="1"/>
  <c r="AC141" i="4"/>
  <c r="AC167" i="4" s="1"/>
  <c r="AK141" i="4"/>
  <c r="AK167" i="4" s="1"/>
  <c r="AS141" i="4"/>
  <c r="AS167" i="4" s="1"/>
  <c r="BA141" i="4"/>
  <c r="BA167" i="4" s="1"/>
  <c r="BI141" i="4"/>
  <c r="BI167" i="4" s="1"/>
  <c r="BQ141" i="4"/>
  <c r="BQ167" i="4" s="1"/>
  <c r="BY141" i="4"/>
  <c r="BY167" i="4" s="1"/>
  <c r="CG141" i="4"/>
  <c r="CG167" i="4" s="1"/>
  <c r="CO141" i="4"/>
  <c r="CO167" i="4" s="1"/>
  <c r="CW141" i="4"/>
  <c r="CW167" i="4" s="1"/>
  <c r="DE141" i="4"/>
  <c r="DE167" i="4" s="1"/>
  <c r="DM141" i="4"/>
  <c r="DM167" i="4" s="1"/>
  <c r="DU141" i="4"/>
  <c r="DU167" i="4" s="1"/>
  <c r="EC141" i="4"/>
  <c r="EC167" i="4" s="1"/>
  <c r="EK141" i="4"/>
  <c r="EK167" i="4" s="1"/>
  <c r="ES141" i="4"/>
  <c r="ES167" i="4" s="1"/>
  <c r="J142" i="4"/>
  <c r="J168" i="4" s="1"/>
  <c r="R142" i="4"/>
  <c r="R168" i="4" s="1"/>
  <c r="Z142" i="4"/>
  <c r="Z168" i="4" s="1"/>
  <c r="AH142" i="4"/>
  <c r="AH168" i="4" s="1"/>
  <c r="AP142" i="4"/>
  <c r="AP168" i="4" s="1"/>
  <c r="AX142" i="4"/>
  <c r="AX168" i="4" s="1"/>
  <c r="BF142" i="4"/>
  <c r="BF168" i="4" s="1"/>
  <c r="BN142" i="4"/>
  <c r="BN168" i="4" s="1"/>
  <c r="BV142" i="4"/>
  <c r="BV168" i="4" s="1"/>
  <c r="CD142" i="4"/>
  <c r="CD168" i="4" s="1"/>
  <c r="CL142" i="4"/>
  <c r="CL168" i="4" s="1"/>
  <c r="H138" i="4"/>
  <c r="H164" i="4" s="1"/>
  <c r="P138" i="4"/>
  <c r="P164" i="4" s="1"/>
  <c r="X138" i="4"/>
  <c r="X164" i="4" s="1"/>
  <c r="AF138" i="4"/>
  <c r="AF164" i="4" s="1"/>
  <c r="AN138" i="4"/>
  <c r="AN164" i="4" s="1"/>
  <c r="AV138" i="4"/>
  <c r="AV164" i="4" s="1"/>
  <c r="BD138" i="4"/>
  <c r="BD164" i="4" s="1"/>
  <c r="BL138" i="4"/>
  <c r="BL164" i="4" s="1"/>
  <c r="BT138" i="4"/>
  <c r="BT164" i="4" s="1"/>
  <c r="CB138" i="4"/>
  <c r="CB164" i="4" s="1"/>
  <c r="CJ138" i="4"/>
  <c r="CJ164" i="4" s="1"/>
  <c r="CR138" i="4"/>
  <c r="CR164" i="4" s="1"/>
  <c r="CZ138" i="4"/>
  <c r="CZ164" i="4" s="1"/>
  <c r="DH138" i="4"/>
  <c r="DH164" i="4" s="1"/>
  <c r="DP138" i="4"/>
  <c r="DP164" i="4" s="1"/>
  <c r="DX138" i="4"/>
  <c r="DX164" i="4" s="1"/>
  <c r="EF138" i="4"/>
  <c r="EF164" i="4" s="1"/>
  <c r="EN138" i="4"/>
  <c r="EN164" i="4" s="1"/>
  <c r="E139" i="4"/>
  <c r="E165" i="4" s="1"/>
  <c r="M139" i="4"/>
  <c r="M165" i="4" s="1"/>
  <c r="U139" i="4"/>
  <c r="U165" i="4" s="1"/>
  <c r="AC139" i="4"/>
  <c r="AC165" i="4" s="1"/>
  <c r="AK139" i="4"/>
  <c r="AK165" i="4" s="1"/>
  <c r="AS139" i="4"/>
  <c r="AS165" i="4" s="1"/>
  <c r="BA139" i="4"/>
  <c r="BA165" i="4" s="1"/>
  <c r="BI139" i="4"/>
  <c r="BI165" i="4" s="1"/>
  <c r="BQ139" i="4"/>
  <c r="BQ165" i="4" s="1"/>
  <c r="BY139" i="4"/>
  <c r="BY165" i="4" s="1"/>
  <c r="CG139" i="4"/>
  <c r="CG165" i="4" s="1"/>
  <c r="CO139" i="4"/>
  <c r="CO165" i="4" s="1"/>
  <c r="CW139" i="4"/>
  <c r="CW165" i="4" s="1"/>
  <c r="DE139" i="4"/>
  <c r="DE165" i="4" s="1"/>
  <c r="DM139" i="4"/>
  <c r="DM165" i="4" s="1"/>
  <c r="DU139" i="4"/>
  <c r="DU165" i="4" s="1"/>
  <c r="EC139" i="4"/>
  <c r="EC165" i="4" s="1"/>
  <c r="EK139" i="4"/>
  <c r="EK165" i="4" s="1"/>
  <c r="ES139" i="4"/>
  <c r="ES165" i="4" s="1"/>
  <c r="J140" i="4"/>
  <c r="J166" i="4" s="1"/>
  <c r="R140" i="4"/>
  <c r="R166" i="4" s="1"/>
  <c r="Z140" i="4"/>
  <c r="Z166" i="4" s="1"/>
  <c r="AH140" i="4"/>
  <c r="AH166" i="4" s="1"/>
  <c r="AP140" i="4"/>
  <c r="AP166" i="4" s="1"/>
  <c r="AX140" i="4"/>
  <c r="AX166" i="4" s="1"/>
  <c r="BF140" i="4"/>
  <c r="BF166" i="4" s="1"/>
  <c r="BN140" i="4"/>
  <c r="BN166" i="4" s="1"/>
  <c r="BV140" i="4"/>
  <c r="BV166" i="4" s="1"/>
  <c r="CD140" i="4"/>
  <c r="CD166" i="4" s="1"/>
  <c r="CL140" i="4"/>
  <c r="CL166" i="4" s="1"/>
  <c r="CT140" i="4"/>
  <c r="CT166" i="4" s="1"/>
  <c r="DB140" i="4"/>
  <c r="DB166" i="4" s="1"/>
  <c r="DJ140" i="4"/>
  <c r="DJ166" i="4" s="1"/>
  <c r="DR140" i="4"/>
  <c r="DR166" i="4" s="1"/>
  <c r="DZ140" i="4"/>
  <c r="DZ166" i="4" s="1"/>
  <c r="EH140" i="4"/>
  <c r="EH166" i="4" s="1"/>
  <c r="EP140" i="4"/>
  <c r="EP166" i="4" s="1"/>
  <c r="G141" i="4"/>
  <c r="G167" i="4" s="1"/>
  <c r="O141" i="4"/>
  <c r="O167" i="4" s="1"/>
  <c r="W141" i="4"/>
  <c r="W167" i="4" s="1"/>
  <c r="AE141" i="4"/>
  <c r="AE167" i="4" s="1"/>
  <c r="AM141" i="4"/>
  <c r="AM167" i="4" s="1"/>
  <c r="AU141" i="4"/>
  <c r="AU167" i="4" s="1"/>
  <c r="BC141" i="4"/>
  <c r="BC167" i="4" s="1"/>
  <c r="BK141" i="4"/>
  <c r="BK167" i="4" s="1"/>
  <c r="BS141" i="4"/>
  <c r="BS167" i="4" s="1"/>
  <c r="CA141" i="4"/>
  <c r="CA167" i="4" s="1"/>
  <c r="CI141" i="4"/>
  <c r="CI167" i="4" s="1"/>
  <c r="CQ141" i="4"/>
  <c r="CQ167" i="4" s="1"/>
  <c r="CY141" i="4"/>
  <c r="CY167" i="4" s="1"/>
  <c r="DG141" i="4"/>
  <c r="DG167" i="4" s="1"/>
  <c r="DO141" i="4"/>
  <c r="DO167" i="4" s="1"/>
  <c r="DW141" i="4"/>
  <c r="DW167" i="4" s="1"/>
  <c r="EE141" i="4"/>
  <c r="EE167" i="4" s="1"/>
  <c r="EM141" i="4"/>
  <c r="EM167" i="4" s="1"/>
  <c r="D142" i="4"/>
  <c r="D168" i="4" s="1"/>
  <c r="L142" i="4"/>
  <c r="L168" i="4" s="1"/>
  <c r="T142" i="4"/>
  <c r="T168" i="4" s="1"/>
  <c r="AB142" i="4"/>
  <c r="AB168" i="4" s="1"/>
  <c r="AJ142" i="4"/>
  <c r="AJ168" i="4" s="1"/>
  <c r="AR142" i="4"/>
  <c r="AR168" i="4" s="1"/>
  <c r="AZ142" i="4"/>
  <c r="AZ168" i="4" s="1"/>
  <c r="AG138" i="4"/>
  <c r="AG164" i="4" s="1"/>
  <c r="BM138" i="4"/>
  <c r="BM164" i="4" s="1"/>
  <c r="CS138" i="4"/>
  <c r="CS164" i="4" s="1"/>
  <c r="DY138" i="4"/>
  <c r="DY164" i="4" s="1"/>
  <c r="N139" i="4"/>
  <c r="N165" i="4" s="1"/>
  <c r="AT139" i="4"/>
  <c r="AT165" i="4" s="1"/>
  <c r="BZ139" i="4"/>
  <c r="BZ165" i="4" s="1"/>
  <c r="DF139" i="4"/>
  <c r="DF165" i="4" s="1"/>
  <c r="EL139" i="4"/>
  <c r="EL165" i="4" s="1"/>
  <c r="AA140" i="4"/>
  <c r="AA166" i="4" s="1"/>
  <c r="BG140" i="4"/>
  <c r="BG166" i="4" s="1"/>
  <c r="CM140" i="4"/>
  <c r="CM166" i="4" s="1"/>
  <c r="DS140" i="4"/>
  <c r="DS166" i="4" s="1"/>
  <c r="H141" i="4"/>
  <c r="H167" i="4" s="1"/>
  <c r="AN141" i="4"/>
  <c r="AN167" i="4" s="1"/>
  <c r="BT141" i="4"/>
  <c r="BT167" i="4" s="1"/>
  <c r="CZ141" i="4"/>
  <c r="CZ167" i="4" s="1"/>
  <c r="EF141" i="4"/>
  <c r="EF167" i="4" s="1"/>
  <c r="U142" i="4"/>
  <c r="U168" i="4" s="1"/>
  <c r="BA142" i="4"/>
  <c r="BA168" i="4" s="1"/>
  <c r="BX142" i="4"/>
  <c r="BX168" i="4" s="1"/>
  <c r="CQ142" i="4"/>
  <c r="CQ168" i="4" s="1"/>
  <c r="CY142" i="4"/>
  <c r="CY168" i="4" s="1"/>
  <c r="DG142" i="4"/>
  <c r="DG168" i="4" s="1"/>
  <c r="DO142" i="4"/>
  <c r="DO168" i="4" s="1"/>
  <c r="DW142" i="4"/>
  <c r="DW168" i="4" s="1"/>
  <c r="EE142" i="4"/>
  <c r="EE168" i="4" s="1"/>
  <c r="EM142" i="4"/>
  <c r="EM168" i="4" s="1"/>
  <c r="D143" i="4"/>
  <c r="D169" i="4" s="1"/>
  <c r="L143" i="4"/>
  <c r="L169" i="4" s="1"/>
  <c r="T143" i="4"/>
  <c r="T169" i="4" s="1"/>
  <c r="AB143" i="4"/>
  <c r="AB169" i="4" s="1"/>
  <c r="AJ143" i="4"/>
  <c r="AJ169" i="4" s="1"/>
  <c r="AR143" i="4"/>
  <c r="AR169" i="4" s="1"/>
  <c r="AZ143" i="4"/>
  <c r="AZ169" i="4" s="1"/>
  <c r="BH143" i="4"/>
  <c r="BH169" i="4" s="1"/>
  <c r="BP143" i="4"/>
  <c r="BP169" i="4" s="1"/>
  <c r="BX143" i="4"/>
  <c r="BX169" i="4" s="1"/>
  <c r="CF143" i="4"/>
  <c r="CF169" i="4" s="1"/>
  <c r="CN143" i="4"/>
  <c r="CN169" i="4" s="1"/>
  <c r="CV143" i="4"/>
  <c r="CV169" i="4" s="1"/>
  <c r="DD143" i="4"/>
  <c r="DD169" i="4" s="1"/>
  <c r="DL143" i="4"/>
  <c r="DL169" i="4" s="1"/>
  <c r="DT143" i="4"/>
  <c r="DT169" i="4" s="1"/>
  <c r="EB143" i="4"/>
  <c r="EB169" i="4" s="1"/>
  <c r="EJ143" i="4"/>
  <c r="EJ169" i="4" s="1"/>
  <c r="ER143" i="4"/>
  <c r="ER169" i="4" s="1"/>
  <c r="I144" i="4"/>
  <c r="I170" i="4" s="1"/>
  <c r="Q144" i="4"/>
  <c r="Q170" i="4" s="1"/>
  <c r="Y144" i="4"/>
  <c r="Y170" i="4" s="1"/>
  <c r="AG144" i="4"/>
  <c r="AG170" i="4" s="1"/>
  <c r="AO144" i="4"/>
  <c r="AO170" i="4" s="1"/>
  <c r="AW144" i="4"/>
  <c r="AW170" i="4" s="1"/>
  <c r="BE144" i="4"/>
  <c r="BE170" i="4" s="1"/>
  <c r="BM144" i="4"/>
  <c r="BM170" i="4" s="1"/>
  <c r="BU144" i="4"/>
  <c r="BU170" i="4" s="1"/>
  <c r="CC144" i="4"/>
  <c r="CC170" i="4" s="1"/>
  <c r="CK144" i="4"/>
  <c r="CK170" i="4" s="1"/>
  <c r="CS144" i="4"/>
  <c r="CS170" i="4" s="1"/>
  <c r="DA144" i="4"/>
  <c r="DA170" i="4" s="1"/>
  <c r="DI144" i="4"/>
  <c r="DI170" i="4" s="1"/>
  <c r="DQ144" i="4"/>
  <c r="DQ170" i="4" s="1"/>
  <c r="DY144" i="4"/>
  <c r="DY170" i="4" s="1"/>
  <c r="EG144" i="4"/>
  <c r="EG170" i="4" s="1"/>
  <c r="EO144" i="4"/>
  <c r="EO170" i="4" s="1"/>
  <c r="F145" i="4"/>
  <c r="F171" i="4" s="1"/>
  <c r="N145" i="4"/>
  <c r="N171" i="4" s="1"/>
  <c r="V145" i="4"/>
  <c r="V171" i="4" s="1"/>
  <c r="AD145" i="4"/>
  <c r="AD171" i="4" s="1"/>
  <c r="AL145" i="4"/>
  <c r="AL171" i="4" s="1"/>
  <c r="AT145" i="4"/>
  <c r="AT171" i="4" s="1"/>
  <c r="BB145" i="4"/>
  <c r="BB171" i="4" s="1"/>
  <c r="BJ145" i="4"/>
  <c r="BJ171" i="4" s="1"/>
  <c r="BR145" i="4"/>
  <c r="BR171" i="4" s="1"/>
  <c r="BZ145" i="4"/>
  <c r="BZ171" i="4" s="1"/>
  <c r="CH145" i="4"/>
  <c r="CH171" i="4" s="1"/>
  <c r="CP145" i="4"/>
  <c r="CP171" i="4" s="1"/>
  <c r="CX145" i="4"/>
  <c r="CX171" i="4" s="1"/>
  <c r="DF145" i="4"/>
  <c r="DF171" i="4" s="1"/>
  <c r="DN145" i="4"/>
  <c r="DN171" i="4" s="1"/>
  <c r="DV145" i="4"/>
  <c r="DV171" i="4" s="1"/>
  <c r="ED145" i="4"/>
  <c r="ED171" i="4" s="1"/>
  <c r="EL145" i="4"/>
  <c r="EL171" i="4" s="1"/>
  <c r="C146" i="4"/>
  <c r="C172" i="4" s="1"/>
  <c r="K146" i="4"/>
  <c r="K172" i="4" s="1"/>
  <c r="G138" i="4"/>
  <c r="G164" i="4" s="1"/>
  <c r="AM138" i="4"/>
  <c r="AM164" i="4" s="1"/>
  <c r="BS138" i="4"/>
  <c r="BS164" i="4" s="1"/>
  <c r="CY138" i="4"/>
  <c r="CY164" i="4" s="1"/>
  <c r="EE138" i="4"/>
  <c r="EE164" i="4" s="1"/>
  <c r="T139" i="4"/>
  <c r="T165" i="4" s="1"/>
  <c r="AZ139" i="4"/>
  <c r="AZ165" i="4" s="1"/>
  <c r="CF139" i="4"/>
  <c r="CF165" i="4" s="1"/>
  <c r="DL139" i="4"/>
  <c r="DL165" i="4" s="1"/>
  <c r="ER139" i="4"/>
  <c r="ER165" i="4" s="1"/>
  <c r="AG140" i="4"/>
  <c r="AG166" i="4" s="1"/>
  <c r="BM140" i="4"/>
  <c r="BM166" i="4" s="1"/>
  <c r="CS140" i="4"/>
  <c r="CS166" i="4" s="1"/>
  <c r="DY140" i="4"/>
  <c r="DY166" i="4" s="1"/>
  <c r="N141" i="4"/>
  <c r="N167" i="4" s="1"/>
  <c r="AT141" i="4"/>
  <c r="AT167" i="4" s="1"/>
  <c r="BZ141" i="4"/>
  <c r="BZ167" i="4" s="1"/>
  <c r="DF141" i="4"/>
  <c r="DF167" i="4" s="1"/>
  <c r="EL141" i="4"/>
  <c r="EL167" i="4" s="1"/>
  <c r="AA142" i="4"/>
  <c r="AA168" i="4" s="1"/>
  <c r="BG142" i="4"/>
  <c r="BG168" i="4" s="1"/>
  <c r="BY142" i="4"/>
  <c r="BY168" i="4" s="1"/>
  <c r="CR142" i="4"/>
  <c r="CR168" i="4" s="1"/>
  <c r="CZ142" i="4"/>
  <c r="CZ168" i="4" s="1"/>
  <c r="DH142" i="4"/>
  <c r="DH168" i="4" s="1"/>
  <c r="DP142" i="4"/>
  <c r="DP168" i="4" s="1"/>
  <c r="DX142" i="4"/>
  <c r="DX168" i="4" s="1"/>
  <c r="EF142" i="4"/>
  <c r="EF168" i="4" s="1"/>
  <c r="EN142" i="4"/>
  <c r="EN168" i="4" s="1"/>
  <c r="E143" i="4"/>
  <c r="E169" i="4" s="1"/>
  <c r="M143" i="4"/>
  <c r="M169" i="4" s="1"/>
  <c r="U143" i="4"/>
  <c r="U169" i="4" s="1"/>
  <c r="AC143" i="4"/>
  <c r="AC169" i="4" s="1"/>
  <c r="AK143" i="4"/>
  <c r="AK169" i="4" s="1"/>
  <c r="AS143" i="4"/>
  <c r="AS169" i="4" s="1"/>
  <c r="BA143" i="4"/>
  <c r="BA169" i="4" s="1"/>
  <c r="BI143" i="4"/>
  <c r="BI169" i="4" s="1"/>
  <c r="BQ143" i="4"/>
  <c r="BQ169" i="4" s="1"/>
  <c r="BY143" i="4"/>
  <c r="BY169" i="4" s="1"/>
  <c r="CG143" i="4"/>
  <c r="CG169" i="4" s="1"/>
  <c r="CO143" i="4"/>
  <c r="CO169" i="4" s="1"/>
  <c r="CW143" i="4"/>
  <c r="CW169" i="4" s="1"/>
  <c r="DE143" i="4"/>
  <c r="DE169" i="4" s="1"/>
  <c r="DM143" i="4"/>
  <c r="DM169" i="4" s="1"/>
  <c r="DU143" i="4"/>
  <c r="DU169" i="4" s="1"/>
  <c r="EC143" i="4"/>
  <c r="EC169" i="4" s="1"/>
  <c r="EK143" i="4"/>
  <c r="EK169" i="4" s="1"/>
  <c r="ES143" i="4"/>
  <c r="ES169" i="4" s="1"/>
  <c r="J144" i="4"/>
  <c r="J170" i="4" s="1"/>
  <c r="R144" i="4"/>
  <c r="R170" i="4" s="1"/>
  <c r="Z144" i="4"/>
  <c r="Z170" i="4" s="1"/>
  <c r="AH144" i="4"/>
  <c r="AH170" i="4" s="1"/>
  <c r="AP144" i="4"/>
  <c r="AP170" i="4" s="1"/>
  <c r="AX144" i="4"/>
  <c r="AX170" i="4" s="1"/>
  <c r="BF144" i="4"/>
  <c r="BF170" i="4" s="1"/>
  <c r="BN144" i="4"/>
  <c r="BN170" i="4" s="1"/>
  <c r="BV144" i="4"/>
  <c r="BV170" i="4" s="1"/>
  <c r="CD144" i="4"/>
  <c r="CD170" i="4" s="1"/>
  <c r="CL144" i="4"/>
  <c r="CL170" i="4" s="1"/>
  <c r="CT144" i="4"/>
  <c r="CT170" i="4" s="1"/>
  <c r="DB144" i="4"/>
  <c r="DB170" i="4" s="1"/>
  <c r="DJ144" i="4"/>
  <c r="DJ170" i="4" s="1"/>
  <c r="DR144" i="4"/>
  <c r="DR170" i="4" s="1"/>
  <c r="DZ144" i="4"/>
  <c r="DZ170" i="4" s="1"/>
  <c r="EH144" i="4"/>
  <c r="EH170" i="4" s="1"/>
  <c r="EP144" i="4"/>
  <c r="EP170" i="4" s="1"/>
  <c r="G145" i="4"/>
  <c r="G171" i="4" s="1"/>
  <c r="O145" i="4"/>
  <c r="O171" i="4" s="1"/>
  <c r="W145" i="4"/>
  <c r="W171" i="4" s="1"/>
  <c r="AE145" i="4"/>
  <c r="AE171" i="4" s="1"/>
  <c r="AM145" i="4"/>
  <c r="AM171" i="4" s="1"/>
  <c r="AU145" i="4"/>
  <c r="AU171" i="4" s="1"/>
  <c r="BC145" i="4"/>
  <c r="BC171" i="4" s="1"/>
  <c r="BK145" i="4"/>
  <c r="BK171" i="4" s="1"/>
  <c r="BS145" i="4"/>
  <c r="BS171" i="4" s="1"/>
  <c r="CA145" i="4"/>
  <c r="CA171" i="4" s="1"/>
  <c r="CI145" i="4"/>
  <c r="CI171" i="4" s="1"/>
  <c r="CQ145" i="4"/>
  <c r="CQ171" i="4" s="1"/>
  <c r="CY145" i="4"/>
  <c r="CY171" i="4" s="1"/>
  <c r="DG145" i="4"/>
  <c r="DG171" i="4" s="1"/>
  <c r="DO145" i="4"/>
  <c r="DO171" i="4" s="1"/>
  <c r="DW145" i="4"/>
  <c r="DW171" i="4" s="1"/>
  <c r="EE145" i="4"/>
  <c r="EE171" i="4" s="1"/>
  <c r="EM145" i="4"/>
  <c r="EM171" i="4" s="1"/>
  <c r="D146" i="4"/>
  <c r="D172" i="4" s="1"/>
  <c r="L146" i="4"/>
  <c r="L172" i="4" s="1"/>
  <c r="T146" i="4"/>
  <c r="T172" i="4" s="1"/>
  <c r="AB146" i="4"/>
  <c r="AB172" i="4" s="1"/>
  <c r="AJ146" i="4"/>
  <c r="AJ172" i="4" s="1"/>
  <c r="AR146" i="4"/>
  <c r="AR172" i="4" s="1"/>
  <c r="AZ146" i="4"/>
  <c r="AZ172" i="4" s="1"/>
  <c r="BH146" i="4"/>
  <c r="BH172" i="4" s="1"/>
  <c r="BP146" i="4"/>
  <c r="BP172" i="4" s="1"/>
  <c r="BX146" i="4"/>
  <c r="BX172" i="4" s="1"/>
  <c r="CF146" i="4"/>
  <c r="CF172" i="4" s="1"/>
  <c r="CN146" i="4"/>
  <c r="CN172" i="4" s="1"/>
  <c r="CV146" i="4"/>
  <c r="CV172" i="4" s="1"/>
  <c r="DD146" i="4"/>
  <c r="DD172" i="4" s="1"/>
  <c r="DL146" i="4"/>
  <c r="DL172" i="4" s="1"/>
  <c r="DT146" i="4"/>
  <c r="DT172" i="4" s="1"/>
  <c r="EB146" i="4"/>
  <c r="EB172" i="4" s="1"/>
  <c r="EJ146" i="4"/>
  <c r="EJ172" i="4" s="1"/>
  <c r="ER146" i="4"/>
  <c r="ER172" i="4" s="1"/>
  <c r="I147" i="4"/>
  <c r="I173" i="4" s="1"/>
  <c r="Q147" i="4"/>
  <c r="Q173" i="4" s="1"/>
  <c r="Y147" i="4"/>
  <c r="Y173" i="4" s="1"/>
  <c r="AG147" i="4"/>
  <c r="AG173" i="4" s="1"/>
  <c r="AO147" i="4"/>
  <c r="AO173" i="4" s="1"/>
  <c r="AW147" i="4"/>
  <c r="AW173" i="4" s="1"/>
  <c r="BE147" i="4"/>
  <c r="BE173" i="4" s="1"/>
  <c r="BM147" i="4"/>
  <c r="BM173" i="4" s="1"/>
  <c r="BU147" i="4"/>
  <c r="BU173" i="4" s="1"/>
  <c r="CC147" i="4"/>
  <c r="CC173" i="4" s="1"/>
  <c r="CK147" i="4"/>
  <c r="CK173" i="4" s="1"/>
  <c r="CS147" i="4"/>
  <c r="CS173" i="4" s="1"/>
  <c r="DA147" i="4"/>
  <c r="DA173" i="4" s="1"/>
  <c r="DI147" i="4"/>
  <c r="DI173" i="4" s="1"/>
  <c r="DQ147" i="4"/>
  <c r="DQ173" i="4" s="1"/>
  <c r="DY147" i="4"/>
  <c r="DY173" i="4" s="1"/>
  <c r="EG147" i="4"/>
  <c r="EG173" i="4" s="1"/>
  <c r="EO147" i="4"/>
  <c r="EO173" i="4" s="1"/>
  <c r="F148" i="4"/>
  <c r="F174" i="4" s="1"/>
  <c r="N148" i="4"/>
  <c r="N174" i="4" s="1"/>
  <c r="V148" i="4"/>
  <c r="V174" i="4" s="1"/>
  <c r="AD148" i="4"/>
  <c r="AD174" i="4" s="1"/>
  <c r="AL148" i="4"/>
  <c r="AL174" i="4" s="1"/>
  <c r="AT148" i="4"/>
  <c r="AT174" i="4" s="1"/>
  <c r="BB148" i="4"/>
  <c r="BB174" i="4" s="1"/>
  <c r="BJ148" i="4"/>
  <c r="BJ174" i="4" s="1"/>
  <c r="BR148" i="4"/>
  <c r="BR174" i="4" s="1"/>
  <c r="BZ148" i="4"/>
  <c r="BZ174" i="4" s="1"/>
  <c r="CH148" i="4"/>
  <c r="CH174" i="4" s="1"/>
  <c r="CP148" i="4"/>
  <c r="CP174" i="4" s="1"/>
  <c r="CX148" i="4"/>
  <c r="CX174" i="4" s="1"/>
  <c r="DF148" i="4"/>
  <c r="DF174" i="4" s="1"/>
  <c r="DN148" i="4"/>
  <c r="DN174" i="4" s="1"/>
  <c r="DV148" i="4"/>
  <c r="DV174" i="4" s="1"/>
  <c r="ED148" i="4"/>
  <c r="ED174" i="4" s="1"/>
  <c r="EL148" i="4"/>
  <c r="EL174" i="4" s="1"/>
  <c r="C149" i="4"/>
  <c r="C175" i="4" s="1"/>
  <c r="K149" i="4"/>
  <c r="K175" i="4" s="1"/>
  <c r="S149" i="4"/>
  <c r="S175" i="4" s="1"/>
  <c r="AA149" i="4"/>
  <c r="AA175" i="4" s="1"/>
  <c r="AI149" i="4"/>
  <c r="AI175" i="4" s="1"/>
  <c r="AQ149" i="4"/>
  <c r="AQ175" i="4" s="1"/>
  <c r="AY149" i="4"/>
  <c r="AY175" i="4" s="1"/>
  <c r="BG149" i="4"/>
  <c r="BG175" i="4" s="1"/>
  <c r="BO149" i="4"/>
  <c r="BO175" i="4" s="1"/>
  <c r="BW149" i="4"/>
  <c r="BW175" i="4" s="1"/>
  <c r="CE149" i="4"/>
  <c r="CE175" i="4" s="1"/>
  <c r="CM149" i="4"/>
  <c r="CM175" i="4" s="1"/>
  <c r="CU149" i="4"/>
  <c r="CU175" i="4" s="1"/>
  <c r="DC149" i="4"/>
  <c r="DC175" i="4" s="1"/>
  <c r="DK149" i="4"/>
  <c r="DK175" i="4" s="1"/>
  <c r="I138" i="4"/>
  <c r="I164" i="4" s="1"/>
  <c r="AO138" i="4"/>
  <c r="AO164" i="4" s="1"/>
  <c r="BU138" i="4"/>
  <c r="BU164" i="4" s="1"/>
  <c r="DA138" i="4"/>
  <c r="DA164" i="4" s="1"/>
  <c r="EG138" i="4"/>
  <c r="EG164" i="4" s="1"/>
  <c r="V139" i="4"/>
  <c r="V165" i="4" s="1"/>
  <c r="BB139" i="4"/>
  <c r="BB165" i="4" s="1"/>
  <c r="CH139" i="4"/>
  <c r="CH165" i="4" s="1"/>
  <c r="DN139" i="4"/>
  <c r="DN165" i="4" s="1"/>
  <c r="C140" i="4"/>
  <c r="C166" i="4" s="1"/>
  <c r="AI140" i="4"/>
  <c r="AI166" i="4" s="1"/>
  <c r="BO140" i="4"/>
  <c r="BO166" i="4" s="1"/>
  <c r="CU140" i="4"/>
  <c r="CU166" i="4" s="1"/>
  <c r="EA140" i="4"/>
  <c r="EA166" i="4" s="1"/>
  <c r="P141" i="4"/>
  <c r="P167" i="4" s="1"/>
  <c r="AV141" i="4"/>
  <c r="AV167" i="4" s="1"/>
  <c r="CB141" i="4"/>
  <c r="CB167" i="4" s="1"/>
  <c r="DH141" i="4"/>
  <c r="DH167" i="4" s="1"/>
  <c r="EN141" i="4"/>
  <c r="EN167" i="4" s="1"/>
  <c r="AC142" i="4"/>
  <c r="AC168" i="4" s="1"/>
  <c r="BH142" i="4"/>
  <c r="BH168" i="4" s="1"/>
  <c r="CE142" i="4"/>
  <c r="CE168" i="4" s="1"/>
  <c r="CS142" i="4"/>
  <c r="CS168" i="4" s="1"/>
  <c r="DA142" i="4"/>
  <c r="DA168" i="4" s="1"/>
  <c r="DI142" i="4"/>
  <c r="DI168" i="4" s="1"/>
  <c r="DQ142" i="4"/>
  <c r="DQ168" i="4" s="1"/>
  <c r="DY142" i="4"/>
  <c r="DY168" i="4" s="1"/>
  <c r="EG142" i="4"/>
  <c r="EG168" i="4" s="1"/>
  <c r="EO142" i="4"/>
  <c r="EO168" i="4" s="1"/>
  <c r="F143" i="4"/>
  <c r="F169" i="4" s="1"/>
  <c r="N143" i="4"/>
  <c r="N169" i="4" s="1"/>
  <c r="V143" i="4"/>
  <c r="V169" i="4" s="1"/>
  <c r="AD143" i="4"/>
  <c r="AD169" i="4" s="1"/>
  <c r="AL143" i="4"/>
  <c r="AL169" i="4" s="1"/>
  <c r="AT143" i="4"/>
  <c r="AT169" i="4" s="1"/>
  <c r="BB143" i="4"/>
  <c r="BB169" i="4" s="1"/>
  <c r="BJ143" i="4"/>
  <c r="BJ169" i="4" s="1"/>
  <c r="BR143" i="4"/>
  <c r="BR169" i="4" s="1"/>
  <c r="BZ143" i="4"/>
  <c r="BZ169" i="4" s="1"/>
  <c r="CH143" i="4"/>
  <c r="CH169" i="4" s="1"/>
  <c r="CP143" i="4"/>
  <c r="CP169" i="4" s="1"/>
  <c r="CX143" i="4"/>
  <c r="CX169" i="4" s="1"/>
  <c r="DF143" i="4"/>
  <c r="DF169" i="4" s="1"/>
  <c r="DN143" i="4"/>
  <c r="DN169" i="4" s="1"/>
  <c r="DV143" i="4"/>
  <c r="DV169" i="4" s="1"/>
  <c r="ED143" i="4"/>
  <c r="ED169" i="4" s="1"/>
  <c r="EL143" i="4"/>
  <c r="EL169" i="4" s="1"/>
  <c r="C144" i="4"/>
  <c r="C170" i="4" s="1"/>
  <c r="K144" i="4"/>
  <c r="K170" i="4" s="1"/>
  <c r="S144" i="4"/>
  <c r="S170" i="4" s="1"/>
  <c r="AA144" i="4"/>
  <c r="AA170" i="4" s="1"/>
  <c r="AI144" i="4"/>
  <c r="AI170" i="4" s="1"/>
  <c r="AQ144" i="4"/>
  <c r="AQ170" i="4" s="1"/>
  <c r="AY144" i="4"/>
  <c r="AY170" i="4" s="1"/>
  <c r="BG144" i="4"/>
  <c r="BG170" i="4" s="1"/>
  <c r="BO144" i="4"/>
  <c r="BO170" i="4" s="1"/>
  <c r="BW144" i="4"/>
  <c r="BW170" i="4" s="1"/>
  <c r="CE144" i="4"/>
  <c r="CE170" i="4" s="1"/>
  <c r="CM144" i="4"/>
  <c r="CM170" i="4" s="1"/>
  <c r="CU144" i="4"/>
  <c r="CU170" i="4" s="1"/>
  <c r="DC144" i="4"/>
  <c r="DC170" i="4" s="1"/>
  <c r="DK144" i="4"/>
  <c r="DK170" i="4" s="1"/>
  <c r="DS144" i="4"/>
  <c r="DS170" i="4" s="1"/>
  <c r="EA144" i="4"/>
  <c r="EA170" i="4" s="1"/>
  <c r="EI144" i="4"/>
  <c r="EI170" i="4" s="1"/>
  <c r="EQ144" i="4"/>
  <c r="EQ170" i="4" s="1"/>
  <c r="H145" i="4"/>
  <c r="H171" i="4" s="1"/>
  <c r="P145" i="4"/>
  <c r="P171" i="4" s="1"/>
  <c r="X145" i="4"/>
  <c r="X171" i="4" s="1"/>
  <c r="AF145" i="4"/>
  <c r="AF171" i="4" s="1"/>
  <c r="AN145" i="4"/>
  <c r="AN171" i="4" s="1"/>
  <c r="AV145" i="4"/>
  <c r="AV171" i="4" s="1"/>
  <c r="BD145" i="4"/>
  <c r="BD171" i="4" s="1"/>
  <c r="BL145" i="4"/>
  <c r="BL171" i="4" s="1"/>
  <c r="BT145" i="4"/>
  <c r="BT171" i="4" s="1"/>
  <c r="CB145" i="4"/>
  <c r="CB171" i="4" s="1"/>
  <c r="CJ145" i="4"/>
  <c r="CJ171" i="4" s="1"/>
  <c r="CR145" i="4"/>
  <c r="CR171" i="4" s="1"/>
  <c r="CZ145" i="4"/>
  <c r="CZ171" i="4" s="1"/>
  <c r="DH145" i="4"/>
  <c r="DH171" i="4" s="1"/>
  <c r="DP145" i="4"/>
  <c r="DP171" i="4" s="1"/>
  <c r="DX145" i="4"/>
  <c r="DX171" i="4" s="1"/>
  <c r="EF145" i="4"/>
  <c r="EF171" i="4" s="1"/>
  <c r="EN145" i="4"/>
  <c r="EN171" i="4" s="1"/>
  <c r="E146" i="4"/>
  <c r="E172" i="4" s="1"/>
  <c r="M146" i="4"/>
  <c r="M172" i="4" s="1"/>
  <c r="U146" i="4"/>
  <c r="U172" i="4" s="1"/>
  <c r="AC146" i="4"/>
  <c r="AC172" i="4" s="1"/>
  <c r="AK146" i="4"/>
  <c r="AK172" i="4" s="1"/>
  <c r="AS146" i="4"/>
  <c r="AS172" i="4" s="1"/>
  <c r="BA146" i="4"/>
  <c r="BA172" i="4" s="1"/>
  <c r="BI146" i="4"/>
  <c r="BI172" i="4" s="1"/>
  <c r="BQ146" i="4"/>
  <c r="BQ172" i="4" s="1"/>
  <c r="BY146" i="4"/>
  <c r="BY172" i="4" s="1"/>
  <c r="CG146" i="4"/>
  <c r="CG172" i="4" s="1"/>
  <c r="CO146" i="4"/>
  <c r="CO172" i="4" s="1"/>
  <c r="CW146" i="4"/>
  <c r="CW172" i="4" s="1"/>
  <c r="DE146" i="4"/>
  <c r="DE172" i="4" s="1"/>
  <c r="DM146" i="4"/>
  <c r="DM172" i="4" s="1"/>
  <c r="DU146" i="4"/>
  <c r="DU172" i="4" s="1"/>
  <c r="EC146" i="4"/>
  <c r="EC172" i="4" s="1"/>
  <c r="EK146" i="4"/>
  <c r="EK172" i="4" s="1"/>
  <c r="ES146" i="4"/>
  <c r="ES172" i="4" s="1"/>
  <c r="J147" i="4"/>
  <c r="J173" i="4" s="1"/>
  <c r="R147" i="4"/>
  <c r="R173" i="4" s="1"/>
  <c r="Z147" i="4"/>
  <c r="Z173" i="4" s="1"/>
  <c r="AH147" i="4"/>
  <c r="AH173" i="4" s="1"/>
  <c r="AP147" i="4"/>
  <c r="AP173" i="4" s="1"/>
  <c r="AX147" i="4"/>
  <c r="AX173" i="4" s="1"/>
  <c r="BF147" i="4"/>
  <c r="BF173" i="4" s="1"/>
  <c r="BN147" i="4"/>
  <c r="BN173" i="4" s="1"/>
  <c r="BV147" i="4"/>
  <c r="BV173" i="4" s="1"/>
  <c r="CD147" i="4"/>
  <c r="CD173" i="4" s="1"/>
  <c r="CL147" i="4"/>
  <c r="CL173" i="4" s="1"/>
  <c r="CT147" i="4"/>
  <c r="CT173" i="4" s="1"/>
  <c r="DB147" i="4"/>
  <c r="DB173" i="4" s="1"/>
  <c r="DJ147" i="4"/>
  <c r="DJ173" i="4" s="1"/>
  <c r="DR147" i="4"/>
  <c r="DR173" i="4" s="1"/>
  <c r="DZ147" i="4"/>
  <c r="DZ173" i="4" s="1"/>
  <c r="EH147" i="4"/>
  <c r="EH173" i="4" s="1"/>
  <c r="EP147" i="4"/>
  <c r="EP173" i="4" s="1"/>
  <c r="G148" i="4"/>
  <c r="G174" i="4" s="1"/>
  <c r="O148" i="4"/>
  <c r="O174" i="4" s="1"/>
  <c r="W148" i="4"/>
  <c r="W174" i="4" s="1"/>
  <c r="AE148" i="4"/>
  <c r="AE174" i="4" s="1"/>
  <c r="AM148" i="4"/>
  <c r="AM174" i="4" s="1"/>
  <c r="AU148" i="4"/>
  <c r="AU174" i="4" s="1"/>
  <c r="BC148" i="4"/>
  <c r="BC174" i="4" s="1"/>
  <c r="BK148" i="4"/>
  <c r="BK174" i="4" s="1"/>
  <c r="BS148" i="4"/>
  <c r="BS174" i="4" s="1"/>
  <c r="CA148" i="4"/>
  <c r="CA174" i="4" s="1"/>
  <c r="CI148" i="4"/>
  <c r="CI174" i="4" s="1"/>
  <c r="CQ148" i="4"/>
  <c r="CQ174" i="4" s="1"/>
  <c r="CY148" i="4"/>
  <c r="CY174" i="4" s="1"/>
  <c r="DG148" i="4"/>
  <c r="DG174" i="4" s="1"/>
  <c r="DO148" i="4"/>
  <c r="DO174" i="4" s="1"/>
  <c r="DW148" i="4"/>
  <c r="DW174" i="4" s="1"/>
  <c r="EE148" i="4"/>
  <c r="EE174" i="4" s="1"/>
  <c r="EM148" i="4"/>
  <c r="EM174" i="4" s="1"/>
  <c r="D149" i="4"/>
  <c r="D175" i="4" s="1"/>
  <c r="L149" i="4"/>
  <c r="L175" i="4" s="1"/>
  <c r="T149" i="4"/>
  <c r="T175" i="4" s="1"/>
  <c r="AB149" i="4"/>
  <c r="AB175" i="4" s="1"/>
  <c r="AJ149" i="4"/>
  <c r="AJ175" i="4" s="1"/>
  <c r="AR149" i="4"/>
  <c r="AR175" i="4" s="1"/>
  <c r="AZ149" i="4"/>
  <c r="AZ175" i="4" s="1"/>
  <c r="BH149" i="4"/>
  <c r="BH175" i="4" s="1"/>
  <c r="BP149" i="4"/>
  <c r="BP175" i="4" s="1"/>
  <c r="BX149" i="4"/>
  <c r="BX175" i="4" s="1"/>
  <c r="O138" i="4"/>
  <c r="O164" i="4" s="1"/>
  <c r="AU138" i="4"/>
  <c r="AU164" i="4" s="1"/>
  <c r="CA138" i="4"/>
  <c r="CA164" i="4" s="1"/>
  <c r="DG138" i="4"/>
  <c r="DG164" i="4" s="1"/>
  <c r="EM138" i="4"/>
  <c r="EM164" i="4" s="1"/>
  <c r="AB139" i="4"/>
  <c r="AB165" i="4" s="1"/>
  <c r="BH139" i="4"/>
  <c r="BH165" i="4" s="1"/>
  <c r="CN139" i="4"/>
  <c r="CN165" i="4" s="1"/>
  <c r="DT139" i="4"/>
  <c r="DT165" i="4" s="1"/>
  <c r="I140" i="4"/>
  <c r="I166" i="4" s="1"/>
  <c r="AO140" i="4"/>
  <c r="AO166" i="4" s="1"/>
  <c r="BU140" i="4"/>
  <c r="BU166" i="4" s="1"/>
  <c r="DA140" i="4"/>
  <c r="DA166" i="4" s="1"/>
  <c r="EG140" i="4"/>
  <c r="EG166" i="4" s="1"/>
  <c r="V141" i="4"/>
  <c r="V167" i="4" s="1"/>
  <c r="BB141" i="4"/>
  <c r="BB167" i="4" s="1"/>
  <c r="CH141" i="4"/>
  <c r="CH167" i="4" s="1"/>
  <c r="DN141" i="4"/>
  <c r="DN167" i="4" s="1"/>
  <c r="C142" i="4"/>
  <c r="C168" i="4" s="1"/>
  <c r="AI142" i="4"/>
  <c r="AI168" i="4" s="1"/>
  <c r="BI142" i="4"/>
  <c r="BI168" i="4" s="1"/>
  <c r="CF142" i="4"/>
  <c r="CF168" i="4" s="1"/>
  <c r="CT142" i="4"/>
  <c r="CT168" i="4" s="1"/>
  <c r="DB142" i="4"/>
  <c r="DB168" i="4" s="1"/>
  <c r="DJ142" i="4"/>
  <c r="DJ168" i="4" s="1"/>
  <c r="DR142" i="4"/>
  <c r="DR168" i="4" s="1"/>
  <c r="DZ142" i="4"/>
  <c r="DZ168" i="4" s="1"/>
  <c r="EH142" i="4"/>
  <c r="EH168" i="4" s="1"/>
  <c r="EP142" i="4"/>
  <c r="EP168" i="4" s="1"/>
  <c r="G143" i="4"/>
  <c r="G169" i="4" s="1"/>
  <c r="O143" i="4"/>
  <c r="O169" i="4" s="1"/>
  <c r="W143" i="4"/>
  <c r="W169" i="4" s="1"/>
  <c r="AE143" i="4"/>
  <c r="AE169" i="4" s="1"/>
  <c r="AM143" i="4"/>
  <c r="AM169" i="4" s="1"/>
  <c r="AU143" i="4"/>
  <c r="AU169" i="4" s="1"/>
  <c r="BC143" i="4"/>
  <c r="BC169" i="4" s="1"/>
  <c r="BK143" i="4"/>
  <c r="BK169" i="4" s="1"/>
  <c r="BS143" i="4"/>
  <c r="BS169" i="4" s="1"/>
  <c r="CA143" i="4"/>
  <c r="CA169" i="4" s="1"/>
  <c r="CI143" i="4"/>
  <c r="CI169" i="4" s="1"/>
  <c r="CQ143" i="4"/>
  <c r="CQ169" i="4" s="1"/>
  <c r="CY143" i="4"/>
  <c r="CY169" i="4" s="1"/>
  <c r="DG143" i="4"/>
  <c r="DG169" i="4" s="1"/>
  <c r="DO143" i="4"/>
  <c r="DO169" i="4" s="1"/>
  <c r="DW143" i="4"/>
  <c r="DW169" i="4" s="1"/>
  <c r="EE143" i="4"/>
  <c r="EE169" i="4" s="1"/>
  <c r="EM143" i="4"/>
  <c r="EM169" i="4" s="1"/>
  <c r="D144" i="4"/>
  <c r="D170" i="4" s="1"/>
  <c r="L144" i="4"/>
  <c r="L170" i="4" s="1"/>
  <c r="T144" i="4"/>
  <c r="T170" i="4" s="1"/>
  <c r="AB144" i="4"/>
  <c r="AB170" i="4" s="1"/>
  <c r="AJ144" i="4"/>
  <c r="AJ170" i="4" s="1"/>
  <c r="AR144" i="4"/>
  <c r="AR170" i="4" s="1"/>
  <c r="AZ144" i="4"/>
  <c r="AZ170" i="4" s="1"/>
  <c r="BH144" i="4"/>
  <c r="BH170" i="4" s="1"/>
  <c r="BP144" i="4"/>
  <c r="BP170" i="4" s="1"/>
  <c r="BX144" i="4"/>
  <c r="BX170" i="4" s="1"/>
  <c r="CF144" i="4"/>
  <c r="CF170" i="4" s="1"/>
  <c r="CN144" i="4"/>
  <c r="CN170" i="4" s="1"/>
  <c r="CV144" i="4"/>
  <c r="CV170" i="4" s="1"/>
  <c r="DD144" i="4"/>
  <c r="DD170" i="4" s="1"/>
  <c r="DL144" i="4"/>
  <c r="DL170" i="4" s="1"/>
  <c r="DT144" i="4"/>
  <c r="DT170" i="4" s="1"/>
  <c r="EB144" i="4"/>
  <c r="EB170" i="4" s="1"/>
  <c r="EJ144" i="4"/>
  <c r="EJ170" i="4" s="1"/>
  <c r="ER144" i="4"/>
  <c r="ER170" i="4" s="1"/>
  <c r="I145" i="4"/>
  <c r="I171" i="4" s="1"/>
  <c r="Q145" i="4"/>
  <c r="Q171" i="4" s="1"/>
  <c r="Y145" i="4"/>
  <c r="Y171" i="4" s="1"/>
  <c r="AG145" i="4"/>
  <c r="AG171" i="4" s="1"/>
  <c r="AO145" i="4"/>
  <c r="AO171" i="4" s="1"/>
  <c r="AW145" i="4"/>
  <c r="AW171" i="4" s="1"/>
  <c r="BE145" i="4"/>
  <c r="BE171" i="4" s="1"/>
  <c r="BM145" i="4"/>
  <c r="BM171" i="4" s="1"/>
  <c r="BU145" i="4"/>
  <c r="BU171" i="4" s="1"/>
  <c r="CC145" i="4"/>
  <c r="CC171" i="4" s="1"/>
  <c r="CK145" i="4"/>
  <c r="CK171" i="4" s="1"/>
  <c r="CS145" i="4"/>
  <c r="CS171" i="4" s="1"/>
  <c r="DA145" i="4"/>
  <c r="DA171" i="4" s="1"/>
  <c r="DI145" i="4"/>
  <c r="DI171" i="4" s="1"/>
  <c r="DQ145" i="4"/>
  <c r="DQ171" i="4" s="1"/>
  <c r="DY145" i="4"/>
  <c r="DY171" i="4" s="1"/>
  <c r="EG145" i="4"/>
  <c r="EG171" i="4" s="1"/>
  <c r="EO145" i="4"/>
  <c r="EO171" i="4" s="1"/>
  <c r="F146" i="4"/>
  <c r="F172" i="4" s="1"/>
  <c r="N146" i="4"/>
  <c r="N172" i="4" s="1"/>
  <c r="V146" i="4"/>
  <c r="V172" i="4" s="1"/>
  <c r="AD146" i="4"/>
  <c r="AD172" i="4" s="1"/>
  <c r="AL146" i="4"/>
  <c r="AL172" i="4" s="1"/>
  <c r="AT146" i="4"/>
  <c r="AT172" i="4" s="1"/>
  <c r="BB146" i="4"/>
  <c r="BB172" i="4" s="1"/>
  <c r="BJ146" i="4"/>
  <c r="BJ172" i="4" s="1"/>
  <c r="BR146" i="4"/>
  <c r="BR172" i="4" s="1"/>
  <c r="BZ146" i="4"/>
  <c r="BZ172" i="4" s="1"/>
  <c r="CH146" i="4"/>
  <c r="CH172" i="4" s="1"/>
  <c r="CP146" i="4"/>
  <c r="CP172" i="4" s="1"/>
  <c r="CX146" i="4"/>
  <c r="CX172" i="4" s="1"/>
  <c r="DF146" i="4"/>
  <c r="DF172" i="4" s="1"/>
  <c r="DN146" i="4"/>
  <c r="DN172" i="4" s="1"/>
  <c r="DV146" i="4"/>
  <c r="DV172" i="4" s="1"/>
  <c r="ED146" i="4"/>
  <c r="ED172" i="4" s="1"/>
  <c r="EL146" i="4"/>
  <c r="EL172" i="4" s="1"/>
  <c r="C147" i="4"/>
  <c r="C173" i="4" s="1"/>
  <c r="K147" i="4"/>
  <c r="K173" i="4" s="1"/>
  <c r="S147" i="4"/>
  <c r="S173" i="4" s="1"/>
  <c r="AA147" i="4"/>
  <c r="AA173" i="4" s="1"/>
  <c r="AI147" i="4"/>
  <c r="AI173" i="4" s="1"/>
  <c r="AQ147" i="4"/>
  <c r="AQ173" i="4" s="1"/>
  <c r="AY147" i="4"/>
  <c r="AY173" i="4" s="1"/>
  <c r="BG147" i="4"/>
  <c r="BG173" i="4" s="1"/>
  <c r="BO147" i="4"/>
  <c r="BO173" i="4" s="1"/>
  <c r="BW147" i="4"/>
  <c r="BW173" i="4" s="1"/>
  <c r="CE147" i="4"/>
  <c r="CE173" i="4" s="1"/>
  <c r="CM147" i="4"/>
  <c r="CM173" i="4" s="1"/>
  <c r="CU147" i="4"/>
  <c r="CU173" i="4" s="1"/>
  <c r="DC147" i="4"/>
  <c r="DC173" i="4" s="1"/>
  <c r="DK147" i="4"/>
  <c r="DK173" i="4" s="1"/>
  <c r="DS147" i="4"/>
  <c r="DS173" i="4" s="1"/>
  <c r="EA147" i="4"/>
  <c r="EA173" i="4" s="1"/>
  <c r="EI147" i="4"/>
  <c r="EI173" i="4" s="1"/>
  <c r="EQ147" i="4"/>
  <c r="EQ173" i="4" s="1"/>
  <c r="H148" i="4"/>
  <c r="H174" i="4" s="1"/>
  <c r="P148" i="4"/>
  <c r="P174" i="4" s="1"/>
  <c r="X148" i="4"/>
  <c r="X174" i="4" s="1"/>
  <c r="AF148" i="4"/>
  <c r="AF174" i="4" s="1"/>
  <c r="AN148" i="4"/>
  <c r="AN174" i="4" s="1"/>
  <c r="AV148" i="4"/>
  <c r="AV174" i="4" s="1"/>
  <c r="BD148" i="4"/>
  <c r="BD174" i="4" s="1"/>
  <c r="BL148" i="4"/>
  <c r="BL174" i="4" s="1"/>
  <c r="BT148" i="4"/>
  <c r="BT174" i="4" s="1"/>
  <c r="CB148" i="4"/>
  <c r="CB174" i="4" s="1"/>
  <c r="CJ148" i="4"/>
  <c r="CJ174" i="4" s="1"/>
  <c r="CR148" i="4"/>
  <c r="CR174" i="4" s="1"/>
  <c r="CZ148" i="4"/>
  <c r="CZ174" i="4" s="1"/>
  <c r="DH148" i="4"/>
  <c r="DH174" i="4" s="1"/>
  <c r="DP148" i="4"/>
  <c r="DP174" i="4" s="1"/>
  <c r="DX148" i="4"/>
  <c r="DX174" i="4" s="1"/>
  <c r="EF148" i="4"/>
  <c r="EF174" i="4" s="1"/>
  <c r="EN148" i="4"/>
  <c r="EN174" i="4" s="1"/>
  <c r="E149" i="4"/>
  <c r="E175" i="4" s="1"/>
  <c r="M149" i="4"/>
  <c r="M175" i="4" s="1"/>
  <c r="Q138" i="4"/>
  <c r="Q164" i="4" s="1"/>
  <c r="AW138" i="4"/>
  <c r="AW164" i="4" s="1"/>
  <c r="CC138" i="4"/>
  <c r="CC164" i="4" s="1"/>
  <c r="DI138" i="4"/>
  <c r="DI164" i="4" s="1"/>
  <c r="EO138" i="4"/>
  <c r="EO164" i="4" s="1"/>
  <c r="AD139" i="4"/>
  <c r="AD165" i="4" s="1"/>
  <c r="BJ139" i="4"/>
  <c r="BJ165" i="4" s="1"/>
  <c r="CP139" i="4"/>
  <c r="CP165" i="4" s="1"/>
  <c r="DV139" i="4"/>
  <c r="DV165" i="4" s="1"/>
  <c r="K140" i="4"/>
  <c r="K166" i="4" s="1"/>
  <c r="AQ140" i="4"/>
  <c r="AQ166" i="4" s="1"/>
  <c r="BW140" i="4"/>
  <c r="BW166" i="4" s="1"/>
  <c r="DC140" i="4"/>
  <c r="DC166" i="4" s="1"/>
  <c r="EI140" i="4"/>
  <c r="EI166" i="4" s="1"/>
  <c r="X141" i="4"/>
  <c r="X167" i="4" s="1"/>
  <c r="BD141" i="4"/>
  <c r="BD167" i="4" s="1"/>
  <c r="CJ141" i="4"/>
  <c r="CJ167" i="4" s="1"/>
  <c r="DP141" i="4"/>
  <c r="DP167" i="4" s="1"/>
  <c r="E142" i="4"/>
  <c r="E168" i="4" s="1"/>
  <c r="AK142" i="4"/>
  <c r="AK168" i="4" s="1"/>
  <c r="BO142" i="4"/>
  <c r="BO168" i="4" s="1"/>
  <c r="CG142" i="4"/>
  <c r="CG168" i="4" s="1"/>
  <c r="CU142" i="4"/>
  <c r="CU168" i="4" s="1"/>
  <c r="DC142" i="4"/>
  <c r="DC168" i="4" s="1"/>
  <c r="DK142" i="4"/>
  <c r="DK168" i="4" s="1"/>
  <c r="DS142" i="4"/>
  <c r="DS168" i="4" s="1"/>
  <c r="EA142" i="4"/>
  <c r="EA168" i="4" s="1"/>
  <c r="EI142" i="4"/>
  <c r="EI168" i="4" s="1"/>
  <c r="EQ142" i="4"/>
  <c r="EQ168" i="4" s="1"/>
  <c r="H143" i="4"/>
  <c r="H169" i="4" s="1"/>
  <c r="P143" i="4"/>
  <c r="P169" i="4" s="1"/>
  <c r="X143" i="4"/>
  <c r="X169" i="4" s="1"/>
  <c r="AF143" i="4"/>
  <c r="AF169" i="4" s="1"/>
  <c r="AN143" i="4"/>
  <c r="AN169" i="4" s="1"/>
  <c r="AV143" i="4"/>
  <c r="AV169" i="4" s="1"/>
  <c r="BD143" i="4"/>
  <c r="BD169" i="4" s="1"/>
  <c r="BL143" i="4"/>
  <c r="BL169" i="4" s="1"/>
  <c r="BT143" i="4"/>
  <c r="BT169" i="4" s="1"/>
  <c r="CB143" i="4"/>
  <c r="CB169" i="4" s="1"/>
  <c r="CJ143" i="4"/>
  <c r="CJ169" i="4" s="1"/>
  <c r="CR143" i="4"/>
  <c r="CR169" i="4" s="1"/>
  <c r="CZ143" i="4"/>
  <c r="CZ169" i="4" s="1"/>
  <c r="DH143" i="4"/>
  <c r="DH169" i="4" s="1"/>
  <c r="DP143" i="4"/>
  <c r="DP169" i="4" s="1"/>
  <c r="DX143" i="4"/>
  <c r="DX169" i="4" s="1"/>
  <c r="EF143" i="4"/>
  <c r="EF169" i="4" s="1"/>
  <c r="EN143" i="4"/>
  <c r="EN169" i="4" s="1"/>
  <c r="E144" i="4"/>
  <c r="E170" i="4" s="1"/>
  <c r="M144" i="4"/>
  <c r="M170" i="4" s="1"/>
  <c r="U144" i="4"/>
  <c r="U170" i="4" s="1"/>
  <c r="AC144" i="4"/>
  <c r="AC170" i="4" s="1"/>
  <c r="AK144" i="4"/>
  <c r="AK170" i="4" s="1"/>
  <c r="AS144" i="4"/>
  <c r="AS170" i="4" s="1"/>
  <c r="BA144" i="4"/>
  <c r="BA170" i="4" s="1"/>
  <c r="BI144" i="4"/>
  <c r="BI170" i="4" s="1"/>
  <c r="BQ144" i="4"/>
  <c r="BQ170" i="4" s="1"/>
  <c r="BY144" i="4"/>
  <c r="BY170" i="4" s="1"/>
  <c r="CG144" i="4"/>
  <c r="CG170" i="4" s="1"/>
  <c r="CO144" i="4"/>
  <c r="CO170" i="4" s="1"/>
  <c r="CW144" i="4"/>
  <c r="CW170" i="4" s="1"/>
  <c r="DE144" i="4"/>
  <c r="DE170" i="4" s="1"/>
  <c r="DM144" i="4"/>
  <c r="DM170" i="4" s="1"/>
  <c r="DU144" i="4"/>
  <c r="DU170" i="4" s="1"/>
  <c r="EC144" i="4"/>
  <c r="EC170" i="4" s="1"/>
  <c r="EK144" i="4"/>
  <c r="EK170" i="4" s="1"/>
  <c r="ES144" i="4"/>
  <c r="ES170" i="4" s="1"/>
  <c r="J145" i="4"/>
  <c r="J171" i="4" s="1"/>
  <c r="R145" i="4"/>
  <c r="R171" i="4" s="1"/>
  <c r="Z145" i="4"/>
  <c r="Z171" i="4" s="1"/>
  <c r="AH145" i="4"/>
  <c r="AH171" i="4" s="1"/>
  <c r="AP145" i="4"/>
  <c r="AP171" i="4" s="1"/>
  <c r="AX145" i="4"/>
  <c r="AX171" i="4" s="1"/>
  <c r="BF145" i="4"/>
  <c r="BF171" i="4" s="1"/>
  <c r="BN145" i="4"/>
  <c r="BN171" i="4" s="1"/>
  <c r="BV145" i="4"/>
  <c r="BV171" i="4" s="1"/>
  <c r="CD145" i="4"/>
  <c r="CD171" i="4" s="1"/>
  <c r="CL145" i="4"/>
  <c r="CL171" i="4" s="1"/>
  <c r="CT145" i="4"/>
  <c r="CT171" i="4" s="1"/>
  <c r="DB145" i="4"/>
  <c r="DB171" i="4" s="1"/>
  <c r="DJ145" i="4"/>
  <c r="DJ171" i="4" s="1"/>
  <c r="DR145" i="4"/>
  <c r="DR171" i="4" s="1"/>
  <c r="DZ145" i="4"/>
  <c r="DZ171" i="4" s="1"/>
  <c r="EH145" i="4"/>
  <c r="EH171" i="4" s="1"/>
  <c r="EP145" i="4"/>
  <c r="EP171" i="4" s="1"/>
  <c r="G146" i="4"/>
  <c r="G172" i="4" s="1"/>
  <c r="O146" i="4"/>
  <c r="O172" i="4" s="1"/>
  <c r="W138" i="4"/>
  <c r="W164" i="4" s="1"/>
  <c r="BC138" i="4"/>
  <c r="BC164" i="4" s="1"/>
  <c r="CI138" i="4"/>
  <c r="CI164" i="4" s="1"/>
  <c r="DO138" i="4"/>
  <c r="DO164" i="4" s="1"/>
  <c r="D139" i="4"/>
  <c r="D165" i="4" s="1"/>
  <c r="AJ139" i="4"/>
  <c r="AJ165" i="4" s="1"/>
  <c r="BP139" i="4"/>
  <c r="BP165" i="4" s="1"/>
  <c r="CV139" i="4"/>
  <c r="CV165" i="4" s="1"/>
  <c r="EB139" i="4"/>
  <c r="EB165" i="4" s="1"/>
  <c r="Q140" i="4"/>
  <c r="Q166" i="4" s="1"/>
  <c r="AW140" i="4"/>
  <c r="AW166" i="4" s="1"/>
  <c r="CC140" i="4"/>
  <c r="CC166" i="4" s="1"/>
  <c r="DI140" i="4"/>
  <c r="DI166" i="4" s="1"/>
  <c r="EO140" i="4"/>
  <c r="EO166" i="4" s="1"/>
  <c r="AD141" i="4"/>
  <c r="AD167" i="4" s="1"/>
  <c r="BJ141" i="4"/>
  <c r="BJ167" i="4" s="1"/>
  <c r="CP141" i="4"/>
  <c r="CP167" i="4" s="1"/>
  <c r="DV141" i="4"/>
  <c r="DV167" i="4" s="1"/>
  <c r="K142" i="4"/>
  <c r="K168" i="4" s="1"/>
  <c r="AQ142" i="4"/>
  <c r="AQ168" i="4" s="1"/>
  <c r="BP142" i="4"/>
  <c r="BP168" i="4" s="1"/>
  <c r="CM142" i="4"/>
  <c r="CM168" i="4" s="1"/>
  <c r="CV142" i="4"/>
  <c r="CV168" i="4" s="1"/>
  <c r="DD142" i="4"/>
  <c r="DD168" i="4" s="1"/>
  <c r="DL142" i="4"/>
  <c r="DL168" i="4" s="1"/>
  <c r="DT142" i="4"/>
  <c r="DT168" i="4" s="1"/>
  <c r="EB142" i="4"/>
  <c r="EB168" i="4" s="1"/>
  <c r="EJ142" i="4"/>
  <c r="EJ168" i="4" s="1"/>
  <c r="ER142" i="4"/>
  <c r="ER168" i="4" s="1"/>
  <c r="I143" i="4"/>
  <c r="I169" i="4" s="1"/>
  <c r="Q143" i="4"/>
  <c r="Q169" i="4" s="1"/>
  <c r="Y143" i="4"/>
  <c r="Y169" i="4" s="1"/>
  <c r="AG143" i="4"/>
  <c r="AG169" i="4" s="1"/>
  <c r="AO143" i="4"/>
  <c r="AO169" i="4" s="1"/>
  <c r="AW143" i="4"/>
  <c r="AW169" i="4" s="1"/>
  <c r="BE143" i="4"/>
  <c r="BE169" i="4" s="1"/>
  <c r="BM143" i="4"/>
  <c r="BM169" i="4" s="1"/>
  <c r="BU143" i="4"/>
  <c r="BU169" i="4" s="1"/>
  <c r="CC143" i="4"/>
  <c r="CC169" i="4" s="1"/>
  <c r="CK143" i="4"/>
  <c r="CK169" i="4" s="1"/>
  <c r="CS143" i="4"/>
  <c r="CS169" i="4" s="1"/>
  <c r="DA143" i="4"/>
  <c r="DA169" i="4" s="1"/>
  <c r="DI143" i="4"/>
  <c r="DI169" i="4" s="1"/>
  <c r="DQ143" i="4"/>
  <c r="DQ169" i="4" s="1"/>
  <c r="DY143" i="4"/>
  <c r="DY169" i="4" s="1"/>
  <c r="EG143" i="4"/>
  <c r="EG169" i="4" s="1"/>
  <c r="EO143" i="4"/>
  <c r="EO169" i="4" s="1"/>
  <c r="F144" i="4"/>
  <c r="F170" i="4" s="1"/>
  <c r="N144" i="4"/>
  <c r="N170" i="4" s="1"/>
  <c r="V144" i="4"/>
  <c r="V170" i="4" s="1"/>
  <c r="AD144" i="4"/>
  <c r="AD170" i="4" s="1"/>
  <c r="AL144" i="4"/>
  <c r="AL170" i="4" s="1"/>
  <c r="AT144" i="4"/>
  <c r="AT170" i="4" s="1"/>
  <c r="BB144" i="4"/>
  <c r="BB170" i="4" s="1"/>
  <c r="BJ144" i="4"/>
  <c r="BJ170" i="4" s="1"/>
  <c r="BR144" i="4"/>
  <c r="BR170" i="4" s="1"/>
  <c r="BZ144" i="4"/>
  <c r="BZ170" i="4" s="1"/>
  <c r="CH144" i="4"/>
  <c r="CH170" i="4" s="1"/>
  <c r="CP144" i="4"/>
  <c r="CP170" i="4" s="1"/>
  <c r="CX144" i="4"/>
  <c r="CX170" i="4" s="1"/>
  <c r="DF144" i="4"/>
  <c r="DF170" i="4" s="1"/>
  <c r="DN144" i="4"/>
  <c r="DN170" i="4" s="1"/>
  <c r="DV144" i="4"/>
  <c r="DV170" i="4" s="1"/>
  <c r="ED144" i="4"/>
  <c r="ED170" i="4" s="1"/>
  <c r="EL144" i="4"/>
  <c r="EL170" i="4" s="1"/>
  <c r="C145" i="4"/>
  <c r="C171" i="4" s="1"/>
  <c r="K145" i="4"/>
  <c r="K171" i="4" s="1"/>
  <c r="S145" i="4"/>
  <c r="S171" i="4" s="1"/>
  <c r="AA145" i="4"/>
  <c r="AA171" i="4" s="1"/>
  <c r="AI145" i="4"/>
  <c r="AI171" i="4" s="1"/>
  <c r="AQ145" i="4"/>
  <c r="AQ171" i="4" s="1"/>
  <c r="AY145" i="4"/>
  <c r="AY171" i="4" s="1"/>
  <c r="BG145" i="4"/>
  <c r="BG171" i="4" s="1"/>
  <c r="BO145" i="4"/>
  <c r="BO171" i="4" s="1"/>
  <c r="BW145" i="4"/>
  <c r="BW171" i="4" s="1"/>
  <c r="CE145" i="4"/>
  <c r="CE171" i="4" s="1"/>
  <c r="CM145" i="4"/>
  <c r="CM171" i="4" s="1"/>
  <c r="CU145" i="4"/>
  <c r="CU171" i="4" s="1"/>
  <c r="DC145" i="4"/>
  <c r="DC171" i="4" s="1"/>
  <c r="DK145" i="4"/>
  <c r="DK171" i="4" s="1"/>
  <c r="DS145" i="4"/>
  <c r="DS171" i="4" s="1"/>
  <c r="EA145" i="4"/>
  <c r="EA171" i="4" s="1"/>
  <c r="EI145" i="4"/>
  <c r="EI171" i="4" s="1"/>
  <c r="EQ145" i="4"/>
  <c r="EQ171" i="4" s="1"/>
  <c r="H146" i="4"/>
  <c r="H172" i="4" s="1"/>
  <c r="P146" i="4"/>
  <c r="P172" i="4" s="1"/>
  <c r="X146" i="4"/>
  <c r="X172" i="4" s="1"/>
  <c r="AF146" i="4"/>
  <c r="AF172" i="4" s="1"/>
  <c r="AN146" i="4"/>
  <c r="AN172" i="4" s="1"/>
  <c r="AV146" i="4"/>
  <c r="AV172" i="4" s="1"/>
  <c r="BD146" i="4"/>
  <c r="BD172" i="4" s="1"/>
  <c r="BL146" i="4"/>
  <c r="BL172" i="4" s="1"/>
  <c r="BT146" i="4"/>
  <c r="BT172" i="4" s="1"/>
  <c r="CB146" i="4"/>
  <c r="CB172" i="4" s="1"/>
  <c r="CJ146" i="4"/>
  <c r="CJ172" i="4" s="1"/>
  <c r="CR146" i="4"/>
  <c r="CR172" i="4" s="1"/>
  <c r="CZ146" i="4"/>
  <c r="CZ172" i="4" s="1"/>
  <c r="DH146" i="4"/>
  <c r="DH172" i="4" s="1"/>
  <c r="DP146" i="4"/>
  <c r="DP172" i="4" s="1"/>
  <c r="DX146" i="4"/>
  <c r="DX172" i="4" s="1"/>
  <c r="EF146" i="4"/>
  <c r="EF172" i="4" s="1"/>
  <c r="EN146" i="4"/>
  <c r="EN172" i="4" s="1"/>
  <c r="E147" i="4"/>
  <c r="E173" i="4" s="1"/>
  <c r="M147" i="4"/>
  <c r="M173" i="4" s="1"/>
  <c r="U147" i="4"/>
  <c r="U173" i="4" s="1"/>
  <c r="AC147" i="4"/>
  <c r="AC173" i="4" s="1"/>
  <c r="AK147" i="4"/>
  <c r="AK173" i="4" s="1"/>
  <c r="AS147" i="4"/>
  <c r="AS173" i="4" s="1"/>
  <c r="BA147" i="4"/>
  <c r="BA173" i="4" s="1"/>
  <c r="BI147" i="4"/>
  <c r="BI173" i="4" s="1"/>
  <c r="BQ147" i="4"/>
  <c r="BQ173" i="4" s="1"/>
  <c r="BY147" i="4"/>
  <c r="BY173" i="4" s="1"/>
  <c r="CG147" i="4"/>
  <c r="CG173" i="4" s="1"/>
  <c r="CO147" i="4"/>
  <c r="CO173" i="4" s="1"/>
  <c r="CW147" i="4"/>
  <c r="CW173" i="4" s="1"/>
  <c r="DE147" i="4"/>
  <c r="DE173" i="4" s="1"/>
  <c r="DM147" i="4"/>
  <c r="DM173" i="4" s="1"/>
  <c r="DU147" i="4"/>
  <c r="DU173" i="4" s="1"/>
  <c r="EC147" i="4"/>
  <c r="EC173" i="4" s="1"/>
  <c r="EK147" i="4"/>
  <c r="EK173" i="4" s="1"/>
  <c r="ES147" i="4"/>
  <c r="ES173" i="4" s="1"/>
  <c r="J148" i="4"/>
  <c r="J174" i="4" s="1"/>
  <c r="R148" i="4"/>
  <c r="R174" i="4" s="1"/>
  <c r="Z148" i="4"/>
  <c r="Z174" i="4" s="1"/>
  <c r="AH148" i="4"/>
  <c r="AH174" i="4" s="1"/>
  <c r="AP148" i="4"/>
  <c r="AP174" i="4" s="1"/>
  <c r="AX148" i="4"/>
  <c r="AX174" i="4" s="1"/>
  <c r="BF148" i="4"/>
  <c r="BF174" i="4" s="1"/>
  <c r="BN148" i="4"/>
  <c r="BN174" i="4" s="1"/>
  <c r="BV148" i="4"/>
  <c r="BV174" i="4" s="1"/>
  <c r="CD148" i="4"/>
  <c r="CD174" i="4" s="1"/>
  <c r="CL148" i="4"/>
  <c r="CL174" i="4" s="1"/>
  <c r="CT148" i="4"/>
  <c r="CT174" i="4" s="1"/>
  <c r="DB148" i="4"/>
  <c r="DB174" i="4" s="1"/>
  <c r="DJ148" i="4"/>
  <c r="DJ174" i="4" s="1"/>
  <c r="DR148" i="4"/>
  <c r="DR174" i="4" s="1"/>
  <c r="DZ148" i="4"/>
  <c r="DZ174" i="4" s="1"/>
  <c r="EH148" i="4"/>
  <c r="EH174" i="4" s="1"/>
  <c r="EP148" i="4"/>
  <c r="EP174" i="4" s="1"/>
  <c r="G149" i="4"/>
  <c r="G175" i="4" s="1"/>
  <c r="O149" i="4"/>
  <c r="O175" i="4" s="1"/>
  <c r="W149" i="4"/>
  <c r="W175" i="4" s="1"/>
  <c r="AE149" i="4"/>
  <c r="AE175" i="4" s="1"/>
  <c r="AM149" i="4"/>
  <c r="AM175" i="4" s="1"/>
  <c r="AU149" i="4"/>
  <c r="AU175" i="4" s="1"/>
  <c r="BC149" i="4"/>
  <c r="BC175" i="4" s="1"/>
  <c r="BK149" i="4"/>
  <c r="BK175" i="4" s="1"/>
  <c r="BS149" i="4"/>
  <c r="BS175" i="4" s="1"/>
  <c r="CA149" i="4"/>
  <c r="CA175" i="4" s="1"/>
  <c r="CI149" i="4"/>
  <c r="CI175" i="4" s="1"/>
  <c r="CQ149" i="4"/>
  <c r="CQ175" i="4" s="1"/>
  <c r="CY149" i="4"/>
  <c r="CY175" i="4" s="1"/>
  <c r="DG149" i="4"/>
  <c r="DG175" i="4" s="1"/>
  <c r="DW138" i="4"/>
  <c r="DW164" i="4" s="1"/>
  <c r="DD139" i="4"/>
  <c r="DD165" i="4" s="1"/>
  <c r="CK140" i="4"/>
  <c r="CK166" i="4" s="1"/>
  <c r="BR141" i="4"/>
  <c r="BR167" i="4" s="1"/>
  <c r="AY142" i="4"/>
  <c r="AY168" i="4" s="1"/>
  <c r="DF142" i="4"/>
  <c r="DF168" i="4" s="1"/>
  <c r="EL142" i="4"/>
  <c r="EL168" i="4" s="1"/>
  <c r="AA143" i="4"/>
  <c r="AA169" i="4" s="1"/>
  <c r="BG143" i="4"/>
  <c r="BG169" i="4" s="1"/>
  <c r="CM143" i="4"/>
  <c r="CM169" i="4" s="1"/>
  <c r="DS143" i="4"/>
  <c r="DS169" i="4" s="1"/>
  <c r="H144" i="4"/>
  <c r="H170" i="4" s="1"/>
  <c r="AN144" i="4"/>
  <c r="AN170" i="4" s="1"/>
  <c r="BT144" i="4"/>
  <c r="BT170" i="4" s="1"/>
  <c r="CZ144" i="4"/>
  <c r="CZ170" i="4" s="1"/>
  <c r="EF144" i="4"/>
  <c r="EF170" i="4" s="1"/>
  <c r="U145" i="4"/>
  <c r="U171" i="4" s="1"/>
  <c r="BA145" i="4"/>
  <c r="BA171" i="4" s="1"/>
  <c r="CG145" i="4"/>
  <c r="CG171" i="4" s="1"/>
  <c r="DM145" i="4"/>
  <c r="DM171" i="4" s="1"/>
  <c r="ES145" i="4"/>
  <c r="ES171" i="4" s="1"/>
  <c r="Z146" i="4"/>
  <c r="Z172" i="4" s="1"/>
  <c r="AP146" i="4"/>
  <c r="AP172" i="4" s="1"/>
  <c r="BF146" i="4"/>
  <c r="BF172" i="4" s="1"/>
  <c r="BV146" i="4"/>
  <c r="BV172" i="4" s="1"/>
  <c r="CL146" i="4"/>
  <c r="CL172" i="4" s="1"/>
  <c r="DB146" i="4"/>
  <c r="DB172" i="4" s="1"/>
  <c r="DR146" i="4"/>
  <c r="DR172" i="4" s="1"/>
  <c r="EH146" i="4"/>
  <c r="EH172" i="4" s="1"/>
  <c r="G147" i="4"/>
  <c r="G173" i="4" s="1"/>
  <c r="W147" i="4"/>
  <c r="W173" i="4" s="1"/>
  <c r="AM147" i="4"/>
  <c r="AM173" i="4" s="1"/>
  <c r="BC147" i="4"/>
  <c r="BC173" i="4" s="1"/>
  <c r="BS147" i="4"/>
  <c r="BS173" i="4" s="1"/>
  <c r="CI147" i="4"/>
  <c r="CI173" i="4" s="1"/>
  <c r="CY147" i="4"/>
  <c r="CY173" i="4" s="1"/>
  <c r="DO147" i="4"/>
  <c r="DO173" i="4" s="1"/>
  <c r="EE147" i="4"/>
  <c r="EE173" i="4" s="1"/>
  <c r="D148" i="4"/>
  <c r="D174" i="4" s="1"/>
  <c r="T148" i="4"/>
  <c r="T174" i="4" s="1"/>
  <c r="AJ148" i="4"/>
  <c r="AJ174" i="4" s="1"/>
  <c r="AZ148" i="4"/>
  <c r="AZ174" i="4" s="1"/>
  <c r="BP148" i="4"/>
  <c r="BP174" i="4" s="1"/>
  <c r="CF148" i="4"/>
  <c r="CF174" i="4" s="1"/>
  <c r="CV148" i="4"/>
  <c r="CV174" i="4" s="1"/>
  <c r="DL148" i="4"/>
  <c r="DL174" i="4" s="1"/>
  <c r="EB148" i="4"/>
  <c r="EB174" i="4" s="1"/>
  <c r="ER148" i="4"/>
  <c r="ER174" i="4" s="1"/>
  <c r="Q149" i="4"/>
  <c r="Q175" i="4" s="1"/>
  <c r="AD149" i="4"/>
  <c r="AD175" i="4" s="1"/>
  <c r="AP149" i="4"/>
  <c r="AP175" i="4" s="1"/>
  <c r="BD149" i="4"/>
  <c r="BD175" i="4" s="1"/>
  <c r="BQ149" i="4"/>
  <c r="BQ175" i="4" s="1"/>
  <c r="CC149" i="4"/>
  <c r="CC175" i="4" s="1"/>
  <c r="CN149" i="4"/>
  <c r="CN175" i="4" s="1"/>
  <c r="CX149" i="4"/>
  <c r="CX175" i="4" s="1"/>
  <c r="DI149" i="4"/>
  <c r="DI175" i="4" s="1"/>
  <c r="DR149" i="4"/>
  <c r="DR175" i="4" s="1"/>
  <c r="DZ149" i="4"/>
  <c r="DZ175" i="4" s="1"/>
  <c r="EH149" i="4"/>
  <c r="EH175" i="4" s="1"/>
  <c r="EP149" i="4"/>
  <c r="EP175" i="4" s="1"/>
  <c r="G150" i="4"/>
  <c r="G176" i="4" s="1"/>
  <c r="O150" i="4"/>
  <c r="O176" i="4" s="1"/>
  <c r="W150" i="4"/>
  <c r="W176" i="4" s="1"/>
  <c r="AE150" i="4"/>
  <c r="AE176" i="4" s="1"/>
  <c r="AM150" i="4"/>
  <c r="AM176" i="4" s="1"/>
  <c r="AU150" i="4"/>
  <c r="AU176" i="4" s="1"/>
  <c r="BC150" i="4"/>
  <c r="BC176" i="4" s="1"/>
  <c r="BK150" i="4"/>
  <c r="BK176" i="4" s="1"/>
  <c r="BS150" i="4"/>
  <c r="BS176" i="4" s="1"/>
  <c r="CA150" i="4"/>
  <c r="CA176" i="4" s="1"/>
  <c r="CI150" i="4"/>
  <c r="CI176" i="4" s="1"/>
  <c r="CQ150" i="4"/>
  <c r="CQ176" i="4" s="1"/>
  <c r="CY150" i="4"/>
  <c r="CY176" i="4" s="1"/>
  <c r="DG150" i="4"/>
  <c r="DG176" i="4" s="1"/>
  <c r="DO150" i="4"/>
  <c r="DO176" i="4" s="1"/>
  <c r="DW150" i="4"/>
  <c r="DW176" i="4" s="1"/>
  <c r="EE150" i="4"/>
  <c r="EE176" i="4" s="1"/>
  <c r="EM150" i="4"/>
  <c r="EM176" i="4" s="1"/>
  <c r="D151" i="4"/>
  <c r="D177" i="4" s="1"/>
  <c r="L151" i="4"/>
  <c r="L177" i="4" s="1"/>
  <c r="T151" i="4"/>
  <c r="T177" i="4" s="1"/>
  <c r="AB151" i="4"/>
  <c r="AB177" i="4" s="1"/>
  <c r="AJ151" i="4"/>
  <c r="AJ177" i="4" s="1"/>
  <c r="AR151" i="4"/>
  <c r="AR177" i="4" s="1"/>
  <c r="AZ151" i="4"/>
  <c r="AZ177" i="4" s="1"/>
  <c r="BH151" i="4"/>
  <c r="BH177" i="4" s="1"/>
  <c r="BP151" i="4"/>
  <c r="BP177" i="4" s="1"/>
  <c r="BX151" i="4"/>
  <c r="BX177" i="4" s="1"/>
  <c r="CF151" i="4"/>
  <c r="CF177" i="4" s="1"/>
  <c r="CN151" i="4"/>
  <c r="CN177" i="4" s="1"/>
  <c r="CV151" i="4"/>
  <c r="CV177" i="4" s="1"/>
  <c r="DD151" i="4"/>
  <c r="DD177" i="4" s="1"/>
  <c r="DL151" i="4"/>
  <c r="DL177" i="4" s="1"/>
  <c r="DT151" i="4"/>
  <c r="DT177" i="4" s="1"/>
  <c r="EB151" i="4"/>
  <c r="EB177" i="4" s="1"/>
  <c r="EJ151" i="4"/>
  <c r="EJ177" i="4" s="1"/>
  <c r="ER151" i="4"/>
  <c r="ER177" i="4" s="1"/>
  <c r="I152" i="4"/>
  <c r="I178" i="4" s="1"/>
  <c r="Q152" i="4"/>
  <c r="Q178" i="4" s="1"/>
  <c r="Y152" i="4"/>
  <c r="Y178" i="4" s="1"/>
  <c r="AG152" i="4"/>
  <c r="AG178" i="4" s="1"/>
  <c r="AO152" i="4"/>
  <c r="AO178" i="4" s="1"/>
  <c r="AW152" i="4"/>
  <c r="AW178" i="4" s="1"/>
  <c r="BE152" i="4"/>
  <c r="BE178" i="4" s="1"/>
  <c r="BM152" i="4"/>
  <c r="BM178" i="4" s="1"/>
  <c r="BU152" i="4"/>
  <c r="BU178" i="4" s="1"/>
  <c r="CC152" i="4"/>
  <c r="CC178" i="4" s="1"/>
  <c r="CK152" i="4"/>
  <c r="CK178" i="4" s="1"/>
  <c r="CS152" i="4"/>
  <c r="CS178" i="4" s="1"/>
  <c r="DA152" i="4"/>
  <c r="DA178" i="4" s="1"/>
  <c r="DI152" i="4"/>
  <c r="DI178" i="4" s="1"/>
  <c r="DQ152" i="4"/>
  <c r="DQ178" i="4" s="1"/>
  <c r="DY152" i="4"/>
  <c r="DY178" i="4" s="1"/>
  <c r="EG152" i="4"/>
  <c r="EG178" i="4" s="1"/>
  <c r="EO152" i="4"/>
  <c r="EO178" i="4" s="1"/>
  <c r="F153" i="4"/>
  <c r="F179" i="4" s="1"/>
  <c r="N153" i="4"/>
  <c r="N179" i="4" s="1"/>
  <c r="V153" i="4"/>
  <c r="V179" i="4" s="1"/>
  <c r="AD153" i="4"/>
  <c r="AD179" i="4" s="1"/>
  <c r="AL153" i="4"/>
  <c r="AL179" i="4" s="1"/>
  <c r="AT153" i="4"/>
  <c r="AT179" i="4" s="1"/>
  <c r="BB153" i="4"/>
  <c r="BB179" i="4" s="1"/>
  <c r="BJ153" i="4"/>
  <c r="BJ179" i="4" s="1"/>
  <c r="BR153" i="4"/>
  <c r="BR179" i="4" s="1"/>
  <c r="BZ153" i="4"/>
  <c r="BZ179" i="4" s="1"/>
  <c r="CH153" i="4"/>
  <c r="CH179" i="4" s="1"/>
  <c r="CP153" i="4"/>
  <c r="CP179" i="4" s="1"/>
  <c r="CX153" i="4"/>
  <c r="CX179" i="4" s="1"/>
  <c r="DF153" i="4"/>
  <c r="DF179" i="4" s="1"/>
  <c r="DN153" i="4"/>
  <c r="DN179" i="4" s="1"/>
  <c r="DV153" i="4"/>
  <c r="DV179" i="4" s="1"/>
  <c r="ED153" i="4"/>
  <c r="ED179" i="4" s="1"/>
  <c r="EL153" i="4"/>
  <c r="EL179" i="4" s="1"/>
  <c r="C154" i="4"/>
  <c r="C180" i="4" s="1"/>
  <c r="K154" i="4"/>
  <c r="K180" i="4" s="1"/>
  <c r="S154" i="4"/>
  <c r="S180" i="4" s="1"/>
  <c r="AA154" i="4"/>
  <c r="AA180" i="4" s="1"/>
  <c r="AI154" i="4"/>
  <c r="AI180" i="4" s="1"/>
  <c r="AQ154" i="4"/>
  <c r="AQ180" i="4" s="1"/>
  <c r="AY154" i="4"/>
  <c r="AY180" i="4" s="1"/>
  <c r="BG154" i="4"/>
  <c r="BG180" i="4" s="1"/>
  <c r="BO154" i="4"/>
  <c r="BO180" i="4" s="1"/>
  <c r="BW154" i="4"/>
  <c r="BW180" i="4" s="1"/>
  <c r="CE154" i="4"/>
  <c r="CE180" i="4" s="1"/>
  <c r="CM154" i="4"/>
  <c r="CM180" i="4" s="1"/>
  <c r="CU154" i="4"/>
  <c r="CU180" i="4" s="1"/>
  <c r="DC154" i="4"/>
  <c r="DC180" i="4" s="1"/>
  <c r="DK154" i="4"/>
  <c r="DK180" i="4" s="1"/>
  <c r="DS154" i="4"/>
  <c r="DS180" i="4" s="1"/>
  <c r="EA154" i="4"/>
  <c r="EA180" i="4" s="1"/>
  <c r="EI154" i="4"/>
  <c r="EI180" i="4" s="1"/>
  <c r="EQ154" i="4"/>
  <c r="EQ180" i="4" s="1"/>
  <c r="H155" i="4"/>
  <c r="H181" i="4" s="1"/>
  <c r="P155" i="4"/>
  <c r="P181" i="4" s="1"/>
  <c r="X155" i="4"/>
  <c r="X181" i="4" s="1"/>
  <c r="AF155" i="4"/>
  <c r="AF181" i="4" s="1"/>
  <c r="AN155" i="4"/>
  <c r="AN181" i="4" s="1"/>
  <c r="AV155" i="4"/>
  <c r="AV181" i="4" s="1"/>
  <c r="BD155" i="4"/>
  <c r="BD181" i="4" s="1"/>
  <c r="BL155" i="4"/>
  <c r="BL181" i="4" s="1"/>
  <c r="BT155" i="4"/>
  <c r="BT181" i="4" s="1"/>
  <c r="CB155" i="4"/>
  <c r="CB181" i="4" s="1"/>
  <c r="CJ155" i="4"/>
  <c r="CJ181" i="4" s="1"/>
  <c r="CR155" i="4"/>
  <c r="CR181" i="4" s="1"/>
  <c r="CZ155" i="4"/>
  <c r="CZ181" i="4" s="1"/>
  <c r="DH155" i="4"/>
  <c r="DH181" i="4" s="1"/>
  <c r="DP155" i="4"/>
  <c r="DP181" i="4" s="1"/>
  <c r="DX155" i="4"/>
  <c r="DX181" i="4" s="1"/>
  <c r="EF155" i="4"/>
  <c r="EF181" i="4" s="1"/>
  <c r="Y138" i="4"/>
  <c r="Y164" i="4" s="1"/>
  <c r="F139" i="4"/>
  <c r="F165" i="4" s="1"/>
  <c r="ED139" i="4"/>
  <c r="ED165" i="4" s="1"/>
  <c r="DK140" i="4"/>
  <c r="DK166" i="4" s="1"/>
  <c r="CR141" i="4"/>
  <c r="CR167" i="4" s="1"/>
  <c r="BQ142" i="4"/>
  <c r="BQ168" i="4" s="1"/>
  <c r="DM142" i="4"/>
  <c r="DM168" i="4" s="1"/>
  <c r="ES142" i="4"/>
  <c r="ES168" i="4" s="1"/>
  <c r="AH143" i="4"/>
  <c r="AH169" i="4" s="1"/>
  <c r="BN143" i="4"/>
  <c r="BN169" i="4" s="1"/>
  <c r="CT143" i="4"/>
  <c r="CT169" i="4" s="1"/>
  <c r="DZ143" i="4"/>
  <c r="DZ169" i="4" s="1"/>
  <c r="O144" i="4"/>
  <c r="O170" i="4" s="1"/>
  <c r="AU144" i="4"/>
  <c r="AU170" i="4" s="1"/>
  <c r="CA144" i="4"/>
  <c r="CA170" i="4" s="1"/>
  <c r="DG144" i="4"/>
  <c r="DG170" i="4" s="1"/>
  <c r="EM144" i="4"/>
  <c r="EM170" i="4" s="1"/>
  <c r="AB145" i="4"/>
  <c r="AB171" i="4" s="1"/>
  <c r="BH145" i="4"/>
  <c r="BH171" i="4" s="1"/>
  <c r="CN145" i="4"/>
  <c r="CN171" i="4" s="1"/>
  <c r="DT145" i="4"/>
  <c r="DT171" i="4" s="1"/>
  <c r="I146" i="4"/>
  <c r="I172" i="4" s="1"/>
  <c r="AA146" i="4"/>
  <c r="AA172" i="4" s="1"/>
  <c r="AQ146" i="4"/>
  <c r="AQ172" i="4" s="1"/>
  <c r="BG146" i="4"/>
  <c r="BG172" i="4" s="1"/>
  <c r="BW146" i="4"/>
  <c r="BW172" i="4" s="1"/>
  <c r="CM146" i="4"/>
  <c r="CM172" i="4" s="1"/>
  <c r="DC146" i="4"/>
  <c r="DC172" i="4" s="1"/>
  <c r="DS146" i="4"/>
  <c r="DS172" i="4" s="1"/>
  <c r="EI146" i="4"/>
  <c r="EI172" i="4" s="1"/>
  <c r="H147" i="4"/>
  <c r="H173" i="4" s="1"/>
  <c r="X147" i="4"/>
  <c r="X173" i="4" s="1"/>
  <c r="AN147" i="4"/>
  <c r="AN173" i="4" s="1"/>
  <c r="BD147" i="4"/>
  <c r="BD173" i="4" s="1"/>
  <c r="BT147" i="4"/>
  <c r="BT173" i="4" s="1"/>
  <c r="CJ147" i="4"/>
  <c r="CJ173" i="4" s="1"/>
  <c r="CZ147" i="4"/>
  <c r="CZ173" i="4" s="1"/>
  <c r="DP147" i="4"/>
  <c r="DP173" i="4" s="1"/>
  <c r="EF147" i="4"/>
  <c r="EF173" i="4" s="1"/>
  <c r="E148" i="4"/>
  <c r="E174" i="4" s="1"/>
  <c r="U148" i="4"/>
  <c r="U174" i="4" s="1"/>
  <c r="AK148" i="4"/>
  <c r="AK174" i="4" s="1"/>
  <c r="BA148" i="4"/>
  <c r="BA174" i="4" s="1"/>
  <c r="BQ148" i="4"/>
  <c r="BQ174" i="4" s="1"/>
  <c r="CG148" i="4"/>
  <c r="CG174" i="4" s="1"/>
  <c r="CW148" i="4"/>
  <c r="CW174" i="4" s="1"/>
  <c r="DM148" i="4"/>
  <c r="DM174" i="4" s="1"/>
  <c r="EC148" i="4"/>
  <c r="EC174" i="4" s="1"/>
  <c r="ES148" i="4"/>
  <c r="ES174" i="4" s="1"/>
  <c r="R149" i="4"/>
  <c r="R175" i="4" s="1"/>
  <c r="AF149" i="4"/>
  <c r="AF175" i="4" s="1"/>
  <c r="AS149" i="4"/>
  <c r="AS175" i="4" s="1"/>
  <c r="BE149" i="4"/>
  <c r="BE175" i="4" s="1"/>
  <c r="BR149" i="4"/>
  <c r="BR175" i="4" s="1"/>
  <c r="CD149" i="4"/>
  <c r="CD175" i="4" s="1"/>
  <c r="CO149" i="4"/>
  <c r="CO175" i="4" s="1"/>
  <c r="CZ149" i="4"/>
  <c r="CZ175" i="4" s="1"/>
  <c r="DJ149" i="4"/>
  <c r="DJ175" i="4" s="1"/>
  <c r="DS149" i="4"/>
  <c r="DS175" i="4" s="1"/>
  <c r="EA149" i="4"/>
  <c r="EA175" i="4" s="1"/>
  <c r="EI149" i="4"/>
  <c r="EI175" i="4" s="1"/>
  <c r="EQ149" i="4"/>
  <c r="EQ175" i="4" s="1"/>
  <c r="H150" i="4"/>
  <c r="H176" i="4" s="1"/>
  <c r="P150" i="4"/>
  <c r="P176" i="4" s="1"/>
  <c r="X150" i="4"/>
  <c r="X176" i="4" s="1"/>
  <c r="AF150" i="4"/>
  <c r="AF176" i="4" s="1"/>
  <c r="AN150" i="4"/>
  <c r="AN176" i="4" s="1"/>
  <c r="AV150" i="4"/>
  <c r="AV176" i="4" s="1"/>
  <c r="BD150" i="4"/>
  <c r="BD176" i="4" s="1"/>
  <c r="BL150" i="4"/>
  <c r="BL176" i="4" s="1"/>
  <c r="BT150" i="4"/>
  <c r="BT176" i="4" s="1"/>
  <c r="CB150" i="4"/>
  <c r="CB176" i="4" s="1"/>
  <c r="CJ150" i="4"/>
  <c r="CJ176" i="4" s="1"/>
  <c r="CR150" i="4"/>
  <c r="CR176" i="4" s="1"/>
  <c r="CZ150" i="4"/>
  <c r="CZ176" i="4" s="1"/>
  <c r="DH150" i="4"/>
  <c r="DH176" i="4" s="1"/>
  <c r="DP150" i="4"/>
  <c r="DP176" i="4" s="1"/>
  <c r="DX150" i="4"/>
  <c r="DX176" i="4" s="1"/>
  <c r="EF150" i="4"/>
  <c r="EF176" i="4" s="1"/>
  <c r="EN150" i="4"/>
  <c r="EN176" i="4" s="1"/>
  <c r="E151" i="4"/>
  <c r="E177" i="4" s="1"/>
  <c r="M151" i="4"/>
  <c r="M177" i="4" s="1"/>
  <c r="U151" i="4"/>
  <c r="U177" i="4" s="1"/>
  <c r="AC151" i="4"/>
  <c r="AC177" i="4" s="1"/>
  <c r="AK151" i="4"/>
  <c r="AK177" i="4" s="1"/>
  <c r="AS151" i="4"/>
  <c r="AS177" i="4" s="1"/>
  <c r="BA151" i="4"/>
  <c r="BA177" i="4" s="1"/>
  <c r="BI151" i="4"/>
  <c r="BI177" i="4" s="1"/>
  <c r="BQ151" i="4"/>
  <c r="BQ177" i="4" s="1"/>
  <c r="BY151" i="4"/>
  <c r="BY177" i="4" s="1"/>
  <c r="CG151" i="4"/>
  <c r="CG177" i="4" s="1"/>
  <c r="CO151" i="4"/>
  <c r="CO177" i="4" s="1"/>
  <c r="CW151" i="4"/>
  <c r="CW177" i="4" s="1"/>
  <c r="DE151" i="4"/>
  <c r="DE177" i="4" s="1"/>
  <c r="DM151" i="4"/>
  <c r="DM177" i="4" s="1"/>
  <c r="DU151" i="4"/>
  <c r="DU177" i="4" s="1"/>
  <c r="EC151" i="4"/>
  <c r="EC177" i="4" s="1"/>
  <c r="EK151" i="4"/>
  <c r="EK177" i="4" s="1"/>
  <c r="ES151" i="4"/>
  <c r="ES177" i="4" s="1"/>
  <c r="J152" i="4"/>
  <c r="J178" i="4" s="1"/>
  <c r="R152" i="4"/>
  <c r="R178" i="4" s="1"/>
  <c r="Z152" i="4"/>
  <c r="Z178" i="4" s="1"/>
  <c r="AH152" i="4"/>
  <c r="AH178" i="4" s="1"/>
  <c r="AP152" i="4"/>
  <c r="AP178" i="4" s="1"/>
  <c r="AX152" i="4"/>
  <c r="AX178" i="4" s="1"/>
  <c r="BF152" i="4"/>
  <c r="BF178" i="4" s="1"/>
  <c r="BN152" i="4"/>
  <c r="BN178" i="4" s="1"/>
  <c r="BV152" i="4"/>
  <c r="BV178" i="4" s="1"/>
  <c r="CD152" i="4"/>
  <c r="CD178" i="4" s="1"/>
  <c r="CL152" i="4"/>
  <c r="CL178" i="4" s="1"/>
  <c r="CT152" i="4"/>
  <c r="CT178" i="4" s="1"/>
  <c r="DB152" i="4"/>
  <c r="DB178" i="4" s="1"/>
  <c r="DJ152" i="4"/>
  <c r="DJ178" i="4" s="1"/>
  <c r="DR152" i="4"/>
  <c r="DR178" i="4" s="1"/>
  <c r="DZ152" i="4"/>
  <c r="DZ178" i="4" s="1"/>
  <c r="EH152" i="4"/>
  <c r="EH178" i="4" s="1"/>
  <c r="EP152" i="4"/>
  <c r="EP178" i="4" s="1"/>
  <c r="G153" i="4"/>
  <c r="G179" i="4" s="1"/>
  <c r="O153" i="4"/>
  <c r="O179" i="4" s="1"/>
  <c r="W153" i="4"/>
  <c r="W179" i="4" s="1"/>
  <c r="AE153" i="4"/>
  <c r="AE179" i="4" s="1"/>
  <c r="AM153" i="4"/>
  <c r="AM179" i="4" s="1"/>
  <c r="AU153" i="4"/>
  <c r="AU179" i="4" s="1"/>
  <c r="BC153" i="4"/>
  <c r="BC179" i="4" s="1"/>
  <c r="BK153" i="4"/>
  <c r="BK179" i="4" s="1"/>
  <c r="BS153" i="4"/>
  <c r="BS179" i="4" s="1"/>
  <c r="CA153" i="4"/>
  <c r="CA179" i="4" s="1"/>
  <c r="CI153" i="4"/>
  <c r="CI179" i="4" s="1"/>
  <c r="CQ153" i="4"/>
  <c r="CQ179" i="4" s="1"/>
  <c r="CY153" i="4"/>
  <c r="CY179" i="4" s="1"/>
  <c r="DG153" i="4"/>
  <c r="DG179" i="4" s="1"/>
  <c r="DO153" i="4"/>
  <c r="DO179" i="4" s="1"/>
  <c r="DW153" i="4"/>
  <c r="DW179" i="4" s="1"/>
  <c r="EE153" i="4"/>
  <c r="EE179" i="4" s="1"/>
  <c r="EM153" i="4"/>
  <c r="EM179" i="4" s="1"/>
  <c r="D154" i="4"/>
  <c r="D180" i="4" s="1"/>
  <c r="L154" i="4"/>
  <c r="L180" i="4" s="1"/>
  <c r="T154" i="4"/>
  <c r="T180" i="4" s="1"/>
  <c r="AB154" i="4"/>
  <c r="AB180" i="4" s="1"/>
  <c r="AJ154" i="4"/>
  <c r="AJ180" i="4" s="1"/>
  <c r="AR154" i="4"/>
  <c r="AR180" i="4" s="1"/>
  <c r="AZ154" i="4"/>
  <c r="AZ180" i="4" s="1"/>
  <c r="BH154" i="4"/>
  <c r="BH180" i="4" s="1"/>
  <c r="BP154" i="4"/>
  <c r="BP180" i="4" s="1"/>
  <c r="BX154" i="4"/>
  <c r="BX180" i="4" s="1"/>
  <c r="CF154" i="4"/>
  <c r="CF180" i="4" s="1"/>
  <c r="CN154" i="4"/>
  <c r="CN180" i="4" s="1"/>
  <c r="CV154" i="4"/>
  <c r="CV180" i="4" s="1"/>
  <c r="DD154" i="4"/>
  <c r="DD180" i="4" s="1"/>
  <c r="DL154" i="4"/>
  <c r="DL180" i="4" s="1"/>
  <c r="DT154" i="4"/>
  <c r="DT180" i="4" s="1"/>
  <c r="EB154" i="4"/>
  <c r="EB180" i="4" s="1"/>
  <c r="EJ154" i="4"/>
  <c r="EJ180" i="4" s="1"/>
  <c r="ER154" i="4"/>
  <c r="ER180" i="4" s="1"/>
  <c r="I155" i="4"/>
  <c r="I181" i="4" s="1"/>
  <c r="Q155" i="4"/>
  <c r="Q181" i="4" s="1"/>
  <c r="Y155" i="4"/>
  <c r="Y181" i="4" s="1"/>
  <c r="AG155" i="4"/>
  <c r="AG181" i="4" s="1"/>
  <c r="AO155" i="4"/>
  <c r="AO181" i="4" s="1"/>
  <c r="AW155" i="4"/>
  <c r="AW181" i="4" s="1"/>
  <c r="BE155" i="4"/>
  <c r="BE181" i="4" s="1"/>
  <c r="BM155" i="4"/>
  <c r="BM181" i="4" s="1"/>
  <c r="BU155" i="4"/>
  <c r="BU181" i="4" s="1"/>
  <c r="CC155" i="4"/>
  <c r="CC181" i="4" s="1"/>
  <c r="CK155" i="4"/>
  <c r="CK181" i="4" s="1"/>
  <c r="CS155" i="4"/>
  <c r="CS181" i="4" s="1"/>
  <c r="DA155" i="4"/>
  <c r="DA181" i="4" s="1"/>
  <c r="DI155" i="4"/>
  <c r="DI181" i="4" s="1"/>
  <c r="DQ155" i="4"/>
  <c r="DQ181" i="4" s="1"/>
  <c r="DY155" i="4"/>
  <c r="DY181" i="4" s="1"/>
  <c r="AE138" i="4"/>
  <c r="AE164" i="4" s="1"/>
  <c r="L139" i="4"/>
  <c r="L165" i="4" s="1"/>
  <c r="EJ139" i="4"/>
  <c r="EJ165" i="4" s="1"/>
  <c r="DQ140" i="4"/>
  <c r="DQ166" i="4" s="1"/>
  <c r="CX141" i="4"/>
  <c r="CX167" i="4" s="1"/>
  <c r="BW142" i="4"/>
  <c r="BW168" i="4" s="1"/>
  <c r="DN142" i="4"/>
  <c r="DN168" i="4" s="1"/>
  <c r="C143" i="4"/>
  <c r="C169" i="4" s="1"/>
  <c r="AI143" i="4"/>
  <c r="AI169" i="4" s="1"/>
  <c r="BO143" i="4"/>
  <c r="BO169" i="4" s="1"/>
  <c r="CU143" i="4"/>
  <c r="CU169" i="4" s="1"/>
  <c r="EA143" i="4"/>
  <c r="EA169" i="4" s="1"/>
  <c r="P144" i="4"/>
  <c r="P170" i="4" s="1"/>
  <c r="AV144" i="4"/>
  <c r="AV170" i="4" s="1"/>
  <c r="CB144" i="4"/>
  <c r="CB170" i="4" s="1"/>
  <c r="DH144" i="4"/>
  <c r="DH170" i="4" s="1"/>
  <c r="EN144" i="4"/>
  <c r="EN170" i="4" s="1"/>
  <c r="AC145" i="4"/>
  <c r="AC171" i="4" s="1"/>
  <c r="BI145" i="4"/>
  <c r="BI171" i="4" s="1"/>
  <c r="CO145" i="4"/>
  <c r="CO171" i="4" s="1"/>
  <c r="DU145" i="4"/>
  <c r="DU171" i="4" s="1"/>
  <c r="J146" i="4"/>
  <c r="J172" i="4" s="1"/>
  <c r="AE146" i="4"/>
  <c r="AE172" i="4" s="1"/>
  <c r="AU146" i="4"/>
  <c r="AU172" i="4" s="1"/>
  <c r="BK146" i="4"/>
  <c r="BK172" i="4" s="1"/>
  <c r="CA146" i="4"/>
  <c r="CA172" i="4" s="1"/>
  <c r="CQ146" i="4"/>
  <c r="CQ172" i="4" s="1"/>
  <c r="DG146" i="4"/>
  <c r="DG172" i="4" s="1"/>
  <c r="DW146" i="4"/>
  <c r="DW172" i="4" s="1"/>
  <c r="EM146" i="4"/>
  <c r="EM172" i="4" s="1"/>
  <c r="L147" i="4"/>
  <c r="L173" i="4" s="1"/>
  <c r="AB147" i="4"/>
  <c r="AB173" i="4" s="1"/>
  <c r="AR147" i="4"/>
  <c r="AR173" i="4" s="1"/>
  <c r="BH147" i="4"/>
  <c r="BH173" i="4" s="1"/>
  <c r="BX147" i="4"/>
  <c r="BX173" i="4" s="1"/>
  <c r="CN147" i="4"/>
  <c r="CN173" i="4" s="1"/>
  <c r="DD147" i="4"/>
  <c r="DD173" i="4" s="1"/>
  <c r="DT147" i="4"/>
  <c r="DT173" i="4" s="1"/>
  <c r="EJ147" i="4"/>
  <c r="EJ173" i="4" s="1"/>
  <c r="I148" i="4"/>
  <c r="I174" i="4" s="1"/>
  <c r="Y148" i="4"/>
  <c r="Y174" i="4" s="1"/>
  <c r="AO148" i="4"/>
  <c r="AO174" i="4" s="1"/>
  <c r="BE148" i="4"/>
  <c r="BE174" i="4" s="1"/>
  <c r="BU148" i="4"/>
  <c r="BU174" i="4" s="1"/>
  <c r="CK148" i="4"/>
  <c r="CK174" i="4" s="1"/>
  <c r="DA148" i="4"/>
  <c r="DA174" i="4" s="1"/>
  <c r="DQ148" i="4"/>
  <c r="DQ174" i="4" s="1"/>
  <c r="EG148" i="4"/>
  <c r="EG174" i="4" s="1"/>
  <c r="F149" i="4"/>
  <c r="F175" i="4" s="1"/>
  <c r="U149" i="4"/>
  <c r="U175" i="4" s="1"/>
  <c r="AG149" i="4"/>
  <c r="AG175" i="4" s="1"/>
  <c r="AT149" i="4"/>
  <c r="AT175" i="4" s="1"/>
  <c r="BF149" i="4"/>
  <c r="BF175" i="4" s="1"/>
  <c r="BT149" i="4"/>
  <c r="BT175" i="4" s="1"/>
  <c r="CF149" i="4"/>
  <c r="CF175" i="4" s="1"/>
  <c r="CP149" i="4"/>
  <c r="CP175" i="4" s="1"/>
  <c r="DA149" i="4"/>
  <c r="DA175" i="4" s="1"/>
  <c r="DL149" i="4"/>
  <c r="DL175" i="4" s="1"/>
  <c r="DT149" i="4"/>
  <c r="DT175" i="4" s="1"/>
  <c r="EB149" i="4"/>
  <c r="EB175" i="4" s="1"/>
  <c r="EJ149" i="4"/>
  <c r="EJ175" i="4" s="1"/>
  <c r="ER149" i="4"/>
  <c r="ER175" i="4" s="1"/>
  <c r="I150" i="4"/>
  <c r="I176" i="4" s="1"/>
  <c r="Q150" i="4"/>
  <c r="Q176" i="4" s="1"/>
  <c r="Y150" i="4"/>
  <c r="Y176" i="4" s="1"/>
  <c r="AG150" i="4"/>
  <c r="AG176" i="4" s="1"/>
  <c r="AO150" i="4"/>
  <c r="AO176" i="4" s="1"/>
  <c r="AW150" i="4"/>
  <c r="AW176" i="4" s="1"/>
  <c r="BE150" i="4"/>
  <c r="BE176" i="4" s="1"/>
  <c r="BM150" i="4"/>
  <c r="BM176" i="4" s="1"/>
  <c r="BU150" i="4"/>
  <c r="BU176" i="4" s="1"/>
  <c r="CC150" i="4"/>
  <c r="CC176" i="4" s="1"/>
  <c r="CK150" i="4"/>
  <c r="CK176" i="4" s="1"/>
  <c r="CS150" i="4"/>
  <c r="CS176" i="4" s="1"/>
  <c r="DA150" i="4"/>
  <c r="DA176" i="4" s="1"/>
  <c r="DI150" i="4"/>
  <c r="DI176" i="4" s="1"/>
  <c r="DQ150" i="4"/>
  <c r="DQ176" i="4" s="1"/>
  <c r="DY150" i="4"/>
  <c r="DY176" i="4" s="1"/>
  <c r="EG150" i="4"/>
  <c r="EG176" i="4" s="1"/>
  <c r="EO150" i="4"/>
  <c r="EO176" i="4" s="1"/>
  <c r="F151" i="4"/>
  <c r="F177" i="4" s="1"/>
  <c r="N151" i="4"/>
  <c r="N177" i="4" s="1"/>
  <c r="V151" i="4"/>
  <c r="V177" i="4" s="1"/>
  <c r="AD151" i="4"/>
  <c r="AD177" i="4" s="1"/>
  <c r="AL151" i="4"/>
  <c r="AL177" i="4" s="1"/>
  <c r="AT151" i="4"/>
  <c r="AT177" i="4" s="1"/>
  <c r="BB151" i="4"/>
  <c r="BB177" i="4" s="1"/>
  <c r="BJ151" i="4"/>
  <c r="BJ177" i="4" s="1"/>
  <c r="BR151" i="4"/>
  <c r="BR177" i="4" s="1"/>
  <c r="BZ151" i="4"/>
  <c r="BZ177" i="4" s="1"/>
  <c r="CH151" i="4"/>
  <c r="CH177" i="4" s="1"/>
  <c r="CP151" i="4"/>
  <c r="CP177" i="4" s="1"/>
  <c r="CX151" i="4"/>
  <c r="CX177" i="4" s="1"/>
  <c r="DF151" i="4"/>
  <c r="DF177" i="4" s="1"/>
  <c r="DN151" i="4"/>
  <c r="DN177" i="4" s="1"/>
  <c r="DV151" i="4"/>
  <c r="DV177" i="4" s="1"/>
  <c r="ED151" i="4"/>
  <c r="ED177" i="4" s="1"/>
  <c r="EL151" i="4"/>
  <c r="EL177" i="4" s="1"/>
  <c r="C152" i="4"/>
  <c r="C178" i="4" s="1"/>
  <c r="K152" i="4"/>
  <c r="K178" i="4" s="1"/>
  <c r="S152" i="4"/>
  <c r="S178" i="4" s="1"/>
  <c r="AA152" i="4"/>
  <c r="AA178" i="4" s="1"/>
  <c r="AI152" i="4"/>
  <c r="AI178" i="4" s="1"/>
  <c r="AQ152" i="4"/>
  <c r="AQ178" i="4" s="1"/>
  <c r="AY152" i="4"/>
  <c r="AY178" i="4" s="1"/>
  <c r="BG152" i="4"/>
  <c r="BG178" i="4" s="1"/>
  <c r="BO152" i="4"/>
  <c r="BO178" i="4" s="1"/>
  <c r="BW152" i="4"/>
  <c r="BW178" i="4" s="1"/>
  <c r="CE152" i="4"/>
  <c r="CE178" i="4" s="1"/>
  <c r="CM152" i="4"/>
  <c r="CM178" i="4" s="1"/>
  <c r="CU152" i="4"/>
  <c r="CU178" i="4" s="1"/>
  <c r="DC152" i="4"/>
  <c r="DC178" i="4" s="1"/>
  <c r="DK152" i="4"/>
  <c r="DK178" i="4" s="1"/>
  <c r="DS152" i="4"/>
  <c r="DS178" i="4" s="1"/>
  <c r="EA152" i="4"/>
  <c r="EA178" i="4" s="1"/>
  <c r="EI152" i="4"/>
  <c r="EI178" i="4" s="1"/>
  <c r="EQ152" i="4"/>
  <c r="EQ178" i="4" s="1"/>
  <c r="H153" i="4"/>
  <c r="H179" i="4" s="1"/>
  <c r="P153" i="4"/>
  <c r="P179" i="4" s="1"/>
  <c r="X153" i="4"/>
  <c r="X179" i="4" s="1"/>
  <c r="AF153" i="4"/>
  <c r="AF179" i="4" s="1"/>
  <c r="AN153" i="4"/>
  <c r="AN179" i="4" s="1"/>
  <c r="AV153" i="4"/>
  <c r="AV179" i="4" s="1"/>
  <c r="BD153" i="4"/>
  <c r="BD179" i="4" s="1"/>
  <c r="BL153" i="4"/>
  <c r="BL179" i="4" s="1"/>
  <c r="BT153" i="4"/>
  <c r="BT179" i="4" s="1"/>
  <c r="CB153" i="4"/>
  <c r="CB179" i="4" s="1"/>
  <c r="CJ153" i="4"/>
  <c r="CJ179" i="4" s="1"/>
  <c r="CR153" i="4"/>
  <c r="CR179" i="4" s="1"/>
  <c r="CZ153" i="4"/>
  <c r="CZ179" i="4" s="1"/>
  <c r="DH153" i="4"/>
  <c r="DH179" i="4" s="1"/>
  <c r="DP153" i="4"/>
  <c r="DP179" i="4" s="1"/>
  <c r="DX153" i="4"/>
  <c r="DX179" i="4" s="1"/>
  <c r="EF153" i="4"/>
  <c r="EF179" i="4" s="1"/>
  <c r="EN153" i="4"/>
  <c r="EN179" i="4" s="1"/>
  <c r="E154" i="4"/>
  <c r="E180" i="4" s="1"/>
  <c r="M154" i="4"/>
  <c r="M180" i="4" s="1"/>
  <c r="U154" i="4"/>
  <c r="U180" i="4" s="1"/>
  <c r="AC154" i="4"/>
  <c r="AC180" i="4" s="1"/>
  <c r="AK154" i="4"/>
  <c r="AK180" i="4" s="1"/>
  <c r="AS154" i="4"/>
  <c r="AS180" i="4" s="1"/>
  <c r="BA154" i="4"/>
  <c r="BA180" i="4" s="1"/>
  <c r="BI154" i="4"/>
  <c r="BI180" i="4" s="1"/>
  <c r="BQ154" i="4"/>
  <c r="BQ180" i="4" s="1"/>
  <c r="BY154" i="4"/>
  <c r="BY180" i="4" s="1"/>
  <c r="CG154" i="4"/>
  <c r="CG180" i="4" s="1"/>
  <c r="CO154" i="4"/>
  <c r="CO180" i="4" s="1"/>
  <c r="CW154" i="4"/>
  <c r="CW180" i="4" s="1"/>
  <c r="DE154" i="4"/>
  <c r="DE180" i="4" s="1"/>
  <c r="DM154" i="4"/>
  <c r="DM180" i="4" s="1"/>
  <c r="DU154" i="4"/>
  <c r="DU180" i="4" s="1"/>
  <c r="EC154" i="4"/>
  <c r="EC180" i="4" s="1"/>
  <c r="EK154" i="4"/>
  <c r="EK180" i="4" s="1"/>
  <c r="ES154" i="4"/>
  <c r="ES180" i="4" s="1"/>
  <c r="J155" i="4"/>
  <c r="J181" i="4" s="1"/>
  <c r="R155" i="4"/>
  <c r="R181" i="4" s="1"/>
  <c r="Z155" i="4"/>
  <c r="Z181" i="4" s="1"/>
  <c r="AH155" i="4"/>
  <c r="AH181" i="4" s="1"/>
  <c r="AP155" i="4"/>
  <c r="AP181" i="4" s="1"/>
  <c r="AX155" i="4"/>
  <c r="AX181" i="4" s="1"/>
  <c r="BF155" i="4"/>
  <c r="BF181" i="4" s="1"/>
  <c r="BN155" i="4"/>
  <c r="BN181" i="4" s="1"/>
  <c r="BV155" i="4"/>
  <c r="BV181" i="4" s="1"/>
  <c r="CD155" i="4"/>
  <c r="CD181" i="4" s="1"/>
  <c r="CL155" i="4"/>
  <c r="CL181" i="4" s="1"/>
  <c r="CT155" i="4"/>
  <c r="CT181" i="4" s="1"/>
  <c r="DB155" i="4"/>
  <c r="DB181" i="4" s="1"/>
  <c r="DJ155" i="4"/>
  <c r="DJ181" i="4" s="1"/>
  <c r="DR155" i="4"/>
  <c r="DR181" i="4" s="1"/>
  <c r="DZ155" i="4"/>
  <c r="DZ181" i="4" s="1"/>
  <c r="BE138" i="4"/>
  <c r="BE164" i="4" s="1"/>
  <c r="AL139" i="4"/>
  <c r="AL165" i="4" s="1"/>
  <c r="S140" i="4"/>
  <c r="S166" i="4" s="1"/>
  <c r="EQ140" i="4"/>
  <c r="EQ166" i="4" s="1"/>
  <c r="DX141" i="4"/>
  <c r="DX167" i="4" s="1"/>
  <c r="CN142" i="4"/>
  <c r="CN168" i="4" s="1"/>
  <c r="DU142" i="4"/>
  <c r="DU168" i="4" s="1"/>
  <c r="J143" i="4"/>
  <c r="J169" i="4" s="1"/>
  <c r="AP143" i="4"/>
  <c r="AP169" i="4" s="1"/>
  <c r="BV143" i="4"/>
  <c r="BV169" i="4" s="1"/>
  <c r="DB143" i="4"/>
  <c r="DB169" i="4" s="1"/>
  <c r="EH143" i="4"/>
  <c r="EH169" i="4" s="1"/>
  <c r="W144" i="4"/>
  <c r="W170" i="4" s="1"/>
  <c r="BC144" i="4"/>
  <c r="BC170" i="4" s="1"/>
  <c r="CI144" i="4"/>
  <c r="CI170" i="4" s="1"/>
  <c r="DO144" i="4"/>
  <c r="DO170" i="4" s="1"/>
  <c r="D145" i="4"/>
  <c r="D171" i="4" s="1"/>
  <c r="AJ145" i="4"/>
  <c r="AJ171" i="4" s="1"/>
  <c r="BP145" i="4"/>
  <c r="BP171" i="4" s="1"/>
  <c r="CV145" i="4"/>
  <c r="CV171" i="4" s="1"/>
  <c r="EB145" i="4"/>
  <c r="EB171" i="4" s="1"/>
  <c r="Q146" i="4"/>
  <c r="Q172" i="4" s="1"/>
  <c r="AG146" i="4"/>
  <c r="AG172" i="4" s="1"/>
  <c r="AW146" i="4"/>
  <c r="AW172" i="4" s="1"/>
  <c r="BM146" i="4"/>
  <c r="BM172" i="4" s="1"/>
  <c r="CC146" i="4"/>
  <c r="CC172" i="4" s="1"/>
  <c r="CS146" i="4"/>
  <c r="CS172" i="4" s="1"/>
  <c r="DI146" i="4"/>
  <c r="DI172" i="4" s="1"/>
  <c r="DY146" i="4"/>
  <c r="DY172" i="4" s="1"/>
  <c r="EO146" i="4"/>
  <c r="EO172" i="4" s="1"/>
  <c r="N147" i="4"/>
  <c r="N173" i="4" s="1"/>
  <c r="AD147" i="4"/>
  <c r="AD173" i="4" s="1"/>
  <c r="AT147" i="4"/>
  <c r="AT173" i="4" s="1"/>
  <c r="BJ147" i="4"/>
  <c r="BJ173" i="4" s="1"/>
  <c r="BZ147" i="4"/>
  <c r="BZ173" i="4" s="1"/>
  <c r="CP147" i="4"/>
  <c r="CP173" i="4" s="1"/>
  <c r="DF147" i="4"/>
  <c r="DF173" i="4" s="1"/>
  <c r="DV147" i="4"/>
  <c r="DV173" i="4" s="1"/>
  <c r="EL147" i="4"/>
  <c r="EL173" i="4" s="1"/>
  <c r="K148" i="4"/>
  <c r="K174" i="4" s="1"/>
  <c r="AA148" i="4"/>
  <c r="AA174" i="4" s="1"/>
  <c r="AQ148" i="4"/>
  <c r="AQ174" i="4" s="1"/>
  <c r="BG148" i="4"/>
  <c r="BG174" i="4" s="1"/>
  <c r="BW148" i="4"/>
  <c r="BW174" i="4" s="1"/>
  <c r="CM148" i="4"/>
  <c r="CM174" i="4" s="1"/>
  <c r="DC148" i="4"/>
  <c r="DC174" i="4" s="1"/>
  <c r="DS148" i="4"/>
  <c r="DS174" i="4" s="1"/>
  <c r="EI148" i="4"/>
  <c r="EI174" i="4" s="1"/>
  <c r="H149" i="4"/>
  <c r="H175" i="4" s="1"/>
  <c r="V149" i="4"/>
  <c r="V175" i="4" s="1"/>
  <c r="AH149" i="4"/>
  <c r="AH175" i="4" s="1"/>
  <c r="AV149" i="4"/>
  <c r="AV175" i="4" s="1"/>
  <c r="BI149" i="4"/>
  <c r="BI175" i="4" s="1"/>
  <c r="BU149" i="4"/>
  <c r="BU175" i="4" s="1"/>
  <c r="CG149" i="4"/>
  <c r="CG175" i="4" s="1"/>
  <c r="CR149" i="4"/>
  <c r="CR175" i="4" s="1"/>
  <c r="DB149" i="4"/>
  <c r="DB175" i="4" s="1"/>
  <c r="DM149" i="4"/>
  <c r="DM175" i="4" s="1"/>
  <c r="DU149" i="4"/>
  <c r="DU175" i="4" s="1"/>
  <c r="EC149" i="4"/>
  <c r="EC175" i="4" s="1"/>
  <c r="EK149" i="4"/>
  <c r="EK175" i="4" s="1"/>
  <c r="ES149" i="4"/>
  <c r="ES175" i="4" s="1"/>
  <c r="J150" i="4"/>
  <c r="J176" i="4" s="1"/>
  <c r="R150" i="4"/>
  <c r="R176" i="4" s="1"/>
  <c r="Z150" i="4"/>
  <c r="Z176" i="4" s="1"/>
  <c r="AH150" i="4"/>
  <c r="AH176" i="4" s="1"/>
  <c r="AP150" i="4"/>
  <c r="AP176" i="4" s="1"/>
  <c r="AX150" i="4"/>
  <c r="AX176" i="4" s="1"/>
  <c r="BF150" i="4"/>
  <c r="BF176" i="4" s="1"/>
  <c r="BN150" i="4"/>
  <c r="BN176" i="4" s="1"/>
  <c r="BV150" i="4"/>
  <c r="BV176" i="4" s="1"/>
  <c r="CD150" i="4"/>
  <c r="CD176" i="4" s="1"/>
  <c r="CL150" i="4"/>
  <c r="CL176" i="4" s="1"/>
  <c r="CT150" i="4"/>
  <c r="CT176" i="4" s="1"/>
  <c r="DB150" i="4"/>
  <c r="DB176" i="4" s="1"/>
  <c r="DJ150" i="4"/>
  <c r="DJ176" i="4" s="1"/>
  <c r="DR150" i="4"/>
  <c r="DR176" i="4" s="1"/>
  <c r="DZ150" i="4"/>
  <c r="DZ176" i="4" s="1"/>
  <c r="EH150" i="4"/>
  <c r="EH176" i="4" s="1"/>
  <c r="EP150" i="4"/>
  <c r="EP176" i="4" s="1"/>
  <c r="G151" i="4"/>
  <c r="G177" i="4" s="1"/>
  <c r="O151" i="4"/>
  <c r="O177" i="4" s="1"/>
  <c r="W151" i="4"/>
  <c r="W177" i="4" s="1"/>
  <c r="AE151" i="4"/>
  <c r="AE177" i="4" s="1"/>
  <c r="AM151" i="4"/>
  <c r="AM177" i="4" s="1"/>
  <c r="AU151" i="4"/>
  <c r="AU177" i="4" s="1"/>
  <c r="BC151" i="4"/>
  <c r="BC177" i="4" s="1"/>
  <c r="BK151" i="4"/>
  <c r="BK177" i="4" s="1"/>
  <c r="BS151" i="4"/>
  <c r="BS177" i="4" s="1"/>
  <c r="CA151" i="4"/>
  <c r="CA177" i="4" s="1"/>
  <c r="CI151" i="4"/>
  <c r="CI177" i="4" s="1"/>
  <c r="CQ151" i="4"/>
  <c r="CQ177" i="4" s="1"/>
  <c r="CY151" i="4"/>
  <c r="CY177" i="4" s="1"/>
  <c r="DG151" i="4"/>
  <c r="DG177" i="4" s="1"/>
  <c r="DO151" i="4"/>
  <c r="DO177" i="4" s="1"/>
  <c r="DW151" i="4"/>
  <c r="DW177" i="4" s="1"/>
  <c r="EE151" i="4"/>
  <c r="EE177" i="4" s="1"/>
  <c r="EM151" i="4"/>
  <c r="EM177" i="4" s="1"/>
  <c r="D152" i="4"/>
  <c r="D178" i="4" s="1"/>
  <c r="L152" i="4"/>
  <c r="L178" i="4" s="1"/>
  <c r="T152" i="4"/>
  <c r="T178" i="4" s="1"/>
  <c r="AB152" i="4"/>
  <c r="AB178" i="4" s="1"/>
  <c r="AJ152" i="4"/>
  <c r="AJ178" i="4" s="1"/>
  <c r="AR152" i="4"/>
  <c r="AR178" i="4" s="1"/>
  <c r="AZ152" i="4"/>
  <c r="AZ178" i="4" s="1"/>
  <c r="BH152" i="4"/>
  <c r="BH178" i="4" s="1"/>
  <c r="BP152" i="4"/>
  <c r="BP178" i="4" s="1"/>
  <c r="BX152" i="4"/>
  <c r="BX178" i="4" s="1"/>
  <c r="CF152" i="4"/>
  <c r="CF178" i="4" s="1"/>
  <c r="CN152" i="4"/>
  <c r="CN178" i="4" s="1"/>
  <c r="CV152" i="4"/>
  <c r="CV178" i="4" s="1"/>
  <c r="DD152" i="4"/>
  <c r="DD178" i="4" s="1"/>
  <c r="DL152" i="4"/>
  <c r="DL178" i="4" s="1"/>
  <c r="DT152" i="4"/>
  <c r="DT178" i="4" s="1"/>
  <c r="EB152" i="4"/>
  <c r="EB178" i="4" s="1"/>
  <c r="EJ152" i="4"/>
  <c r="EJ178" i="4" s="1"/>
  <c r="ER152" i="4"/>
  <c r="ER178" i="4" s="1"/>
  <c r="I153" i="4"/>
  <c r="I179" i="4" s="1"/>
  <c r="Q153" i="4"/>
  <c r="Q179" i="4" s="1"/>
  <c r="Y153" i="4"/>
  <c r="Y179" i="4" s="1"/>
  <c r="AG153" i="4"/>
  <c r="AG179" i="4" s="1"/>
  <c r="AO153" i="4"/>
  <c r="AO179" i="4" s="1"/>
  <c r="AW153" i="4"/>
  <c r="AW179" i="4" s="1"/>
  <c r="BE153" i="4"/>
  <c r="BE179" i="4" s="1"/>
  <c r="BM153" i="4"/>
  <c r="BM179" i="4" s="1"/>
  <c r="BU153" i="4"/>
  <c r="BU179" i="4" s="1"/>
  <c r="CC153" i="4"/>
  <c r="CC179" i="4" s="1"/>
  <c r="CK153" i="4"/>
  <c r="CK179" i="4" s="1"/>
  <c r="CS153" i="4"/>
  <c r="CS179" i="4" s="1"/>
  <c r="DA153" i="4"/>
  <c r="DA179" i="4" s="1"/>
  <c r="DI153" i="4"/>
  <c r="DI179" i="4" s="1"/>
  <c r="DQ153" i="4"/>
  <c r="DQ179" i="4" s="1"/>
  <c r="DY153" i="4"/>
  <c r="DY179" i="4" s="1"/>
  <c r="EG153" i="4"/>
  <c r="EG179" i="4" s="1"/>
  <c r="EO153" i="4"/>
  <c r="EO179" i="4" s="1"/>
  <c r="F154" i="4"/>
  <c r="F180" i="4" s="1"/>
  <c r="N154" i="4"/>
  <c r="N180" i="4" s="1"/>
  <c r="V154" i="4"/>
  <c r="V180" i="4" s="1"/>
  <c r="AD154" i="4"/>
  <c r="AD180" i="4" s="1"/>
  <c r="AL154" i="4"/>
  <c r="AL180" i="4" s="1"/>
  <c r="AT154" i="4"/>
  <c r="AT180" i="4" s="1"/>
  <c r="BB154" i="4"/>
  <c r="BB180" i="4" s="1"/>
  <c r="BJ154" i="4"/>
  <c r="BJ180" i="4" s="1"/>
  <c r="BR154" i="4"/>
  <c r="BR180" i="4" s="1"/>
  <c r="BZ154" i="4"/>
  <c r="BZ180" i="4" s="1"/>
  <c r="CH154" i="4"/>
  <c r="CH180" i="4" s="1"/>
  <c r="CP154" i="4"/>
  <c r="CP180" i="4" s="1"/>
  <c r="CX154" i="4"/>
  <c r="CX180" i="4" s="1"/>
  <c r="DF154" i="4"/>
  <c r="DF180" i="4" s="1"/>
  <c r="DN154" i="4"/>
  <c r="DN180" i="4" s="1"/>
  <c r="DV154" i="4"/>
  <c r="DV180" i="4" s="1"/>
  <c r="ED154" i="4"/>
  <c r="ED180" i="4" s="1"/>
  <c r="EL154" i="4"/>
  <c r="EL180" i="4" s="1"/>
  <c r="C155" i="4"/>
  <c r="C181" i="4" s="1"/>
  <c r="K155" i="4"/>
  <c r="K181" i="4" s="1"/>
  <c r="S155" i="4"/>
  <c r="S181" i="4" s="1"/>
  <c r="AA155" i="4"/>
  <c r="AA181" i="4" s="1"/>
  <c r="AI155" i="4"/>
  <c r="AI181" i="4" s="1"/>
  <c r="AQ155" i="4"/>
  <c r="AQ181" i="4" s="1"/>
  <c r="AY155" i="4"/>
  <c r="AY181" i="4" s="1"/>
  <c r="BG155" i="4"/>
  <c r="BG181" i="4" s="1"/>
  <c r="BK138" i="4"/>
  <c r="BK164" i="4" s="1"/>
  <c r="AR139" i="4"/>
  <c r="AR165" i="4" s="1"/>
  <c r="Y140" i="4"/>
  <c r="Y166" i="4" s="1"/>
  <c r="F141" i="4"/>
  <c r="F167" i="4" s="1"/>
  <c r="ED141" i="4"/>
  <c r="ED167" i="4" s="1"/>
  <c r="CO142" i="4"/>
  <c r="CO168" i="4" s="1"/>
  <c r="DV142" i="4"/>
  <c r="DV168" i="4" s="1"/>
  <c r="K143" i="4"/>
  <c r="K169" i="4" s="1"/>
  <c r="AQ143" i="4"/>
  <c r="AQ169" i="4" s="1"/>
  <c r="BW143" i="4"/>
  <c r="BW169" i="4" s="1"/>
  <c r="DC143" i="4"/>
  <c r="DC169" i="4" s="1"/>
  <c r="EI143" i="4"/>
  <c r="EI169" i="4" s="1"/>
  <c r="X144" i="4"/>
  <c r="X170" i="4" s="1"/>
  <c r="BD144" i="4"/>
  <c r="BD170" i="4" s="1"/>
  <c r="CJ144" i="4"/>
  <c r="CJ170" i="4" s="1"/>
  <c r="DP144" i="4"/>
  <c r="DP170" i="4" s="1"/>
  <c r="E145" i="4"/>
  <c r="E171" i="4" s="1"/>
  <c r="AK145" i="4"/>
  <c r="AK171" i="4" s="1"/>
  <c r="BQ145" i="4"/>
  <c r="BQ171" i="4" s="1"/>
  <c r="CW145" i="4"/>
  <c r="CW171" i="4" s="1"/>
  <c r="EC145" i="4"/>
  <c r="EC171" i="4" s="1"/>
  <c r="R146" i="4"/>
  <c r="R172" i="4" s="1"/>
  <c r="AH146" i="4"/>
  <c r="AH172" i="4" s="1"/>
  <c r="AX146" i="4"/>
  <c r="AX172" i="4" s="1"/>
  <c r="BN146" i="4"/>
  <c r="BN172" i="4" s="1"/>
  <c r="CD146" i="4"/>
  <c r="CD172" i="4" s="1"/>
  <c r="CT146" i="4"/>
  <c r="CT172" i="4" s="1"/>
  <c r="DJ146" i="4"/>
  <c r="DJ172" i="4" s="1"/>
  <c r="DZ146" i="4"/>
  <c r="DZ172" i="4" s="1"/>
  <c r="EP146" i="4"/>
  <c r="EP172" i="4" s="1"/>
  <c r="O147" i="4"/>
  <c r="O173" i="4" s="1"/>
  <c r="AE147" i="4"/>
  <c r="AE173" i="4" s="1"/>
  <c r="AU147" i="4"/>
  <c r="AU173" i="4" s="1"/>
  <c r="BK147" i="4"/>
  <c r="BK173" i="4" s="1"/>
  <c r="CA147" i="4"/>
  <c r="CA173" i="4" s="1"/>
  <c r="CQ147" i="4"/>
  <c r="CQ173" i="4" s="1"/>
  <c r="DG147" i="4"/>
  <c r="DG173" i="4" s="1"/>
  <c r="DW147" i="4"/>
  <c r="DW173" i="4" s="1"/>
  <c r="EM147" i="4"/>
  <c r="EM173" i="4" s="1"/>
  <c r="L148" i="4"/>
  <c r="L174" i="4" s="1"/>
  <c r="AB148" i="4"/>
  <c r="AB174" i="4" s="1"/>
  <c r="AR148" i="4"/>
  <c r="AR174" i="4" s="1"/>
  <c r="BH148" i="4"/>
  <c r="BH174" i="4" s="1"/>
  <c r="BX148" i="4"/>
  <c r="BX174" i="4" s="1"/>
  <c r="CN148" i="4"/>
  <c r="CN174" i="4" s="1"/>
  <c r="DD148" i="4"/>
  <c r="DD174" i="4" s="1"/>
  <c r="DT148" i="4"/>
  <c r="DT174" i="4" s="1"/>
  <c r="EJ148" i="4"/>
  <c r="EJ174" i="4" s="1"/>
  <c r="I149" i="4"/>
  <c r="I175" i="4" s="1"/>
  <c r="X149" i="4"/>
  <c r="X175" i="4" s="1"/>
  <c r="AK149" i="4"/>
  <c r="AK175" i="4" s="1"/>
  <c r="AW149" i="4"/>
  <c r="AW175" i="4" s="1"/>
  <c r="BJ149" i="4"/>
  <c r="BJ175" i="4" s="1"/>
  <c r="BV149" i="4"/>
  <c r="BV175" i="4" s="1"/>
  <c r="CH149" i="4"/>
  <c r="CH175" i="4" s="1"/>
  <c r="CS149" i="4"/>
  <c r="CS175" i="4" s="1"/>
  <c r="DD149" i="4"/>
  <c r="DD175" i="4" s="1"/>
  <c r="DN149" i="4"/>
  <c r="DN175" i="4" s="1"/>
  <c r="DV149" i="4"/>
  <c r="DV175" i="4" s="1"/>
  <c r="ED149" i="4"/>
  <c r="ED175" i="4" s="1"/>
  <c r="EL149" i="4"/>
  <c r="EL175" i="4" s="1"/>
  <c r="C150" i="4"/>
  <c r="C176" i="4" s="1"/>
  <c r="K150" i="4"/>
  <c r="K176" i="4" s="1"/>
  <c r="S150" i="4"/>
  <c r="S176" i="4" s="1"/>
  <c r="AA150" i="4"/>
  <c r="AA176" i="4" s="1"/>
  <c r="AI150" i="4"/>
  <c r="AI176" i="4" s="1"/>
  <c r="AQ150" i="4"/>
  <c r="AQ176" i="4" s="1"/>
  <c r="AY150" i="4"/>
  <c r="AY176" i="4" s="1"/>
  <c r="BG150" i="4"/>
  <c r="BG176" i="4" s="1"/>
  <c r="BO150" i="4"/>
  <c r="BO176" i="4" s="1"/>
  <c r="BW150" i="4"/>
  <c r="BW176" i="4" s="1"/>
  <c r="CE150" i="4"/>
  <c r="CE176" i="4" s="1"/>
  <c r="CM150" i="4"/>
  <c r="CM176" i="4" s="1"/>
  <c r="CU150" i="4"/>
  <c r="CU176" i="4" s="1"/>
  <c r="DC150" i="4"/>
  <c r="DC176" i="4" s="1"/>
  <c r="DK150" i="4"/>
  <c r="DK176" i="4" s="1"/>
  <c r="DS150" i="4"/>
  <c r="DS176" i="4" s="1"/>
  <c r="EA150" i="4"/>
  <c r="EA176" i="4" s="1"/>
  <c r="EI150" i="4"/>
  <c r="EI176" i="4" s="1"/>
  <c r="EQ150" i="4"/>
  <c r="EQ176" i="4" s="1"/>
  <c r="H151" i="4"/>
  <c r="H177" i="4" s="1"/>
  <c r="P151" i="4"/>
  <c r="P177" i="4" s="1"/>
  <c r="X151" i="4"/>
  <c r="X177" i="4" s="1"/>
  <c r="AF151" i="4"/>
  <c r="AF177" i="4" s="1"/>
  <c r="AN151" i="4"/>
  <c r="AN177" i="4" s="1"/>
  <c r="AV151" i="4"/>
  <c r="AV177" i="4" s="1"/>
  <c r="BD151" i="4"/>
  <c r="BD177" i="4" s="1"/>
  <c r="BL151" i="4"/>
  <c r="BL177" i="4" s="1"/>
  <c r="BT151" i="4"/>
  <c r="BT177" i="4" s="1"/>
  <c r="CB151" i="4"/>
  <c r="CB177" i="4" s="1"/>
  <c r="CJ151" i="4"/>
  <c r="CJ177" i="4" s="1"/>
  <c r="CR151" i="4"/>
  <c r="CR177" i="4" s="1"/>
  <c r="CZ151" i="4"/>
  <c r="CZ177" i="4" s="1"/>
  <c r="DH151" i="4"/>
  <c r="DH177" i="4" s="1"/>
  <c r="DP151" i="4"/>
  <c r="DP177" i="4" s="1"/>
  <c r="DX151" i="4"/>
  <c r="DX177" i="4" s="1"/>
  <c r="EF151" i="4"/>
  <c r="EF177" i="4" s="1"/>
  <c r="EN151" i="4"/>
  <c r="EN177" i="4" s="1"/>
  <c r="E152" i="4"/>
  <c r="E178" i="4" s="1"/>
  <c r="M152" i="4"/>
  <c r="M178" i="4" s="1"/>
  <c r="U152" i="4"/>
  <c r="U178" i="4" s="1"/>
  <c r="AC152" i="4"/>
  <c r="AC178" i="4" s="1"/>
  <c r="AK152" i="4"/>
  <c r="AK178" i="4" s="1"/>
  <c r="AS152" i="4"/>
  <c r="AS178" i="4" s="1"/>
  <c r="BA152" i="4"/>
  <c r="BA178" i="4" s="1"/>
  <c r="BI152" i="4"/>
  <c r="BI178" i="4" s="1"/>
  <c r="BQ152" i="4"/>
  <c r="BQ178" i="4" s="1"/>
  <c r="BY152" i="4"/>
  <c r="BY178" i="4" s="1"/>
  <c r="CG152" i="4"/>
  <c r="CG178" i="4" s="1"/>
  <c r="CO152" i="4"/>
  <c r="CO178" i="4" s="1"/>
  <c r="CW152" i="4"/>
  <c r="CW178" i="4" s="1"/>
  <c r="DE152" i="4"/>
  <c r="DE178" i="4" s="1"/>
  <c r="DM152" i="4"/>
  <c r="DM178" i="4" s="1"/>
  <c r="DU152" i="4"/>
  <c r="DU178" i="4" s="1"/>
  <c r="EC152" i="4"/>
  <c r="EC178" i="4" s="1"/>
  <c r="EK152" i="4"/>
  <c r="EK178" i="4" s="1"/>
  <c r="ES152" i="4"/>
  <c r="ES178" i="4" s="1"/>
  <c r="J153" i="4"/>
  <c r="J179" i="4" s="1"/>
  <c r="R153" i="4"/>
  <c r="R179" i="4" s="1"/>
  <c r="Z153" i="4"/>
  <c r="Z179" i="4" s="1"/>
  <c r="AH153" i="4"/>
  <c r="AH179" i="4" s="1"/>
  <c r="AP153" i="4"/>
  <c r="AP179" i="4" s="1"/>
  <c r="AX153" i="4"/>
  <c r="AX179" i="4" s="1"/>
  <c r="BF153" i="4"/>
  <c r="BF179" i="4" s="1"/>
  <c r="BN153" i="4"/>
  <c r="BN179" i="4" s="1"/>
  <c r="BV153" i="4"/>
  <c r="BV179" i="4" s="1"/>
  <c r="CD153" i="4"/>
  <c r="CD179" i="4" s="1"/>
  <c r="CL153" i="4"/>
  <c r="CL179" i="4" s="1"/>
  <c r="CT153" i="4"/>
  <c r="CT179" i="4" s="1"/>
  <c r="DB153" i="4"/>
  <c r="DB179" i="4" s="1"/>
  <c r="DJ153" i="4"/>
  <c r="DJ179" i="4" s="1"/>
  <c r="DR153" i="4"/>
  <c r="DR179" i="4" s="1"/>
  <c r="DZ153" i="4"/>
  <c r="DZ179" i="4" s="1"/>
  <c r="EH153" i="4"/>
  <c r="EH179" i="4" s="1"/>
  <c r="EP153" i="4"/>
  <c r="EP179" i="4" s="1"/>
  <c r="G154" i="4"/>
  <c r="G180" i="4" s="1"/>
  <c r="O154" i="4"/>
  <c r="O180" i="4" s="1"/>
  <c r="W154" i="4"/>
  <c r="W180" i="4" s="1"/>
  <c r="AE154" i="4"/>
  <c r="AE180" i="4" s="1"/>
  <c r="AM154" i="4"/>
  <c r="AM180" i="4" s="1"/>
  <c r="AU154" i="4"/>
  <c r="AU180" i="4" s="1"/>
  <c r="BC154" i="4"/>
  <c r="BC180" i="4" s="1"/>
  <c r="BK154" i="4"/>
  <c r="BK180" i="4" s="1"/>
  <c r="BS154" i="4"/>
  <c r="BS180" i="4" s="1"/>
  <c r="CA154" i="4"/>
  <c r="CA180" i="4" s="1"/>
  <c r="CI154" i="4"/>
  <c r="CI180" i="4" s="1"/>
  <c r="CQ154" i="4"/>
  <c r="CQ180" i="4" s="1"/>
  <c r="CY154" i="4"/>
  <c r="CY180" i="4" s="1"/>
  <c r="DG154" i="4"/>
  <c r="DG180" i="4" s="1"/>
  <c r="DO154" i="4"/>
  <c r="DO180" i="4" s="1"/>
  <c r="DW154" i="4"/>
  <c r="DW180" i="4" s="1"/>
  <c r="EE154" i="4"/>
  <c r="EE180" i="4" s="1"/>
  <c r="EM154" i="4"/>
  <c r="EM180" i="4" s="1"/>
  <c r="D155" i="4"/>
  <c r="D181" i="4" s="1"/>
  <c r="L155" i="4"/>
  <c r="L181" i="4" s="1"/>
  <c r="T155" i="4"/>
  <c r="T181" i="4" s="1"/>
  <c r="AB155" i="4"/>
  <c r="AB181" i="4" s="1"/>
  <c r="AJ155" i="4"/>
  <c r="AJ181" i="4" s="1"/>
  <c r="AR155" i="4"/>
  <c r="AR181" i="4" s="1"/>
  <c r="CK138" i="4"/>
  <c r="CK164" i="4" s="1"/>
  <c r="BR139" i="4"/>
  <c r="BR165" i="4" s="1"/>
  <c r="AY140" i="4"/>
  <c r="AY166" i="4" s="1"/>
  <c r="AF141" i="4"/>
  <c r="AF167" i="4" s="1"/>
  <c r="M142" i="4"/>
  <c r="M168" i="4" s="1"/>
  <c r="CW142" i="4"/>
  <c r="CW168" i="4" s="1"/>
  <c r="EC142" i="4"/>
  <c r="EC168" i="4" s="1"/>
  <c r="R143" i="4"/>
  <c r="R169" i="4" s="1"/>
  <c r="AX143" i="4"/>
  <c r="AX169" i="4" s="1"/>
  <c r="CD143" i="4"/>
  <c r="CD169" i="4" s="1"/>
  <c r="DJ143" i="4"/>
  <c r="DJ169" i="4" s="1"/>
  <c r="EP143" i="4"/>
  <c r="EP169" i="4" s="1"/>
  <c r="AE144" i="4"/>
  <c r="AE170" i="4" s="1"/>
  <c r="BK144" i="4"/>
  <c r="BK170" i="4" s="1"/>
  <c r="CQ144" i="4"/>
  <c r="CQ170" i="4" s="1"/>
  <c r="DW144" i="4"/>
  <c r="DW170" i="4" s="1"/>
  <c r="L145" i="4"/>
  <c r="L171" i="4" s="1"/>
  <c r="AR145" i="4"/>
  <c r="AR171" i="4" s="1"/>
  <c r="BX145" i="4"/>
  <c r="BX171" i="4" s="1"/>
  <c r="DD145" i="4"/>
  <c r="DD171" i="4" s="1"/>
  <c r="EJ145" i="4"/>
  <c r="EJ171" i="4" s="1"/>
  <c r="S146" i="4"/>
  <c r="S172" i="4" s="1"/>
  <c r="AI146" i="4"/>
  <c r="AI172" i="4" s="1"/>
  <c r="AY146" i="4"/>
  <c r="AY172" i="4" s="1"/>
  <c r="BO146" i="4"/>
  <c r="BO172" i="4" s="1"/>
  <c r="CE146" i="4"/>
  <c r="CE172" i="4" s="1"/>
  <c r="CU146" i="4"/>
  <c r="CU172" i="4" s="1"/>
  <c r="DK146" i="4"/>
  <c r="DK172" i="4" s="1"/>
  <c r="EA146" i="4"/>
  <c r="EA172" i="4" s="1"/>
  <c r="EQ146" i="4"/>
  <c r="EQ172" i="4" s="1"/>
  <c r="P147" i="4"/>
  <c r="P173" i="4" s="1"/>
  <c r="AF147" i="4"/>
  <c r="AF173" i="4" s="1"/>
  <c r="AV147" i="4"/>
  <c r="AV173" i="4" s="1"/>
  <c r="BL147" i="4"/>
  <c r="BL173" i="4" s="1"/>
  <c r="CB147" i="4"/>
  <c r="CB173" i="4" s="1"/>
  <c r="CR147" i="4"/>
  <c r="CR173" i="4" s="1"/>
  <c r="DH147" i="4"/>
  <c r="DH173" i="4" s="1"/>
  <c r="DX147" i="4"/>
  <c r="DX173" i="4" s="1"/>
  <c r="EN147" i="4"/>
  <c r="EN173" i="4" s="1"/>
  <c r="M148" i="4"/>
  <c r="M174" i="4" s="1"/>
  <c r="AC148" i="4"/>
  <c r="AC174" i="4" s="1"/>
  <c r="AS148" i="4"/>
  <c r="AS174" i="4" s="1"/>
  <c r="BI148" i="4"/>
  <c r="BI174" i="4" s="1"/>
  <c r="BY148" i="4"/>
  <c r="BY174" i="4" s="1"/>
  <c r="CO148" i="4"/>
  <c r="CO174" i="4" s="1"/>
  <c r="DE148" i="4"/>
  <c r="DE174" i="4" s="1"/>
  <c r="DU148" i="4"/>
  <c r="DU174" i="4" s="1"/>
  <c r="EK148" i="4"/>
  <c r="EK174" i="4" s="1"/>
  <c r="J149" i="4"/>
  <c r="J175" i="4" s="1"/>
  <c r="Y149" i="4"/>
  <c r="Y175" i="4" s="1"/>
  <c r="AL149" i="4"/>
  <c r="AL175" i="4" s="1"/>
  <c r="AX149" i="4"/>
  <c r="AX175" i="4" s="1"/>
  <c r="BL149" i="4"/>
  <c r="BL175" i="4" s="1"/>
  <c r="BY149" i="4"/>
  <c r="BY175" i="4" s="1"/>
  <c r="CJ149" i="4"/>
  <c r="CJ175" i="4" s="1"/>
  <c r="CT149" i="4"/>
  <c r="CT175" i="4" s="1"/>
  <c r="DE149" i="4"/>
  <c r="DE175" i="4" s="1"/>
  <c r="DO149" i="4"/>
  <c r="DO175" i="4" s="1"/>
  <c r="DW149" i="4"/>
  <c r="DW175" i="4" s="1"/>
  <c r="EE149" i="4"/>
  <c r="EE175" i="4" s="1"/>
  <c r="EM149" i="4"/>
  <c r="EM175" i="4" s="1"/>
  <c r="D150" i="4"/>
  <c r="D176" i="4" s="1"/>
  <c r="L150" i="4"/>
  <c r="L176" i="4" s="1"/>
  <c r="T150" i="4"/>
  <c r="T176" i="4" s="1"/>
  <c r="AB150" i="4"/>
  <c r="AB176" i="4" s="1"/>
  <c r="AJ150" i="4"/>
  <c r="AJ176" i="4" s="1"/>
  <c r="AR150" i="4"/>
  <c r="AR176" i="4" s="1"/>
  <c r="AZ150" i="4"/>
  <c r="AZ176" i="4" s="1"/>
  <c r="BH150" i="4"/>
  <c r="BH176" i="4" s="1"/>
  <c r="BP150" i="4"/>
  <c r="BP176" i="4" s="1"/>
  <c r="BX150" i="4"/>
  <c r="BX176" i="4" s="1"/>
  <c r="CF150" i="4"/>
  <c r="CF176" i="4" s="1"/>
  <c r="CN150" i="4"/>
  <c r="CN176" i="4" s="1"/>
  <c r="CV150" i="4"/>
  <c r="CV176" i="4" s="1"/>
  <c r="DD150" i="4"/>
  <c r="DD176" i="4" s="1"/>
  <c r="DL150" i="4"/>
  <c r="DL176" i="4" s="1"/>
  <c r="DT150" i="4"/>
  <c r="DT176" i="4" s="1"/>
  <c r="EB150" i="4"/>
  <c r="EB176" i="4" s="1"/>
  <c r="EJ150" i="4"/>
  <c r="EJ176" i="4" s="1"/>
  <c r="ER150" i="4"/>
  <c r="ER176" i="4" s="1"/>
  <c r="I151" i="4"/>
  <c r="I177" i="4" s="1"/>
  <c r="Q151" i="4"/>
  <c r="Q177" i="4" s="1"/>
  <c r="Y151" i="4"/>
  <c r="Y177" i="4" s="1"/>
  <c r="AG151" i="4"/>
  <c r="AG177" i="4" s="1"/>
  <c r="AO151" i="4"/>
  <c r="AO177" i="4" s="1"/>
  <c r="AW151" i="4"/>
  <c r="AW177" i="4" s="1"/>
  <c r="BE151" i="4"/>
  <c r="BE177" i="4" s="1"/>
  <c r="BM151" i="4"/>
  <c r="BM177" i="4" s="1"/>
  <c r="BU151" i="4"/>
  <c r="BU177" i="4" s="1"/>
  <c r="CC151" i="4"/>
  <c r="CC177" i="4" s="1"/>
  <c r="CK151" i="4"/>
  <c r="CK177" i="4" s="1"/>
  <c r="CS151" i="4"/>
  <c r="CS177" i="4" s="1"/>
  <c r="DA151" i="4"/>
  <c r="DA177" i="4" s="1"/>
  <c r="DI151" i="4"/>
  <c r="DI177" i="4" s="1"/>
  <c r="DQ151" i="4"/>
  <c r="DQ177" i="4" s="1"/>
  <c r="DY151" i="4"/>
  <c r="DY177" i="4" s="1"/>
  <c r="EG151" i="4"/>
  <c r="EG177" i="4" s="1"/>
  <c r="EO151" i="4"/>
  <c r="EO177" i="4" s="1"/>
  <c r="F152" i="4"/>
  <c r="F178" i="4" s="1"/>
  <c r="N152" i="4"/>
  <c r="N178" i="4" s="1"/>
  <c r="V152" i="4"/>
  <c r="V178" i="4" s="1"/>
  <c r="AD152" i="4"/>
  <c r="AD178" i="4" s="1"/>
  <c r="AL152" i="4"/>
  <c r="AL178" i="4" s="1"/>
  <c r="AT152" i="4"/>
  <c r="AT178" i="4" s="1"/>
  <c r="BB152" i="4"/>
  <c r="BB178" i="4" s="1"/>
  <c r="BJ152" i="4"/>
  <c r="BJ178" i="4" s="1"/>
  <c r="BR152" i="4"/>
  <c r="BR178" i="4" s="1"/>
  <c r="BZ152" i="4"/>
  <c r="BZ178" i="4" s="1"/>
  <c r="CH152" i="4"/>
  <c r="CH178" i="4" s="1"/>
  <c r="CP152" i="4"/>
  <c r="CP178" i="4" s="1"/>
  <c r="CX152" i="4"/>
  <c r="CX178" i="4" s="1"/>
  <c r="DF152" i="4"/>
  <c r="DF178" i="4" s="1"/>
  <c r="DN152" i="4"/>
  <c r="DN178" i="4" s="1"/>
  <c r="DV152" i="4"/>
  <c r="DV178" i="4" s="1"/>
  <c r="ED152" i="4"/>
  <c r="ED178" i="4" s="1"/>
  <c r="EL152" i="4"/>
  <c r="EL178" i="4" s="1"/>
  <c r="C153" i="4"/>
  <c r="C179" i="4" s="1"/>
  <c r="K153" i="4"/>
  <c r="K179" i="4" s="1"/>
  <c r="S153" i="4"/>
  <c r="S179" i="4" s="1"/>
  <c r="AA153" i="4"/>
  <c r="AA179" i="4" s="1"/>
  <c r="AI153" i="4"/>
  <c r="AI179" i="4" s="1"/>
  <c r="AQ153" i="4"/>
  <c r="AQ179" i="4" s="1"/>
  <c r="AY153" i="4"/>
  <c r="AY179" i="4" s="1"/>
  <c r="BG153" i="4"/>
  <c r="BG179" i="4" s="1"/>
  <c r="BO153" i="4"/>
  <c r="BO179" i="4" s="1"/>
  <c r="BW153" i="4"/>
  <c r="BW179" i="4" s="1"/>
  <c r="CE153" i="4"/>
  <c r="CE179" i="4" s="1"/>
  <c r="CM153" i="4"/>
  <c r="CM179" i="4" s="1"/>
  <c r="CU153" i="4"/>
  <c r="CU179" i="4" s="1"/>
  <c r="DC153" i="4"/>
  <c r="DC179" i="4" s="1"/>
  <c r="DK153" i="4"/>
  <c r="DK179" i="4" s="1"/>
  <c r="DS153" i="4"/>
  <c r="DS179" i="4" s="1"/>
  <c r="EA153" i="4"/>
  <c r="EA179" i="4" s="1"/>
  <c r="EI153" i="4"/>
  <c r="EI179" i="4" s="1"/>
  <c r="EQ153" i="4"/>
  <c r="EQ179" i="4" s="1"/>
  <c r="H154" i="4"/>
  <c r="H180" i="4" s="1"/>
  <c r="P154" i="4"/>
  <c r="P180" i="4" s="1"/>
  <c r="X154" i="4"/>
  <c r="X180" i="4" s="1"/>
  <c r="AF154" i="4"/>
  <c r="AF180" i="4" s="1"/>
  <c r="AN154" i="4"/>
  <c r="AN180" i="4" s="1"/>
  <c r="AV154" i="4"/>
  <c r="AV180" i="4" s="1"/>
  <c r="BD154" i="4"/>
  <c r="BD180" i="4" s="1"/>
  <c r="BL154" i="4"/>
  <c r="BL180" i="4" s="1"/>
  <c r="BT154" i="4"/>
  <c r="BT180" i="4" s="1"/>
  <c r="CB154" i="4"/>
  <c r="CB180" i="4" s="1"/>
  <c r="CJ154" i="4"/>
  <c r="CJ180" i="4" s="1"/>
  <c r="CR154" i="4"/>
  <c r="CR180" i="4" s="1"/>
  <c r="CZ154" i="4"/>
  <c r="CZ180" i="4" s="1"/>
  <c r="DH154" i="4"/>
  <c r="DH180" i="4" s="1"/>
  <c r="DP154" i="4"/>
  <c r="DP180" i="4" s="1"/>
  <c r="DX154" i="4"/>
  <c r="DX180" i="4" s="1"/>
  <c r="EF154" i="4"/>
  <c r="EF180" i="4" s="1"/>
  <c r="EN154" i="4"/>
  <c r="EN180" i="4" s="1"/>
  <c r="E155" i="4"/>
  <c r="E181" i="4" s="1"/>
  <c r="M155" i="4"/>
  <c r="M181" i="4" s="1"/>
  <c r="U155" i="4"/>
  <c r="U181" i="4" s="1"/>
  <c r="AC155" i="4"/>
  <c r="AC181" i="4" s="1"/>
  <c r="AK155" i="4"/>
  <c r="AK181" i="4" s="1"/>
  <c r="AS155" i="4"/>
  <c r="AS181" i="4" s="1"/>
  <c r="BL141" i="4"/>
  <c r="BL167" i="4" s="1"/>
  <c r="Z143" i="4"/>
  <c r="Z169" i="4" s="1"/>
  <c r="G144" i="4"/>
  <c r="G170" i="4" s="1"/>
  <c r="EE144" i="4"/>
  <c r="EE170" i="4" s="1"/>
  <c r="DL145" i="4"/>
  <c r="DL171" i="4" s="1"/>
  <c r="BE146" i="4"/>
  <c r="BE172" i="4" s="1"/>
  <c r="DQ146" i="4"/>
  <c r="DQ172" i="4" s="1"/>
  <c r="AL147" i="4"/>
  <c r="AL173" i="4" s="1"/>
  <c r="CX147" i="4"/>
  <c r="CX173" i="4" s="1"/>
  <c r="S148" i="4"/>
  <c r="S174" i="4" s="1"/>
  <c r="CE148" i="4"/>
  <c r="CE174" i="4" s="1"/>
  <c r="EQ148" i="4"/>
  <c r="EQ174" i="4" s="1"/>
  <c r="CQ138" i="4"/>
  <c r="CQ164" i="4" s="1"/>
  <c r="S142" i="4"/>
  <c r="S168" i="4" s="1"/>
  <c r="AY143" i="4"/>
  <c r="AY169" i="4" s="1"/>
  <c r="AF144" i="4"/>
  <c r="AF170" i="4" s="1"/>
  <c r="M145" i="4"/>
  <c r="M171" i="4" s="1"/>
  <c r="EK145" i="4"/>
  <c r="EK171" i="4" s="1"/>
  <c r="BS146" i="4"/>
  <c r="BS172" i="4" s="1"/>
  <c r="EE146" i="4"/>
  <c r="EE172" i="4" s="1"/>
  <c r="AZ147" i="4"/>
  <c r="AZ173" i="4" s="1"/>
  <c r="DL147" i="4"/>
  <c r="DL173" i="4" s="1"/>
  <c r="AG148" i="4"/>
  <c r="AG174" i="4" s="1"/>
  <c r="CS148" i="4"/>
  <c r="CS174" i="4" s="1"/>
  <c r="N149" i="4"/>
  <c r="N175" i="4" s="1"/>
  <c r="DQ138" i="4"/>
  <c r="DQ164" i="4" s="1"/>
  <c r="AS142" i="4"/>
  <c r="AS168" i="4" s="1"/>
  <c r="BF143" i="4"/>
  <c r="BF169" i="4" s="1"/>
  <c r="AM144" i="4"/>
  <c r="AM170" i="4" s="1"/>
  <c r="T145" i="4"/>
  <c r="T171" i="4" s="1"/>
  <c r="ER145" i="4"/>
  <c r="ER171" i="4" s="1"/>
  <c r="BU146" i="4"/>
  <c r="BU172" i="4" s="1"/>
  <c r="EG146" i="4"/>
  <c r="EG172" i="4" s="1"/>
  <c r="BB147" i="4"/>
  <c r="BB173" i="4" s="1"/>
  <c r="DN147" i="4"/>
  <c r="DN173" i="4" s="1"/>
  <c r="AI148" i="4"/>
  <c r="AI174" i="4" s="1"/>
  <c r="CU148" i="4"/>
  <c r="CU174" i="4" s="1"/>
  <c r="P149" i="4"/>
  <c r="P175" i="4" s="1"/>
  <c r="BN149" i="4"/>
  <c r="BN175" i="4" s="1"/>
  <c r="DH149" i="4"/>
  <c r="DH175" i="4" s="1"/>
  <c r="EO149" i="4"/>
  <c r="EO175" i="4" s="1"/>
  <c r="AD150" i="4"/>
  <c r="AD176" i="4" s="1"/>
  <c r="BJ150" i="4"/>
  <c r="BJ176" i="4" s="1"/>
  <c r="CP150" i="4"/>
  <c r="CP176" i="4" s="1"/>
  <c r="DV150" i="4"/>
  <c r="DV176" i="4" s="1"/>
  <c r="K151" i="4"/>
  <c r="K177" i="4" s="1"/>
  <c r="AQ151" i="4"/>
  <c r="AQ177" i="4" s="1"/>
  <c r="BW151" i="4"/>
  <c r="BW177" i="4" s="1"/>
  <c r="DC151" i="4"/>
  <c r="DC177" i="4" s="1"/>
  <c r="EI151" i="4"/>
  <c r="EI177" i="4" s="1"/>
  <c r="X152" i="4"/>
  <c r="X178" i="4" s="1"/>
  <c r="BD152" i="4"/>
  <c r="BD178" i="4" s="1"/>
  <c r="CJ152" i="4"/>
  <c r="CJ178" i="4" s="1"/>
  <c r="DP152" i="4"/>
  <c r="DP178" i="4" s="1"/>
  <c r="E153" i="4"/>
  <c r="E179" i="4" s="1"/>
  <c r="AK153" i="4"/>
  <c r="AK179" i="4" s="1"/>
  <c r="BQ153" i="4"/>
  <c r="BQ179" i="4" s="1"/>
  <c r="CW153" i="4"/>
  <c r="CW179" i="4" s="1"/>
  <c r="EC153" i="4"/>
  <c r="EC179" i="4" s="1"/>
  <c r="R154" i="4"/>
  <c r="R180" i="4" s="1"/>
  <c r="AX154" i="4"/>
  <c r="AX180" i="4" s="1"/>
  <c r="CD154" i="4"/>
  <c r="CD180" i="4" s="1"/>
  <c r="DJ154" i="4"/>
  <c r="DJ180" i="4" s="1"/>
  <c r="EP154" i="4"/>
  <c r="EP180" i="4" s="1"/>
  <c r="AE155" i="4"/>
  <c r="AE181" i="4" s="1"/>
  <c r="BC155" i="4"/>
  <c r="BC181" i="4" s="1"/>
  <c r="BR155" i="4"/>
  <c r="BR181" i="4" s="1"/>
  <c r="CF155" i="4"/>
  <c r="CF181" i="4" s="1"/>
  <c r="CQ155" i="4"/>
  <c r="CQ181" i="4" s="1"/>
  <c r="DE155" i="4"/>
  <c r="DE181" i="4" s="1"/>
  <c r="DS155" i="4"/>
  <c r="DS181" i="4" s="1"/>
  <c r="ED155" i="4"/>
  <c r="ED181" i="4" s="1"/>
  <c r="EM155" i="4"/>
  <c r="EM181" i="4" s="1"/>
  <c r="D156" i="4"/>
  <c r="D182" i="4" s="1"/>
  <c r="L156" i="4"/>
  <c r="L182" i="4" s="1"/>
  <c r="T156" i="4"/>
  <c r="T182" i="4" s="1"/>
  <c r="AB156" i="4"/>
  <c r="AB182" i="4" s="1"/>
  <c r="AJ156" i="4"/>
  <c r="AJ182" i="4" s="1"/>
  <c r="AR156" i="4"/>
  <c r="AR182" i="4" s="1"/>
  <c r="AZ156" i="4"/>
  <c r="AZ182" i="4" s="1"/>
  <c r="BH156" i="4"/>
  <c r="BH182" i="4" s="1"/>
  <c r="BP156" i="4"/>
  <c r="BP182" i="4" s="1"/>
  <c r="BX156" i="4"/>
  <c r="BX182" i="4" s="1"/>
  <c r="CF156" i="4"/>
  <c r="CF182" i="4" s="1"/>
  <c r="CN156" i="4"/>
  <c r="CN182" i="4" s="1"/>
  <c r="CV156" i="4"/>
  <c r="CV182" i="4" s="1"/>
  <c r="DD156" i="4"/>
  <c r="DD182" i="4" s="1"/>
  <c r="DL156" i="4"/>
  <c r="DL182" i="4" s="1"/>
  <c r="DT156" i="4"/>
  <c r="DT182" i="4" s="1"/>
  <c r="EB156" i="4"/>
  <c r="EB182" i="4" s="1"/>
  <c r="EJ156" i="4"/>
  <c r="EJ182" i="4" s="1"/>
  <c r="ER156" i="4"/>
  <c r="ER182" i="4" s="1"/>
  <c r="I157" i="4"/>
  <c r="I183" i="4" s="1"/>
  <c r="Q157" i="4"/>
  <c r="Q183" i="4" s="1"/>
  <c r="Y157" i="4"/>
  <c r="Y183" i="4" s="1"/>
  <c r="AG157" i="4"/>
  <c r="AG183" i="4" s="1"/>
  <c r="AO157" i="4"/>
  <c r="AO183" i="4" s="1"/>
  <c r="AW157" i="4"/>
  <c r="AW183" i="4" s="1"/>
  <c r="BE157" i="4"/>
  <c r="BE183" i="4" s="1"/>
  <c r="BM157" i="4"/>
  <c r="BM183" i="4" s="1"/>
  <c r="BU157" i="4"/>
  <c r="BU183" i="4" s="1"/>
  <c r="CC157" i="4"/>
  <c r="CC183" i="4" s="1"/>
  <c r="CK157" i="4"/>
  <c r="CK183" i="4" s="1"/>
  <c r="CS157" i="4"/>
  <c r="CS183" i="4" s="1"/>
  <c r="DA157" i="4"/>
  <c r="DA183" i="4" s="1"/>
  <c r="DI157" i="4"/>
  <c r="DI183" i="4" s="1"/>
  <c r="DQ157" i="4"/>
  <c r="DQ183" i="4" s="1"/>
  <c r="DY157" i="4"/>
  <c r="DY183" i="4" s="1"/>
  <c r="EG157" i="4"/>
  <c r="EG183" i="4" s="1"/>
  <c r="EO157" i="4"/>
  <c r="EO183" i="4" s="1"/>
  <c r="F158" i="4"/>
  <c r="F184" i="4" s="1"/>
  <c r="N158" i="4"/>
  <c r="N184" i="4" s="1"/>
  <c r="V158" i="4"/>
  <c r="V184" i="4" s="1"/>
  <c r="AD158" i="4"/>
  <c r="AD184" i="4" s="1"/>
  <c r="AL158" i="4"/>
  <c r="AL184" i="4" s="1"/>
  <c r="AT158" i="4"/>
  <c r="AT184" i="4" s="1"/>
  <c r="BB158" i="4"/>
  <c r="BB184" i="4" s="1"/>
  <c r="BJ158" i="4"/>
  <c r="BJ184" i="4" s="1"/>
  <c r="BR158" i="4"/>
  <c r="BR184" i="4" s="1"/>
  <c r="BZ158" i="4"/>
  <c r="BZ184" i="4" s="1"/>
  <c r="CH158" i="4"/>
  <c r="CH184" i="4" s="1"/>
  <c r="CP158" i="4"/>
  <c r="CP184" i="4" s="1"/>
  <c r="CX158" i="4"/>
  <c r="CX184" i="4" s="1"/>
  <c r="DF158" i="4"/>
  <c r="DF184" i="4" s="1"/>
  <c r="DN158" i="4"/>
  <c r="DN184" i="4" s="1"/>
  <c r="DV158" i="4"/>
  <c r="DV184" i="4" s="1"/>
  <c r="ED158" i="4"/>
  <c r="ED184" i="4" s="1"/>
  <c r="EL158" i="4"/>
  <c r="EL184" i="4" s="1"/>
  <c r="C159" i="4"/>
  <c r="C185" i="4" s="1"/>
  <c r="K159" i="4"/>
  <c r="K185" i="4" s="1"/>
  <c r="S159" i="4"/>
  <c r="S185" i="4" s="1"/>
  <c r="AA159" i="4"/>
  <c r="AA185" i="4" s="1"/>
  <c r="AI159" i="4"/>
  <c r="AI185" i="4" s="1"/>
  <c r="AQ159" i="4"/>
  <c r="AQ185" i="4" s="1"/>
  <c r="AY159" i="4"/>
  <c r="AY185" i="4" s="1"/>
  <c r="BG159" i="4"/>
  <c r="BG185" i="4" s="1"/>
  <c r="BO159" i="4"/>
  <c r="BO185" i="4" s="1"/>
  <c r="BW159" i="4"/>
  <c r="BW185" i="4" s="1"/>
  <c r="BX139" i="4"/>
  <c r="BX165" i="4" s="1"/>
  <c r="CX142" i="4"/>
  <c r="CX168" i="4" s="1"/>
  <c r="CE143" i="4"/>
  <c r="CE169" i="4" s="1"/>
  <c r="BL144" i="4"/>
  <c r="BL170" i="4" s="1"/>
  <c r="AS145" i="4"/>
  <c r="AS171" i="4" s="1"/>
  <c r="W146" i="4"/>
  <c r="W172" i="4" s="1"/>
  <c r="CI146" i="4"/>
  <c r="CI172" i="4" s="1"/>
  <c r="D147" i="4"/>
  <c r="D173" i="4" s="1"/>
  <c r="BP147" i="4"/>
  <c r="BP173" i="4" s="1"/>
  <c r="EB147" i="4"/>
  <c r="EB173" i="4" s="1"/>
  <c r="AW148" i="4"/>
  <c r="AW174" i="4" s="1"/>
  <c r="DI148" i="4"/>
  <c r="DI174" i="4" s="1"/>
  <c r="Z149" i="4"/>
  <c r="Z175" i="4" s="1"/>
  <c r="BZ149" i="4"/>
  <c r="BZ175" i="4" s="1"/>
  <c r="DP149" i="4"/>
  <c r="DP175" i="4" s="1"/>
  <c r="E150" i="4"/>
  <c r="E176" i="4" s="1"/>
  <c r="AK150" i="4"/>
  <c r="AK176" i="4" s="1"/>
  <c r="BQ150" i="4"/>
  <c r="BQ176" i="4" s="1"/>
  <c r="CW150" i="4"/>
  <c r="CW176" i="4" s="1"/>
  <c r="EC150" i="4"/>
  <c r="EC176" i="4" s="1"/>
  <c r="R151" i="4"/>
  <c r="R177" i="4" s="1"/>
  <c r="AX151" i="4"/>
  <c r="AX177" i="4" s="1"/>
  <c r="CD151" i="4"/>
  <c r="CD177" i="4" s="1"/>
  <c r="DJ151" i="4"/>
  <c r="DJ177" i="4" s="1"/>
  <c r="EP151" i="4"/>
  <c r="EP177" i="4" s="1"/>
  <c r="AE152" i="4"/>
  <c r="AE178" i="4" s="1"/>
  <c r="BK152" i="4"/>
  <c r="BK178" i="4" s="1"/>
  <c r="CQ152" i="4"/>
  <c r="CQ178" i="4" s="1"/>
  <c r="DW152" i="4"/>
  <c r="DW178" i="4" s="1"/>
  <c r="L153" i="4"/>
  <c r="L179" i="4" s="1"/>
  <c r="AR153" i="4"/>
  <c r="AR179" i="4" s="1"/>
  <c r="BX153" i="4"/>
  <c r="BX179" i="4" s="1"/>
  <c r="DD153" i="4"/>
  <c r="DD179" i="4" s="1"/>
  <c r="EJ153" i="4"/>
  <c r="EJ179" i="4" s="1"/>
  <c r="Y154" i="4"/>
  <c r="Y180" i="4" s="1"/>
  <c r="BE154" i="4"/>
  <c r="BE180" i="4" s="1"/>
  <c r="CK154" i="4"/>
  <c r="CK180" i="4" s="1"/>
  <c r="DQ154" i="4"/>
  <c r="DQ180" i="4" s="1"/>
  <c r="F155" i="4"/>
  <c r="F181" i="4" s="1"/>
  <c r="AL155" i="4"/>
  <c r="AL181" i="4" s="1"/>
  <c r="BH155" i="4"/>
  <c r="BH181" i="4" s="1"/>
  <c r="BS155" i="4"/>
  <c r="BS181" i="4" s="1"/>
  <c r="CG155" i="4"/>
  <c r="CG181" i="4" s="1"/>
  <c r="CU155" i="4"/>
  <c r="CU181" i="4" s="1"/>
  <c r="DF155" i="4"/>
  <c r="DF181" i="4" s="1"/>
  <c r="DT155" i="4"/>
  <c r="DT181" i="4" s="1"/>
  <c r="EE155" i="4"/>
  <c r="EE181" i="4" s="1"/>
  <c r="EN155" i="4"/>
  <c r="EN181" i="4" s="1"/>
  <c r="E156" i="4"/>
  <c r="E182" i="4" s="1"/>
  <c r="M156" i="4"/>
  <c r="M182" i="4" s="1"/>
  <c r="U156" i="4"/>
  <c r="U182" i="4" s="1"/>
  <c r="AC156" i="4"/>
  <c r="AC182" i="4" s="1"/>
  <c r="AK156" i="4"/>
  <c r="AK182" i="4" s="1"/>
  <c r="AS156" i="4"/>
  <c r="AS182" i="4" s="1"/>
  <c r="BA156" i="4"/>
  <c r="BA182" i="4" s="1"/>
  <c r="BI156" i="4"/>
  <c r="BI182" i="4" s="1"/>
  <c r="BQ156" i="4"/>
  <c r="BQ182" i="4" s="1"/>
  <c r="BY156" i="4"/>
  <c r="BY182" i="4" s="1"/>
  <c r="CG156" i="4"/>
  <c r="CG182" i="4" s="1"/>
  <c r="CO156" i="4"/>
  <c r="CO182" i="4" s="1"/>
  <c r="CW156" i="4"/>
  <c r="CW182" i="4" s="1"/>
  <c r="DE156" i="4"/>
  <c r="DE182" i="4" s="1"/>
  <c r="DM156" i="4"/>
  <c r="DM182" i="4" s="1"/>
  <c r="DU156" i="4"/>
  <c r="DU182" i="4" s="1"/>
  <c r="EC156" i="4"/>
  <c r="EC182" i="4" s="1"/>
  <c r="EK156" i="4"/>
  <c r="EK182" i="4" s="1"/>
  <c r="ES156" i="4"/>
  <c r="ES182" i="4" s="1"/>
  <c r="J157" i="4"/>
  <c r="J183" i="4" s="1"/>
  <c r="R157" i="4"/>
  <c r="R183" i="4" s="1"/>
  <c r="Z157" i="4"/>
  <c r="Z183" i="4" s="1"/>
  <c r="AH157" i="4"/>
  <c r="AH183" i="4" s="1"/>
  <c r="AP157" i="4"/>
  <c r="AP183" i="4" s="1"/>
  <c r="AX157" i="4"/>
  <c r="AX183" i="4" s="1"/>
  <c r="BF157" i="4"/>
  <c r="BF183" i="4" s="1"/>
  <c r="BN157" i="4"/>
  <c r="BN183" i="4" s="1"/>
  <c r="BV157" i="4"/>
  <c r="BV183" i="4" s="1"/>
  <c r="CD157" i="4"/>
  <c r="CD183" i="4" s="1"/>
  <c r="CL157" i="4"/>
  <c r="CL183" i="4" s="1"/>
  <c r="CT157" i="4"/>
  <c r="CT183" i="4" s="1"/>
  <c r="DB157" i="4"/>
  <c r="DB183" i="4" s="1"/>
  <c r="DJ157" i="4"/>
  <c r="DJ183" i="4" s="1"/>
  <c r="DR157" i="4"/>
  <c r="DR183" i="4" s="1"/>
  <c r="DZ157" i="4"/>
  <c r="DZ183" i="4" s="1"/>
  <c r="EH157" i="4"/>
  <c r="EH183" i="4" s="1"/>
  <c r="CX139" i="4"/>
  <c r="CX165" i="4" s="1"/>
  <c r="DE142" i="4"/>
  <c r="DE168" i="4" s="1"/>
  <c r="CL143" i="4"/>
  <c r="CL169" i="4" s="1"/>
  <c r="BS144" i="4"/>
  <c r="BS170" i="4" s="1"/>
  <c r="AZ145" i="4"/>
  <c r="AZ171" i="4" s="1"/>
  <c r="Y146" i="4"/>
  <c r="Y172" i="4" s="1"/>
  <c r="CK146" i="4"/>
  <c r="CK172" i="4" s="1"/>
  <c r="F147" i="4"/>
  <c r="F173" i="4" s="1"/>
  <c r="BR147" i="4"/>
  <c r="BR173" i="4" s="1"/>
  <c r="ED147" i="4"/>
  <c r="ED173" i="4" s="1"/>
  <c r="AY148" i="4"/>
  <c r="AY174" i="4" s="1"/>
  <c r="DK148" i="4"/>
  <c r="DK174" i="4" s="1"/>
  <c r="AC149" i="4"/>
  <c r="AC175" i="4" s="1"/>
  <c r="CB149" i="4"/>
  <c r="CB175" i="4" s="1"/>
  <c r="DQ149" i="4"/>
  <c r="DQ175" i="4" s="1"/>
  <c r="F150" i="4"/>
  <c r="F176" i="4" s="1"/>
  <c r="AL150" i="4"/>
  <c r="AL176" i="4" s="1"/>
  <c r="BR150" i="4"/>
  <c r="BR176" i="4" s="1"/>
  <c r="CX150" i="4"/>
  <c r="CX176" i="4" s="1"/>
  <c r="ED150" i="4"/>
  <c r="ED176" i="4" s="1"/>
  <c r="S151" i="4"/>
  <c r="S177" i="4" s="1"/>
  <c r="AY151" i="4"/>
  <c r="AY177" i="4" s="1"/>
  <c r="CE151" i="4"/>
  <c r="CE177" i="4" s="1"/>
  <c r="DK151" i="4"/>
  <c r="DK177" i="4" s="1"/>
  <c r="EQ151" i="4"/>
  <c r="EQ177" i="4" s="1"/>
  <c r="AF152" i="4"/>
  <c r="AF178" i="4" s="1"/>
  <c r="BL152" i="4"/>
  <c r="BL178" i="4" s="1"/>
  <c r="CR152" i="4"/>
  <c r="CR178" i="4" s="1"/>
  <c r="DX152" i="4"/>
  <c r="DX178" i="4" s="1"/>
  <c r="M153" i="4"/>
  <c r="M179" i="4" s="1"/>
  <c r="AS153" i="4"/>
  <c r="AS179" i="4" s="1"/>
  <c r="BY153" i="4"/>
  <c r="BY179" i="4" s="1"/>
  <c r="DE153" i="4"/>
  <c r="DE179" i="4" s="1"/>
  <c r="EK153" i="4"/>
  <c r="EK179" i="4" s="1"/>
  <c r="Z154" i="4"/>
  <c r="Z180" i="4" s="1"/>
  <c r="BF154" i="4"/>
  <c r="BF180" i="4" s="1"/>
  <c r="CL154" i="4"/>
  <c r="CL180" i="4" s="1"/>
  <c r="DR154" i="4"/>
  <c r="DR180" i="4" s="1"/>
  <c r="G155" i="4"/>
  <c r="G181" i="4" s="1"/>
  <c r="AM155" i="4"/>
  <c r="AM181" i="4" s="1"/>
  <c r="BI155" i="4"/>
  <c r="BI181" i="4" s="1"/>
  <c r="BW155" i="4"/>
  <c r="BW181" i="4" s="1"/>
  <c r="CH155" i="4"/>
  <c r="CH181" i="4" s="1"/>
  <c r="CV155" i="4"/>
  <c r="CV181" i="4" s="1"/>
  <c r="DG155" i="4"/>
  <c r="DG181" i="4" s="1"/>
  <c r="DU155" i="4"/>
  <c r="DU181" i="4" s="1"/>
  <c r="EG155" i="4"/>
  <c r="EG181" i="4" s="1"/>
  <c r="EO155" i="4"/>
  <c r="EO181" i="4" s="1"/>
  <c r="F156" i="4"/>
  <c r="F182" i="4" s="1"/>
  <c r="N156" i="4"/>
  <c r="N182" i="4" s="1"/>
  <c r="V156" i="4"/>
  <c r="V182" i="4" s="1"/>
  <c r="AD156" i="4"/>
  <c r="AD182" i="4" s="1"/>
  <c r="AL156" i="4"/>
  <c r="AL182" i="4" s="1"/>
  <c r="AT156" i="4"/>
  <c r="AT182" i="4" s="1"/>
  <c r="BB156" i="4"/>
  <c r="BB182" i="4" s="1"/>
  <c r="BJ156" i="4"/>
  <c r="BJ182" i="4" s="1"/>
  <c r="BR156" i="4"/>
  <c r="BR182" i="4" s="1"/>
  <c r="BZ156" i="4"/>
  <c r="BZ182" i="4" s="1"/>
  <c r="CH156" i="4"/>
  <c r="CH182" i="4" s="1"/>
  <c r="CP156" i="4"/>
  <c r="CP182" i="4" s="1"/>
  <c r="CX156" i="4"/>
  <c r="CX182" i="4" s="1"/>
  <c r="DF156" i="4"/>
  <c r="DF182" i="4" s="1"/>
  <c r="DN156" i="4"/>
  <c r="DN182" i="4" s="1"/>
  <c r="DV156" i="4"/>
  <c r="DV182" i="4" s="1"/>
  <c r="ED156" i="4"/>
  <c r="ED182" i="4" s="1"/>
  <c r="EL156" i="4"/>
  <c r="EL182" i="4" s="1"/>
  <c r="C157" i="4"/>
  <c r="C183" i="4" s="1"/>
  <c r="K157" i="4"/>
  <c r="K183" i="4" s="1"/>
  <c r="S157" i="4"/>
  <c r="S183" i="4" s="1"/>
  <c r="AA157" i="4"/>
  <c r="AA183" i="4" s="1"/>
  <c r="AI157" i="4"/>
  <c r="AI183" i="4" s="1"/>
  <c r="AQ157" i="4"/>
  <c r="AQ183" i="4" s="1"/>
  <c r="AY157" i="4"/>
  <c r="AY183" i="4" s="1"/>
  <c r="BG157" i="4"/>
  <c r="BG183" i="4" s="1"/>
  <c r="BO157" i="4"/>
  <c r="BO183" i="4" s="1"/>
  <c r="BW157" i="4"/>
  <c r="BW183" i="4" s="1"/>
  <c r="CE157" i="4"/>
  <c r="CE183" i="4" s="1"/>
  <c r="CM157" i="4"/>
  <c r="CM183" i="4" s="1"/>
  <c r="CU157" i="4"/>
  <c r="CU183" i="4" s="1"/>
  <c r="DC157" i="4"/>
  <c r="DC183" i="4" s="1"/>
  <c r="DK157" i="4"/>
  <c r="DK183" i="4" s="1"/>
  <c r="DS157" i="4"/>
  <c r="DS183" i="4" s="1"/>
  <c r="EA157" i="4"/>
  <c r="EA183" i="4" s="1"/>
  <c r="EI157" i="4"/>
  <c r="EI183" i="4" s="1"/>
  <c r="AL141" i="4"/>
  <c r="AL167" i="4" s="1"/>
  <c r="S143" i="4"/>
  <c r="S169" i="4" s="1"/>
  <c r="EQ143" i="4"/>
  <c r="EQ169" i="4" s="1"/>
  <c r="DX144" i="4"/>
  <c r="DX170" i="4" s="1"/>
  <c r="DE145" i="4"/>
  <c r="DE171" i="4" s="1"/>
  <c r="BC146" i="4"/>
  <c r="BC172" i="4" s="1"/>
  <c r="DO146" i="4"/>
  <c r="DO172" i="4" s="1"/>
  <c r="AJ147" i="4"/>
  <c r="AJ173" i="4" s="1"/>
  <c r="CV147" i="4"/>
  <c r="CV173" i="4" s="1"/>
  <c r="Q148" i="4"/>
  <c r="Q174" i="4" s="1"/>
  <c r="CC148" i="4"/>
  <c r="CC174" i="4" s="1"/>
  <c r="EO148" i="4"/>
  <c r="EO174" i="4" s="1"/>
  <c r="BA149" i="4"/>
  <c r="BA175" i="4" s="1"/>
  <c r="CV149" i="4"/>
  <c r="CV175" i="4" s="1"/>
  <c r="EF149" i="4"/>
  <c r="EF175" i="4" s="1"/>
  <c r="U150" i="4"/>
  <c r="U176" i="4" s="1"/>
  <c r="BA150" i="4"/>
  <c r="BA176" i="4" s="1"/>
  <c r="CG150" i="4"/>
  <c r="CG176" i="4" s="1"/>
  <c r="DM150" i="4"/>
  <c r="DM176" i="4" s="1"/>
  <c r="ES150" i="4"/>
  <c r="ES176" i="4" s="1"/>
  <c r="AH151" i="4"/>
  <c r="AH177" i="4" s="1"/>
  <c r="BN151" i="4"/>
  <c r="BN177" i="4" s="1"/>
  <c r="CT151" i="4"/>
  <c r="CT177" i="4" s="1"/>
  <c r="DZ151" i="4"/>
  <c r="DZ177" i="4" s="1"/>
  <c r="O152" i="4"/>
  <c r="O178" i="4" s="1"/>
  <c r="AU152" i="4"/>
  <c r="AU178" i="4" s="1"/>
  <c r="CA152" i="4"/>
  <c r="CA178" i="4" s="1"/>
  <c r="DG152" i="4"/>
  <c r="DG178" i="4" s="1"/>
  <c r="EM152" i="4"/>
  <c r="EM178" i="4" s="1"/>
  <c r="AB153" i="4"/>
  <c r="AB179" i="4" s="1"/>
  <c r="BH153" i="4"/>
  <c r="BH179" i="4" s="1"/>
  <c r="CN153" i="4"/>
  <c r="CN179" i="4" s="1"/>
  <c r="DT153" i="4"/>
  <c r="DT179" i="4" s="1"/>
  <c r="I154" i="4"/>
  <c r="I180" i="4" s="1"/>
  <c r="AO154" i="4"/>
  <c r="AO180" i="4" s="1"/>
  <c r="BU154" i="4"/>
  <c r="BU180" i="4" s="1"/>
  <c r="DA154" i="4"/>
  <c r="DA180" i="4" s="1"/>
  <c r="EG154" i="4"/>
  <c r="EG180" i="4" s="1"/>
  <c r="V155" i="4"/>
  <c r="V181" i="4" s="1"/>
  <c r="AZ155" i="4"/>
  <c r="AZ181" i="4" s="1"/>
  <c r="BO155" i="4"/>
  <c r="BO181" i="4" s="1"/>
  <c r="BZ155" i="4"/>
  <c r="BZ181" i="4" s="1"/>
  <c r="CN155" i="4"/>
  <c r="CN181" i="4" s="1"/>
  <c r="CY155" i="4"/>
  <c r="CY181" i="4" s="1"/>
  <c r="DM155" i="4"/>
  <c r="DM181" i="4" s="1"/>
  <c r="EA155" i="4"/>
  <c r="EA181" i="4" s="1"/>
  <c r="EJ155" i="4"/>
  <c r="EJ181" i="4" s="1"/>
  <c r="ER155" i="4"/>
  <c r="ER181" i="4" s="1"/>
  <c r="I156" i="4"/>
  <c r="I182" i="4" s="1"/>
  <c r="Q156" i="4"/>
  <c r="Q182" i="4" s="1"/>
  <c r="Y156" i="4"/>
  <c r="Y182" i="4" s="1"/>
  <c r="AG156" i="4"/>
  <c r="AG182" i="4" s="1"/>
  <c r="AO156" i="4"/>
  <c r="AO182" i="4" s="1"/>
  <c r="AW156" i="4"/>
  <c r="AW182" i="4" s="1"/>
  <c r="BE156" i="4"/>
  <c r="BE182" i="4" s="1"/>
  <c r="BM156" i="4"/>
  <c r="BM182" i="4" s="1"/>
  <c r="BU156" i="4"/>
  <c r="BU182" i="4" s="1"/>
  <c r="CC156" i="4"/>
  <c r="CC182" i="4" s="1"/>
  <c r="CK156" i="4"/>
  <c r="CK182" i="4" s="1"/>
  <c r="CS156" i="4"/>
  <c r="CS182" i="4" s="1"/>
  <c r="DA156" i="4"/>
  <c r="DA182" i="4" s="1"/>
  <c r="DI156" i="4"/>
  <c r="DI182" i="4" s="1"/>
  <c r="DQ156" i="4"/>
  <c r="DQ182" i="4" s="1"/>
  <c r="DY156" i="4"/>
  <c r="DY182" i="4" s="1"/>
  <c r="EG156" i="4"/>
  <c r="EG182" i="4" s="1"/>
  <c r="EO156" i="4"/>
  <c r="EO182" i="4" s="1"/>
  <c r="F157" i="4"/>
  <c r="F183" i="4" s="1"/>
  <c r="N157" i="4"/>
  <c r="N183" i="4" s="1"/>
  <c r="V157" i="4"/>
  <c r="V183" i="4" s="1"/>
  <c r="AD157" i="4"/>
  <c r="AD183" i="4" s="1"/>
  <c r="AL157" i="4"/>
  <c r="AL183" i="4" s="1"/>
  <c r="AT157" i="4"/>
  <c r="AT183" i="4" s="1"/>
  <c r="BB157" i="4"/>
  <c r="BB183" i="4" s="1"/>
  <c r="BJ157" i="4"/>
  <c r="BJ183" i="4" s="1"/>
  <c r="BR157" i="4"/>
  <c r="BR183" i="4" s="1"/>
  <c r="BZ157" i="4"/>
  <c r="BZ183" i="4" s="1"/>
  <c r="CH157" i="4"/>
  <c r="CH183" i="4" s="1"/>
  <c r="CP157" i="4"/>
  <c r="CP183" i="4" s="1"/>
  <c r="CX157" i="4"/>
  <c r="CX183" i="4" s="1"/>
  <c r="DF157" i="4"/>
  <c r="DF183" i="4" s="1"/>
  <c r="DN157" i="4"/>
  <c r="DN183" i="4" s="1"/>
  <c r="DV157" i="4"/>
  <c r="DV183" i="4" s="1"/>
  <c r="ED157" i="4"/>
  <c r="ED183" i="4" s="1"/>
  <c r="EL157" i="4"/>
  <c r="EL183" i="4" s="1"/>
  <c r="C158" i="4"/>
  <c r="C184" i="4" s="1"/>
  <c r="B141" i="4"/>
  <c r="B167" i="4" s="1"/>
  <c r="B153" i="4"/>
  <c r="B179" i="4" s="1"/>
  <c r="ER160" i="4"/>
  <c r="ER186" i="4" s="1"/>
  <c r="EJ160" i="4"/>
  <c r="EJ186" i="4" s="1"/>
  <c r="EB160" i="4"/>
  <c r="EB186" i="4" s="1"/>
  <c r="DT160" i="4"/>
  <c r="DT186" i="4" s="1"/>
  <c r="DL160" i="4"/>
  <c r="DL186" i="4" s="1"/>
  <c r="DD160" i="4"/>
  <c r="DD186" i="4" s="1"/>
  <c r="CV160" i="4"/>
  <c r="CV186" i="4" s="1"/>
  <c r="CN160" i="4"/>
  <c r="CN186" i="4" s="1"/>
  <c r="CF160" i="4"/>
  <c r="CF186" i="4" s="1"/>
  <c r="BX160" i="4"/>
  <c r="BX186" i="4" s="1"/>
  <c r="BP160" i="4"/>
  <c r="BP186" i="4" s="1"/>
  <c r="BH160" i="4"/>
  <c r="BH186" i="4" s="1"/>
  <c r="AZ160" i="4"/>
  <c r="AZ186" i="4" s="1"/>
  <c r="AR160" i="4"/>
  <c r="AR186" i="4" s="1"/>
  <c r="AJ160" i="4"/>
  <c r="AJ186" i="4" s="1"/>
  <c r="AB160" i="4"/>
  <c r="AB186" i="4" s="1"/>
  <c r="T160" i="4"/>
  <c r="T186" i="4" s="1"/>
  <c r="L160" i="4"/>
  <c r="L186" i="4" s="1"/>
  <c r="D160" i="4"/>
  <c r="D186" i="4" s="1"/>
  <c r="EM159" i="4"/>
  <c r="EM185" i="4" s="1"/>
  <c r="EE159" i="4"/>
  <c r="EE185" i="4" s="1"/>
  <c r="DW159" i="4"/>
  <c r="DW185" i="4" s="1"/>
  <c r="DO159" i="4"/>
  <c r="DO185" i="4" s="1"/>
  <c r="DG159" i="4"/>
  <c r="DG185" i="4" s="1"/>
  <c r="CY159" i="4"/>
  <c r="CY185" i="4" s="1"/>
  <c r="CQ159" i="4"/>
  <c r="CQ185" i="4" s="1"/>
  <c r="CI159" i="4"/>
  <c r="CI185" i="4" s="1"/>
  <c r="CA159" i="4"/>
  <c r="CA185" i="4" s="1"/>
  <c r="BR159" i="4"/>
  <c r="BR185" i="4" s="1"/>
  <c r="BI159" i="4"/>
  <c r="BI185" i="4" s="1"/>
  <c r="AZ159" i="4"/>
  <c r="AZ185" i="4" s="1"/>
  <c r="AP159" i="4"/>
  <c r="AP185" i="4" s="1"/>
  <c r="AG159" i="4"/>
  <c r="AG185" i="4" s="1"/>
  <c r="X159" i="4"/>
  <c r="X185" i="4" s="1"/>
  <c r="O159" i="4"/>
  <c r="O185" i="4" s="1"/>
  <c r="F159" i="4"/>
  <c r="F185" i="4" s="1"/>
  <c r="EN158" i="4"/>
  <c r="EN184" i="4" s="1"/>
  <c r="EE158" i="4"/>
  <c r="EE184" i="4" s="1"/>
  <c r="DU158" i="4"/>
  <c r="DU184" i="4" s="1"/>
  <c r="DL158" i="4"/>
  <c r="DL184" i="4" s="1"/>
  <c r="DC158" i="4"/>
  <c r="DC184" i="4" s="1"/>
  <c r="CT158" i="4"/>
  <c r="CT184" i="4" s="1"/>
  <c r="CK158" i="4"/>
  <c r="CK184" i="4" s="1"/>
  <c r="CB158" i="4"/>
  <c r="CB184" i="4" s="1"/>
  <c r="BS158" i="4"/>
  <c r="BS184" i="4" s="1"/>
  <c r="BI158" i="4"/>
  <c r="BI184" i="4" s="1"/>
  <c r="AZ158" i="4"/>
  <c r="AZ184" i="4" s="1"/>
  <c r="AQ158" i="4"/>
  <c r="AQ184" i="4" s="1"/>
  <c r="AH158" i="4"/>
  <c r="AH184" i="4" s="1"/>
  <c r="Y158" i="4"/>
  <c r="Y184" i="4" s="1"/>
  <c r="P158" i="4"/>
  <c r="P184" i="4" s="1"/>
  <c r="G158" i="4"/>
  <c r="G184" i="4" s="1"/>
  <c r="EM157" i="4"/>
  <c r="EM183" i="4" s="1"/>
  <c r="DW157" i="4"/>
  <c r="DW183" i="4" s="1"/>
  <c r="DG157" i="4"/>
  <c r="DG183" i="4" s="1"/>
  <c r="CQ157" i="4"/>
  <c r="CQ183" i="4" s="1"/>
  <c r="CA157" i="4"/>
  <c r="CA183" i="4" s="1"/>
  <c r="BK157" i="4"/>
  <c r="BK183" i="4" s="1"/>
  <c r="AU157" i="4"/>
  <c r="AU183" i="4" s="1"/>
  <c r="AE157" i="4"/>
  <c r="AE183" i="4" s="1"/>
  <c r="O157" i="4"/>
  <c r="O183" i="4" s="1"/>
  <c r="EP156" i="4"/>
  <c r="EP182" i="4" s="1"/>
  <c r="DZ156" i="4"/>
  <c r="DZ182" i="4" s="1"/>
  <c r="DJ156" i="4"/>
  <c r="DJ182" i="4" s="1"/>
  <c r="CT156" i="4"/>
  <c r="CT182" i="4" s="1"/>
  <c r="CD156" i="4"/>
  <c r="CD182" i="4" s="1"/>
  <c r="BN156" i="4"/>
  <c r="BN182" i="4" s="1"/>
  <c r="AX156" i="4"/>
  <c r="AX182" i="4" s="1"/>
  <c r="AH156" i="4"/>
  <c r="AH182" i="4" s="1"/>
  <c r="R156" i="4"/>
  <c r="R182" i="4" s="1"/>
  <c r="ES155" i="4"/>
  <c r="ES181" i="4" s="1"/>
  <c r="EB155" i="4"/>
  <c r="EB181" i="4" s="1"/>
  <c r="DC155" i="4"/>
  <c r="DC181" i="4" s="1"/>
  <c r="CA155" i="4"/>
  <c r="CA181" i="4" s="1"/>
  <c r="BA155" i="4"/>
  <c r="BA181" i="4" s="1"/>
  <c r="EH154" i="4"/>
  <c r="EH180" i="4" s="1"/>
  <c r="BV154" i="4"/>
  <c r="BV180" i="4" s="1"/>
  <c r="J154" i="4"/>
  <c r="J180" i="4" s="1"/>
  <c r="CO153" i="4"/>
  <c r="CO179" i="4" s="1"/>
  <c r="AC153" i="4"/>
  <c r="AC179" i="4" s="1"/>
  <c r="DH152" i="4"/>
  <c r="DH178" i="4" s="1"/>
  <c r="AV152" i="4"/>
  <c r="AV178" i="4" s="1"/>
  <c r="EA151" i="4"/>
  <c r="EA177" i="4" s="1"/>
  <c r="BO151" i="4"/>
  <c r="BO177" i="4" s="1"/>
  <c r="C151" i="4"/>
  <c r="C177" i="4" s="1"/>
  <c r="CH150" i="4"/>
  <c r="CH176" i="4" s="1"/>
  <c r="V150" i="4"/>
  <c r="V176" i="4" s="1"/>
  <c r="CW149" i="4"/>
  <c r="CW175" i="4" s="1"/>
  <c r="DY148" i="4"/>
  <c r="DY174" i="4" s="1"/>
  <c r="T147" i="4"/>
  <c r="T173" i="4" s="1"/>
  <c r="CR144" i="4"/>
  <c r="CR170" i="4" s="1"/>
  <c r="BX157" i="4"/>
  <c r="BX183" i="4" s="1"/>
  <c r="BH157" i="4"/>
  <c r="BH183" i="4" s="1"/>
  <c r="AR157" i="4"/>
  <c r="AR183" i="4" s="1"/>
  <c r="AB157" i="4"/>
  <c r="AB183" i="4" s="1"/>
  <c r="L157" i="4"/>
  <c r="L183" i="4" s="1"/>
  <c r="EM156" i="4"/>
  <c r="EM182" i="4" s="1"/>
  <c r="DW156" i="4"/>
  <c r="DW182" i="4" s="1"/>
  <c r="DG156" i="4"/>
  <c r="DG182" i="4" s="1"/>
  <c r="CQ156" i="4"/>
  <c r="CQ182" i="4" s="1"/>
  <c r="CA156" i="4"/>
  <c r="CA182" i="4" s="1"/>
  <c r="BK156" i="4"/>
  <c r="BK182" i="4" s="1"/>
  <c r="AU156" i="4"/>
  <c r="AU182" i="4" s="1"/>
  <c r="AE156" i="4"/>
  <c r="AE182" i="4" s="1"/>
  <c r="O156" i="4"/>
  <c r="O182" i="4" s="1"/>
  <c r="EP155" i="4"/>
  <c r="EP181" i="4" s="1"/>
  <c r="DV155" i="4"/>
  <c r="DV181" i="4" s="1"/>
  <c r="CW155" i="4"/>
  <c r="CW181" i="4" s="1"/>
  <c r="BX155" i="4"/>
  <c r="BX181" i="4" s="1"/>
  <c r="AT155" i="4"/>
  <c r="AT181" i="4" s="1"/>
  <c r="DY154" i="4"/>
  <c r="DY180" i="4" s="1"/>
  <c r="BM154" i="4"/>
  <c r="BM180" i="4" s="1"/>
  <c r="ER153" i="4"/>
  <c r="ER179" i="4" s="1"/>
  <c r="CF153" i="4"/>
  <c r="CF179" i="4" s="1"/>
  <c r="T153" i="4"/>
  <c r="T179" i="4" s="1"/>
  <c r="CY152" i="4"/>
  <c r="CY178" i="4" s="1"/>
  <c r="AM152" i="4"/>
  <c r="AM178" i="4" s="1"/>
  <c r="DR151" i="4"/>
  <c r="DR177" i="4" s="1"/>
  <c r="BF151" i="4"/>
  <c r="BF177" i="4" s="1"/>
  <c r="EK150" i="4"/>
  <c r="EK176" i="4" s="1"/>
  <c r="BY150" i="4"/>
  <c r="BY176" i="4" s="1"/>
  <c r="M150" i="4"/>
  <c r="M176" i="4" s="1"/>
  <c r="CK149" i="4"/>
  <c r="CK175" i="4" s="1"/>
  <c r="BM148" i="4"/>
  <c r="BM174" i="4" s="1"/>
  <c r="CY146" i="4"/>
  <c r="CY172" i="4" s="1"/>
  <c r="DK143" i="4"/>
  <c r="DK169" i="4" s="1"/>
  <c r="B146" i="4"/>
  <c r="B172" i="4" s="1"/>
  <c r="B158" i="4"/>
  <c r="B184" i="4" s="1"/>
  <c r="B150" i="4"/>
  <c r="B176" i="4" s="1"/>
  <c r="EO160" i="4"/>
  <c r="EO186" i="4" s="1"/>
  <c r="EG160" i="4"/>
  <c r="EG186" i="4" s="1"/>
  <c r="DY160" i="4"/>
  <c r="DY186" i="4" s="1"/>
  <c r="DQ160" i="4"/>
  <c r="DQ186" i="4" s="1"/>
  <c r="DI160" i="4"/>
  <c r="DI186" i="4" s="1"/>
  <c r="DA160" i="4"/>
  <c r="DA186" i="4" s="1"/>
  <c r="CS160" i="4"/>
  <c r="CS186" i="4" s="1"/>
  <c r="CK160" i="4"/>
  <c r="CK186" i="4" s="1"/>
  <c r="CC160" i="4"/>
  <c r="CC186" i="4" s="1"/>
  <c r="BU160" i="4"/>
  <c r="BU186" i="4" s="1"/>
  <c r="BM160" i="4"/>
  <c r="BM186" i="4" s="1"/>
  <c r="BE160" i="4"/>
  <c r="BE186" i="4" s="1"/>
  <c r="AW160" i="4"/>
  <c r="AW186" i="4" s="1"/>
  <c r="AO160" i="4"/>
  <c r="AO186" i="4" s="1"/>
  <c r="AG160" i="4"/>
  <c r="AG186" i="4" s="1"/>
  <c r="Y160" i="4"/>
  <c r="Y186" i="4" s="1"/>
  <c r="Q160" i="4"/>
  <c r="Q186" i="4" s="1"/>
  <c r="I160" i="4"/>
  <c r="I186" i="4" s="1"/>
  <c r="ER159" i="4"/>
  <c r="ER185" i="4" s="1"/>
  <c r="EJ159" i="4"/>
  <c r="EJ185" i="4" s="1"/>
  <c r="EB159" i="4"/>
  <c r="EB185" i="4" s="1"/>
  <c r="DT159" i="4"/>
  <c r="DT185" i="4" s="1"/>
  <c r="DL159" i="4"/>
  <c r="DL185" i="4" s="1"/>
  <c r="DD159" i="4"/>
  <c r="DD185" i="4" s="1"/>
  <c r="CV159" i="4"/>
  <c r="CV185" i="4" s="1"/>
  <c r="CN159" i="4"/>
  <c r="CN185" i="4" s="1"/>
  <c r="CF159" i="4"/>
  <c r="CF185" i="4" s="1"/>
  <c r="BX159" i="4"/>
  <c r="BX185" i="4" s="1"/>
  <c r="BN159" i="4"/>
  <c r="BN185" i="4" s="1"/>
  <c r="BE159" i="4"/>
  <c r="BE185" i="4" s="1"/>
  <c r="AV159" i="4"/>
  <c r="AV185" i="4" s="1"/>
  <c r="AM159" i="4"/>
  <c r="AM185" i="4" s="1"/>
  <c r="AD159" i="4"/>
  <c r="AD185" i="4" s="1"/>
  <c r="U159" i="4"/>
  <c r="U185" i="4" s="1"/>
  <c r="L159" i="4"/>
  <c r="L185" i="4" s="1"/>
  <c r="ES158" i="4"/>
  <c r="ES184" i="4" s="1"/>
  <c r="EJ158" i="4"/>
  <c r="EJ184" i="4" s="1"/>
  <c r="EA158" i="4"/>
  <c r="EA184" i="4" s="1"/>
  <c r="DR158" i="4"/>
  <c r="DR184" i="4" s="1"/>
  <c r="DI158" i="4"/>
  <c r="DI184" i="4" s="1"/>
  <c r="CZ158" i="4"/>
  <c r="CZ184" i="4" s="1"/>
  <c r="CQ158" i="4"/>
  <c r="CQ184" i="4" s="1"/>
  <c r="CG158" i="4"/>
  <c r="CG184" i="4" s="1"/>
  <c r="BX158" i="4"/>
  <c r="BX184" i="4" s="1"/>
  <c r="BO158" i="4"/>
  <c r="BO184" i="4" s="1"/>
  <c r="BF158" i="4"/>
  <c r="BF184" i="4" s="1"/>
  <c r="AW158" i="4"/>
  <c r="AW184" i="4" s="1"/>
  <c r="AN158" i="4"/>
  <c r="AN184" i="4" s="1"/>
  <c r="AE158" i="4"/>
  <c r="AE184" i="4" s="1"/>
  <c r="U158" i="4"/>
  <c r="U184" i="4" s="1"/>
  <c r="L158" i="4"/>
  <c r="L184" i="4" s="1"/>
  <c r="ES157" i="4"/>
  <c r="ES183" i="4" s="1"/>
  <c r="EF157" i="4"/>
  <c r="EF183" i="4" s="1"/>
  <c r="DP157" i="4"/>
  <c r="DP183" i="4" s="1"/>
  <c r="CZ157" i="4"/>
  <c r="CZ183" i="4" s="1"/>
  <c r="CJ157" i="4"/>
  <c r="CJ183" i="4" s="1"/>
  <c r="BT157" i="4"/>
  <c r="BT183" i="4" s="1"/>
  <c r="BD157" i="4"/>
  <c r="BD183" i="4" s="1"/>
  <c r="AN157" i="4"/>
  <c r="AN183" i="4" s="1"/>
  <c r="X157" i="4"/>
  <c r="X183" i="4" s="1"/>
  <c r="H157" i="4"/>
  <c r="H183" i="4" s="1"/>
  <c r="EI156" i="4"/>
  <c r="EI182" i="4" s="1"/>
  <c r="DS156" i="4"/>
  <c r="DS182" i="4" s="1"/>
  <c r="DC156" i="4"/>
  <c r="DC182" i="4" s="1"/>
  <c r="CM156" i="4"/>
  <c r="CM182" i="4" s="1"/>
  <c r="BW156" i="4"/>
  <c r="BW182" i="4" s="1"/>
  <c r="BG156" i="4"/>
  <c r="BG182" i="4" s="1"/>
  <c r="AQ156" i="4"/>
  <c r="AQ182" i="4" s="1"/>
  <c r="AA156" i="4"/>
  <c r="AA182" i="4" s="1"/>
  <c r="K156" i="4"/>
  <c r="K182" i="4" s="1"/>
  <c r="EL155" i="4"/>
  <c r="EL181" i="4" s="1"/>
  <c r="DO155" i="4"/>
  <c r="DO181" i="4" s="1"/>
  <c r="CP155" i="4"/>
  <c r="CP181" i="4" s="1"/>
  <c r="BQ155" i="4"/>
  <c r="BQ181" i="4" s="1"/>
  <c r="AD155" i="4"/>
  <c r="AD181" i="4" s="1"/>
  <c r="DI154" i="4"/>
  <c r="DI180" i="4" s="1"/>
  <c r="AW154" i="4"/>
  <c r="AW180" i="4" s="1"/>
  <c r="EB153" i="4"/>
  <c r="EB179" i="4" s="1"/>
  <c r="BP153" i="4"/>
  <c r="BP179" i="4" s="1"/>
  <c r="D153" i="4"/>
  <c r="D179" i="4" s="1"/>
  <c r="CI152" i="4"/>
  <c r="CI178" i="4" s="1"/>
  <c r="W152" i="4"/>
  <c r="W178" i="4" s="1"/>
  <c r="DB151" i="4"/>
  <c r="DB177" i="4" s="1"/>
  <c r="AP151" i="4"/>
  <c r="AP177" i="4" s="1"/>
  <c r="DU150" i="4"/>
  <c r="DU176" i="4" s="1"/>
  <c r="BI150" i="4"/>
  <c r="BI176" i="4" s="1"/>
  <c r="EN149" i="4"/>
  <c r="EN175" i="4" s="1"/>
  <c r="BM149" i="4"/>
  <c r="BM175" i="4" s="1"/>
  <c r="C148" i="4"/>
  <c r="C174" i="4" s="1"/>
  <c r="AO146" i="4"/>
  <c r="AO172" i="4" s="1"/>
  <c r="EK142" i="4"/>
  <c r="EK168" i="4" s="1"/>
  <c r="B145" i="4"/>
  <c r="B171" i="4" s="1"/>
  <c r="B157" i="4"/>
  <c r="B183" i="4" s="1"/>
  <c r="B149" i="4"/>
  <c r="B175" i="4" s="1"/>
  <c r="EN160" i="4"/>
  <c r="EN186" i="4" s="1"/>
  <c r="EF160" i="4"/>
  <c r="EF186" i="4" s="1"/>
  <c r="DX160" i="4"/>
  <c r="DX186" i="4" s="1"/>
  <c r="DP160" i="4"/>
  <c r="DP186" i="4" s="1"/>
  <c r="DH160" i="4"/>
  <c r="DH186" i="4" s="1"/>
  <c r="CZ160" i="4"/>
  <c r="CZ186" i="4" s="1"/>
  <c r="CR160" i="4"/>
  <c r="CR186" i="4" s="1"/>
  <c r="CJ160" i="4"/>
  <c r="CJ186" i="4" s="1"/>
  <c r="CB160" i="4"/>
  <c r="CB186" i="4" s="1"/>
  <c r="BT160" i="4"/>
  <c r="BT186" i="4" s="1"/>
  <c r="BL160" i="4"/>
  <c r="BL186" i="4" s="1"/>
  <c r="BD160" i="4"/>
  <c r="BD186" i="4" s="1"/>
  <c r="AV160" i="4"/>
  <c r="AV186" i="4" s="1"/>
  <c r="AN160" i="4"/>
  <c r="AN186" i="4" s="1"/>
  <c r="AF160" i="4"/>
  <c r="AF186" i="4" s="1"/>
  <c r="X160" i="4"/>
  <c r="X186" i="4" s="1"/>
  <c r="P160" i="4"/>
  <c r="P186" i="4" s="1"/>
  <c r="H160" i="4"/>
  <c r="H186" i="4" s="1"/>
  <c r="EQ159" i="4"/>
  <c r="EQ185" i="4" s="1"/>
  <c r="EI159" i="4"/>
  <c r="EI185" i="4" s="1"/>
  <c r="EA159" i="4"/>
  <c r="EA185" i="4" s="1"/>
  <c r="DS159" i="4"/>
  <c r="DS185" i="4" s="1"/>
  <c r="DK159" i="4"/>
  <c r="DK185" i="4" s="1"/>
  <c r="DC159" i="4"/>
  <c r="DC185" i="4" s="1"/>
  <c r="CU159" i="4"/>
  <c r="CU185" i="4" s="1"/>
  <c r="CM159" i="4"/>
  <c r="CM185" i="4" s="1"/>
  <c r="CE159" i="4"/>
  <c r="CE185" i="4" s="1"/>
  <c r="BV159" i="4"/>
  <c r="BV185" i="4" s="1"/>
  <c r="BM159" i="4"/>
  <c r="BM185" i="4" s="1"/>
  <c r="BD159" i="4"/>
  <c r="BD185" i="4" s="1"/>
  <c r="AU159" i="4"/>
  <c r="AU185" i="4" s="1"/>
  <c r="AL159" i="4"/>
  <c r="AL185" i="4" s="1"/>
  <c r="AC159" i="4"/>
  <c r="AC185" i="4" s="1"/>
  <c r="T159" i="4"/>
  <c r="T185" i="4" s="1"/>
  <c r="J159" i="4"/>
  <c r="J185" i="4" s="1"/>
  <c r="ER158" i="4"/>
  <c r="ER184" i="4" s="1"/>
  <c r="EI158" i="4"/>
  <c r="EI184" i="4" s="1"/>
  <c r="DZ158" i="4"/>
  <c r="DZ184" i="4" s="1"/>
  <c r="DQ158" i="4"/>
  <c r="DQ184" i="4" s="1"/>
  <c r="DH158" i="4"/>
  <c r="DH184" i="4" s="1"/>
  <c r="CY158" i="4"/>
  <c r="CY184" i="4" s="1"/>
  <c r="CO158" i="4"/>
  <c r="CO184" i="4" s="1"/>
  <c r="CF158" i="4"/>
  <c r="CF184" i="4" s="1"/>
  <c r="BW158" i="4"/>
  <c r="BW184" i="4" s="1"/>
  <c r="BN158" i="4"/>
  <c r="BN184" i="4" s="1"/>
  <c r="BE158" i="4"/>
  <c r="BE184" i="4" s="1"/>
  <c r="AV158" i="4"/>
  <c r="AV184" i="4" s="1"/>
  <c r="AM158" i="4"/>
  <c r="AM184" i="4" s="1"/>
  <c r="AC158" i="4"/>
  <c r="AC184" i="4" s="1"/>
  <c r="T158" i="4"/>
  <c r="T184" i="4" s="1"/>
  <c r="K158" i="4"/>
  <c r="K184" i="4" s="1"/>
  <c r="ER157" i="4"/>
  <c r="ER183" i="4" s="1"/>
  <c r="EE157" i="4"/>
  <c r="EE183" i="4" s="1"/>
  <c r="DO157" i="4"/>
  <c r="DO183" i="4" s="1"/>
  <c r="CY157" i="4"/>
  <c r="CY183" i="4" s="1"/>
  <c r="CI157" i="4"/>
  <c r="CI183" i="4" s="1"/>
  <c r="BS157" i="4"/>
  <c r="BS183" i="4" s="1"/>
  <c r="BC157" i="4"/>
  <c r="BC183" i="4" s="1"/>
  <c r="AM157" i="4"/>
  <c r="AM183" i="4" s="1"/>
  <c r="W157" i="4"/>
  <c r="W183" i="4" s="1"/>
  <c r="G157" i="4"/>
  <c r="G183" i="4" s="1"/>
  <c r="EH156" i="4"/>
  <c r="EH182" i="4" s="1"/>
  <c r="DR156" i="4"/>
  <c r="DR182" i="4" s="1"/>
  <c r="DB156" i="4"/>
  <c r="DB182" i="4" s="1"/>
  <c r="CL156" i="4"/>
  <c r="CL182" i="4" s="1"/>
  <c r="BV156" i="4"/>
  <c r="BV182" i="4" s="1"/>
  <c r="BF156" i="4"/>
  <c r="BF182" i="4" s="1"/>
  <c r="AP156" i="4"/>
  <c r="AP182" i="4" s="1"/>
  <c r="Z156" i="4"/>
  <c r="Z182" i="4" s="1"/>
  <c r="J156" i="4"/>
  <c r="J182" i="4" s="1"/>
  <c r="EK155" i="4"/>
  <c r="EK181" i="4" s="1"/>
  <c r="DN155" i="4"/>
  <c r="DN181" i="4" s="1"/>
  <c r="CO155" i="4"/>
  <c r="CO181" i="4" s="1"/>
  <c r="BP155" i="4"/>
  <c r="BP181" i="4" s="1"/>
  <c r="W155" i="4"/>
  <c r="W181" i="4" s="1"/>
  <c r="DB154" i="4"/>
  <c r="DB180" i="4" s="1"/>
  <c r="AP154" i="4"/>
  <c r="AP180" i="4" s="1"/>
  <c r="DU153" i="4"/>
  <c r="DU179" i="4" s="1"/>
  <c r="BI153" i="4"/>
  <c r="BI179" i="4" s="1"/>
  <c r="EN152" i="4"/>
  <c r="EN178" i="4" s="1"/>
  <c r="CB152" i="4"/>
  <c r="CB178" i="4" s="1"/>
  <c r="P152" i="4"/>
  <c r="P178" i="4" s="1"/>
  <c r="CU151" i="4"/>
  <c r="CU177" i="4" s="1"/>
  <c r="AI151" i="4"/>
  <c r="AI177" i="4" s="1"/>
  <c r="DN150" i="4"/>
  <c r="DN176" i="4" s="1"/>
  <c r="BB150" i="4"/>
  <c r="BB176" i="4" s="1"/>
  <c r="EG149" i="4"/>
  <c r="EG175" i="4" s="1"/>
  <c r="BB149" i="4"/>
  <c r="BB175" i="4" s="1"/>
  <c r="ER147" i="4"/>
  <c r="ER173" i="4" s="1"/>
  <c r="AM146" i="4"/>
  <c r="AM172" i="4" s="1"/>
  <c r="ED142" i="4"/>
  <c r="ED168" i="4" s="1"/>
  <c r="B144" i="4"/>
  <c r="B170" i="4" s="1"/>
  <c r="B156" i="4"/>
  <c r="B182" i="4" s="1"/>
  <c r="B148" i="4"/>
  <c r="B174" i="4" s="1"/>
  <c r="EM160" i="4"/>
  <c r="EM186" i="4" s="1"/>
  <c r="EE160" i="4"/>
  <c r="EE186" i="4" s="1"/>
  <c r="DW160" i="4"/>
  <c r="DW186" i="4" s="1"/>
  <c r="DO160" i="4"/>
  <c r="DO186" i="4" s="1"/>
  <c r="DG160" i="4"/>
  <c r="DG186" i="4" s="1"/>
  <c r="CY160" i="4"/>
  <c r="CY186" i="4" s="1"/>
  <c r="CQ160" i="4"/>
  <c r="CQ186" i="4" s="1"/>
  <c r="CI160" i="4"/>
  <c r="CI186" i="4" s="1"/>
  <c r="CA160" i="4"/>
  <c r="CA186" i="4" s="1"/>
  <c r="BS160" i="4"/>
  <c r="BS186" i="4" s="1"/>
  <c r="BK160" i="4"/>
  <c r="BK186" i="4" s="1"/>
  <c r="BC160" i="4"/>
  <c r="BC186" i="4" s="1"/>
  <c r="AU160" i="4"/>
  <c r="AU186" i="4" s="1"/>
  <c r="AM160" i="4"/>
  <c r="AM186" i="4" s="1"/>
  <c r="AE160" i="4"/>
  <c r="AE186" i="4" s="1"/>
  <c r="W160" i="4"/>
  <c r="W186" i="4" s="1"/>
  <c r="O160" i="4"/>
  <c r="O186" i="4" s="1"/>
  <c r="G160" i="4"/>
  <c r="G186" i="4" s="1"/>
  <c r="EP159" i="4"/>
  <c r="EP185" i="4" s="1"/>
  <c r="EH159" i="4"/>
  <c r="EH185" i="4" s="1"/>
  <c r="DZ159" i="4"/>
  <c r="DZ185" i="4" s="1"/>
  <c r="DR159" i="4"/>
  <c r="DR185" i="4" s="1"/>
  <c r="DJ159" i="4"/>
  <c r="DJ185" i="4" s="1"/>
  <c r="DB159" i="4"/>
  <c r="DB185" i="4" s="1"/>
  <c r="CT159" i="4"/>
  <c r="CT185" i="4" s="1"/>
  <c r="CL159" i="4"/>
  <c r="CL185" i="4" s="1"/>
  <c r="CD159" i="4"/>
  <c r="CD185" i="4" s="1"/>
  <c r="BU159" i="4"/>
  <c r="BU185" i="4" s="1"/>
  <c r="BL159" i="4"/>
  <c r="BL185" i="4" s="1"/>
  <c r="BC159" i="4"/>
  <c r="BC185" i="4" s="1"/>
  <c r="AT159" i="4"/>
  <c r="AT185" i="4" s="1"/>
  <c r="AK159" i="4"/>
  <c r="AK185" i="4" s="1"/>
  <c r="AB159" i="4"/>
  <c r="AB185" i="4" s="1"/>
  <c r="R159" i="4"/>
  <c r="R185" i="4" s="1"/>
  <c r="I159" i="4"/>
  <c r="I185" i="4" s="1"/>
  <c r="EQ158" i="4"/>
  <c r="EQ184" i="4" s="1"/>
  <c r="EH158" i="4"/>
  <c r="EH184" i="4" s="1"/>
  <c r="DY158" i="4"/>
  <c r="DY184" i="4" s="1"/>
  <c r="DP158" i="4"/>
  <c r="DP184" i="4" s="1"/>
  <c r="DG158" i="4"/>
  <c r="DG184" i="4" s="1"/>
  <c r="CW158" i="4"/>
  <c r="CW184" i="4" s="1"/>
  <c r="CN158" i="4"/>
  <c r="CN184" i="4" s="1"/>
  <c r="CE158" i="4"/>
  <c r="CE184" i="4" s="1"/>
  <c r="BV158" i="4"/>
  <c r="BV184" i="4" s="1"/>
  <c r="BM158" i="4"/>
  <c r="BM184" i="4" s="1"/>
  <c r="BD158" i="4"/>
  <c r="BD184" i="4" s="1"/>
  <c r="AU158" i="4"/>
  <c r="AU184" i="4" s="1"/>
  <c r="AK158" i="4"/>
  <c r="AK184" i="4" s="1"/>
  <c r="AB158" i="4"/>
  <c r="AB184" i="4" s="1"/>
  <c r="S158" i="4"/>
  <c r="S184" i="4" s="1"/>
  <c r="J158" i="4"/>
  <c r="J184" i="4" s="1"/>
  <c r="EQ157" i="4"/>
  <c r="EQ183" i="4" s="1"/>
  <c r="EC157" i="4"/>
  <c r="EC183" i="4" s="1"/>
  <c r="DM157" i="4"/>
  <c r="DM183" i="4" s="1"/>
  <c r="CW157" i="4"/>
  <c r="CW183" i="4" s="1"/>
  <c r="CG157" i="4"/>
  <c r="CG183" i="4" s="1"/>
  <c r="BQ157" i="4"/>
  <c r="BQ183" i="4" s="1"/>
  <c r="BA157" i="4"/>
  <c r="BA183" i="4" s="1"/>
  <c r="AK157" i="4"/>
  <c r="AK183" i="4" s="1"/>
  <c r="U157" i="4"/>
  <c r="U183" i="4" s="1"/>
  <c r="E157" i="4"/>
  <c r="E183" i="4" s="1"/>
  <c r="EF156" i="4"/>
  <c r="EF182" i="4" s="1"/>
  <c r="DP156" i="4"/>
  <c r="DP182" i="4" s="1"/>
  <c r="CZ156" i="4"/>
  <c r="CZ182" i="4" s="1"/>
  <c r="CJ156" i="4"/>
  <c r="CJ182" i="4" s="1"/>
  <c r="BT156" i="4"/>
  <c r="BT182" i="4" s="1"/>
  <c r="BD156" i="4"/>
  <c r="BD182" i="4" s="1"/>
  <c r="AN156" i="4"/>
  <c r="AN182" i="4" s="1"/>
  <c r="X156" i="4"/>
  <c r="X182" i="4" s="1"/>
  <c r="H156" i="4"/>
  <c r="H182" i="4" s="1"/>
  <c r="EI155" i="4"/>
  <c r="EI181" i="4" s="1"/>
  <c r="DL155" i="4"/>
  <c r="DL181" i="4" s="1"/>
  <c r="CM155" i="4"/>
  <c r="CM181" i="4" s="1"/>
  <c r="BK155" i="4"/>
  <c r="BK181" i="4" s="1"/>
  <c r="O155" i="4"/>
  <c r="O181" i="4" s="1"/>
  <c r="CT154" i="4"/>
  <c r="CT180" i="4" s="1"/>
  <c r="AH154" i="4"/>
  <c r="AH180" i="4" s="1"/>
  <c r="DM153" i="4"/>
  <c r="DM179" i="4" s="1"/>
  <c r="BA153" i="4"/>
  <c r="BA179" i="4" s="1"/>
  <c r="EF152" i="4"/>
  <c r="EF178" i="4" s="1"/>
  <c r="BT152" i="4"/>
  <c r="BT178" i="4" s="1"/>
  <c r="H152" i="4"/>
  <c r="H178" i="4" s="1"/>
  <c r="CM151" i="4"/>
  <c r="CM177" i="4" s="1"/>
  <c r="AA151" i="4"/>
  <c r="AA177" i="4" s="1"/>
  <c r="DF150" i="4"/>
  <c r="DF176" i="4" s="1"/>
  <c r="AT150" i="4"/>
  <c r="AT176" i="4" s="1"/>
  <c r="DY149" i="4"/>
  <c r="DY175" i="4" s="1"/>
  <c r="AO149" i="4"/>
  <c r="AO175" i="4" s="1"/>
  <c r="CH147" i="4"/>
  <c r="CH173" i="4" s="1"/>
  <c r="CF145" i="4"/>
  <c r="CF171" i="4" s="1"/>
  <c r="CE140" i="4"/>
  <c r="CE166" i="4" s="1"/>
  <c r="B143" i="4"/>
  <c r="B169" i="4" s="1"/>
  <c r="B155" i="4"/>
  <c r="B181" i="4" s="1"/>
  <c r="B147" i="4"/>
  <c r="B173" i="4" s="1"/>
  <c r="EL160" i="4"/>
  <c r="EL186" i="4" s="1"/>
  <c r="ED160" i="4"/>
  <c r="ED186" i="4" s="1"/>
  <c r="DV160" i="4"/>
  <c r="DV186" i="4" s="1"/>
  <c r="DN160" i="4"/>
  <c r="DN186" i="4" s="1"/>
  <c r="DF160" i="4"/>
  <c r="DF186" i="4" s="1"/>
  <c r="CX160" i="4"/>
  <c r="CX186" i="4" s="1"/>
  <c r="CP160" i="4"/>
  <c r="CP186" i="4" s="1"/>
  <c r="CH160" i="4"/>
  <c r="CH186" i="4" s="1"/>
  <c r="BZ160" i="4"/>
  <c r="BZ186" i="4" s="1"/>
  <c r="BR160" i="4"/>
  <c r="BR186" i="4" s="1"/>
  <c r="BJ160" i="4"/>
  <c r="BJ186" i="4" s="1"/>
  <c r="BB160" i="4"/>
  <c r="BB186" i="4" s="1"/>
  <c r="AT160" i="4"/>
  <c r="AT186" i="4" s="1"/>
  <c r="AL160" i="4"/>
  <c r="AL186" i="4" s="1"/>
  <c r="AD160" i="4"/>
  <c r="AD186" i="4" s="1"/>
  <c r="V160" i="4"/>
  <c r="V186" i="4" s="1"/>
  <c r="N160" i="4"/>
  <c r="N186" i="4" s="1"/>
  <c r="F160" i="4"/>
  <c r="F186" i="4" s="1"/>
  <c r="EO159" i="4"/>
  <c r="EO185" i="4" s="1"/>
  <c r="EG159" i="4"/>
  <c r="EG185" i="4" s="1"/>
  <c r="DY159" i="4"/>
  <c r="DY185" i="4" s="1"/>
  <c r="DQ159" i="4"/>
  <c r="DQ185" i="4" s="1"/>
  <c r="DI159" i="4"/>
  <c r="DI185" i="4" s="1"/>
  <c r="DA159" i="4"/>
  <c r="DA185" i="4" s="1"/>
  <c r="CS159" i="4"/>
  <c r="CS185" i="4" s="1"/>
  <c r="CK159" i="4"/>
  <c r="CK185" i="4" s="1"/>
  <c r="CC159" i="4"/>
  <c r="CC185" i="4" s="1"/>
  <c r="BT159" i="4"/>
  <c r="BT185" i="4" s="1"/>
  <c r="BK159" i="4"/>
  <c r="BK185" i="4" s="1"/>
  <c r="BB159" i="4"/>
  <c r="BB185" i="4" s="1"/>
  <c r="AS159" i="4"/>
  <c r="AS185" i="4" s="1"/>
  <c r="AJ159" i="4"/>
  <c r="AJ185" i="4" s="1"/>
  <c r="Z159" i="4"/>
  <c r="Z185" i="4" s="1"/>
  <c r="Q159" i="4"/>
  <c r="Q185" i="4" s="1"/>
  <c r="H159" i="4"/>
  <c r="H185" i="4" s="1"/>
  <c r="EP158" i="4"/>
  <c r="EP184" i="4" s="1"/>
  <c r="EG158" i="4"/>
  <c r="EG184" i="4" s="1"/>
  <c r="DX158" i="4"/>
  <c r="DX184" i="4" s="1"/>
  <c r="DO158" i="4"/>
  <c r="DO184" i="4" s="1"/>
  <c r="DE158" i="4"/>
  <c r="DE184" i="4" s="1"/>
  <c r="CV158" i="4"/>
  <c r="CV184" i="4" s="1"/>
  <c r="CM158" i="4"/>
  <c r="CM184" i="4" s="1"/>
  <c r="CD158" i="4"/>
  <c r="CD184" i="4" s="1"/>
  <c r="BU158" i="4"/>
  <c r="BU184" i="4" s="1"/>
  <c r="BL158" i="4"/>
  <c r="BL184" i="4" s="1"/>
  <c r="BC158" i="4"/>
  <c r="BC184" i="4" s="1"/>
  <c r="AS158" i="4"/>
  <c r="AS184" i="4" s="1"/>
  <c r="AJ158" i="4"/>
  <c r="AJ184" i="4" s="1"/>
  <c r="AA158" i="4"/>
  <c r="AA184" i="4" s="1"/>
  <c r="R158" i="4"/>
  <c r="R184" i="4" s="1"/>
  <c r="I158" i="4"/>
  <c r="I184" i="4" s="1"/>
  <c r="EP157" i="4"/>
  <c r="EP183" i="4" s="1"/>
  <c r="EB157" i="4"/>
  <c r="EB183" i="4" s="1"/>
  <c r="DL157" i="4"/>
  <c r="DL183" i="4" s="1"/>
  <c r="CV157" i="4"/>
  <c r="CV183" i="4" s="1"/>
  <c r="CF157" i="4"/>
  <c r="CF183" i="4" s="1"/>
  <c r="BP157" i="4"/>
  <c r="BP183" i="4" s="1"/>
  <c r="AZ157" i="4"/>
  <c r="AZ183" i="4" s="1"/>
  <c r="AJ157" i="4"/>
  <c r="AJ183" i="4" s="1"/>
  <c r="T157" i="4"/>
  <c r="T183" i="4" s="1"/>
  <c r="D157" i="4"/>
  <c r="D183" i="4" s="1"/>
  <c r="EE156" i="4"/>
  <c r="EE182" i="4" s="1"/>
  <c r="DO156" i="4"/>
  <c r="DO182" i="4" s="1"/>
  <c r="CY156" i="4"/>
  <c r="CY182" i="4" s="1"/>
  <c r="CI156" i="4"/>
  <c r="CI182" i="4" s="1"/>
  <c r="BS156" i="4"/>
  <c r="BS182" i="4" s="1"/>
  <c r="BC156" i="4"/>
  <c r="BC182" i="4" s="1"/>
  <c r="AM156" i="4"/>
  <c r="AM182" i="4" s="1"/>
  <c r="W156" i="4"/>
  <c r="W182" i="4" s="1"/>
  <c r="G156" i="4"/>
  <c r="G182" i="4" s="1"/>
  <c r="EH155" i="4"/>
  <c r="EH181" i="4" s="1"/>
  <c r="DK155" i="4"/>
  <c r="DK181" i="4" s="1"/>
  <c r="CI155" i="4"/>
  <c r="CI181" i="4" s="1"/>
  <c r="BJ155" i="4"/>
  <c r="BJ181" i="4" s="1"/>
  <c r="N155" i="4"/>
  <c r="N181" i="4" s="1"/>
  <c r="CS154" i="4"/>
  <c r="CS180" i="4" s="1"/>
  <c r="AG154" i="4"/>
  <c r="AG180" i="4" s="1"/>
  <c r="DL153" i="4"/>
  <c r="DL179" i="4" s="1"/>
  <c r="AZ153" i="4"/>
  <c r="AZ179" i="4" s="1"/>
  <c r="EE152" i="4"/>
  <c r="EE178" i="4" s="1"/>
  <c r="BS152" i="4"/>
  <c r="BS178" i="4" s="1"/>
  <c r="G152" i="4"/>
  <c r="G178" i="4" s="1"/>
  <c r="CL151" i="4"/>
  <c r="CL177" i="4" s="1"/>
  <c r="Z151" i="4"/>
  <c r="Z177" i="4" s="1"/>
  <c r="DE150" i="4"/>
  <c r="DE176" i="4" s="1"/>
  <c r="AS150" i="4"/>
  <c r="AS176" i="4" s="1"/>
  <c r="DX149" i="4"/>
  <c r="DX175" i="4" s="1"/>
  <c r="AN149" i="4"/>
  <c r="AN175" i="4" s="1"/>
  <c r="CF147" i="4"/>
  <c r="CF173" i="4" s="1"/>
  <c r="BY145" i="4"/>
  <c r="BY171" i="4" s="1"/>
  <c r="BE140" i="4"/>
  <c r="BE166" i="4" s="1"/>
  <c r="B142" i="4"/>
  <c r="B168" i="4" s="1"/>
  <c r="B154" i="4"/>
  <c r="B180" i="4" s="1"/>
  <c r="ES160" i="4"/>
  <c r="ES186" i="4" s="1"/>
  <c r="EK160" i="4"/>
  <c r="EK186" i="4" s="1"/>
  <c r="EC160" i="4"/>
  <c r="EC186" i="4" s="1"/>
  <c r="DU160" i="4"/>
  <c r="DU186" i="4" s="1"/>
  <c r="DM160" i="4"/>
  <c r="DM186" i="4" s="1"/>
  <c r="DE160" i="4"/>
  <c r="DE186" i="4" s="1"/>
  <c r="CW160" i="4"/>
  <c r="CW186" i="4" s="1"/>
  <c r="CO160" i="4"/>
  <c r="CO186" i="4" s="1"/>
  <c r="CG160" i="4"/>
  <c r="CG186" i="4" s="1"/>
  <c r="BY160" i="4"/>
  <c r="BY186" i="4" s="1"/>
  <c r="BQ160" i="4"/>
  <c r="BQ186" i="4" s="1"/>
  <c r="BI160" i="4"/>
  <c r="BI186" i="4" s="1"/>
  <c r="BA160" i="4"/>
  <c r="BA186" i="4" s="1"/>
  <c r="AS160" i="4"/>
  <c r="AS186" i="4" s="1"/>
  <c r="AK160" i="4"/>
  <c r="AK186" i="4" s="1"/>
  <c r="AC160" i="4"/>
  <c r="AC186" i="4" s="1"/>
  <c r="U160" i="4"/>
  <c r="U186" i="4" s="1"/>
  <c r="M160" i="4"/>
  <c r="M186" i="4" s="1"/>
  <c r="E160" i="4"/>
  <c r="E186" i="4" s="1"/>
  <c r="EN159" i="4"/>
  <c r="EN185" i="4" s="1"/>
  <c r="EF159" i="4"/>
  <c r="EF185" i="4" s="1"/>
  <c r="DX159" i="4"/>
  <c r="DX185" i="4" s="1"/>
  <c r="DP159" i="4"/>
  <c r="DP185" i="4" s="1"/>
  <c r="DH159" i="4"/>
  <c r="DH185" i="4" s="1"/>
  <c r="CZ159" i="4"/>
  <c r="CZ185" i="4" s="1"/>
  <c r="CR159" i="4"/>
  <c r="CR185" i="4" s="1"/>
  <c r="CJ159" i="4"/>
  <c r="CJ185" i="4" s="1"/>
  <c r="CB159" i="4"/>
  <c r="CB185" i="4" s="1"/>
  <c r="BS159" i="4"/>
  <c r="BS185" i="4" s="1"/>
  <c r="BJ159" i="4"/>
  <c r="BJ185" i="4" s="1"/>
  <c r="BA159" i="4"/>
  <c r="BA185" i="4" s="1"/>
  <c r="AR159" i="4"/>
  <c r="AR185" i="4" s="1"/>
  <c r="AH159" i="4"/>
  <c r="AH185" i="4" s="1"/>
  <c r="Y159" i="4"/>
  <c r="Y185" i="4" s="1"/>
  <c r="P159" i="4"/>
  <c r="P185" i="4" s="1"/>
  <c r="G159" i="4"/>
  <c r="G185" i="4" s="1"/>
  <c r="EO158" i="4"/>
  <c r="EO184" i="4" s="1"/>
  <c r="EF158" i="4"/>
  <c r="EF184" i="4" s="1"/>
  <c r="DW158" i="4"/>
  <c r="DW184" i="4" s="1"/>
  <c r="DM158" i="4"/>
  <c r="DM184" i="4" s="1"/>
  <c r="DD158" i="4"/>
  <c r="DD184" i="4" s="1"/>
  <c r="CU158" i="4"/>
  <c r="CU184" i="4" s="1"/>
  <c r="CL158" i="4"/>
  <c r="CL184" i="4" s="1"/>
  <c r="CC158" i="4"/>
  <c r="CC184" i="4" s="1"/>
  <c r="BT158" i="4"/>
  <c r="BT184" i="4" s="1"/>
  <c r="BK158" i="4"/>
  <c r="BK184" i="4" s="1"/>
  <c r="BA158" i="4"/>
  <c r="BA184" i="4" s="1"/>
  <c r="AR158" i="4"/>
  <c r="AR184" i="4" s="1"/>
  <c r="AI158" i="4"/>
  <c r="AI184" i="4" s="1"/>
  <c r="Z158" i="4"/>
  <c r="Z184" i="4" s="1"/>
  <c r="Q158" i="4"/>
  <c r="Q184" i="4" s="1"/>
  <c r="H158" i="4"/>
  <c r="H184" i="4" s="1"/>
  <c r="EN157" i="4"/>
  <c r="EN183" i="4" s="1"/>
  <c r="DX157" i="4"/>
  <c r="DX183" i="4" s="1"/>
  <c r="DH157" i="4"/>
  <c r="DH183" i="4" s="1"/>
  <c r="CR157" i="4"/>
  <c r="CR183" i="4" s="1"/>
  <c r="CB157" i="4"/>
  <c r="CB183" i="4" s="1"/>
  <c r="BL157" i="4"/>
  <c r="BL183" i="4" s="1"/>
  <c r="AV157" i="4"/>
  <c r="AV183" i="4" s="1"/>
  <c r="AF157" i="4"/>
  <c r="AF183" i="4" s="1"/>
  <c r="P157" i="4"/>
  <c r="P183" i="4" s="1"/>
  <c r="EQ156" i="4"/>
  <c r="EQ182" i="4" s="1"/>
  <c r="EA156" i="4"/>
  <c r="EA182" i="4" s="1"/>
  <c r="DK156" i="4"/>
  <c r="DK182" i="4" s="1"/>
  <c r="CU156" i="4"/>
  <c r="CU182" i="4" s="1"/>
  <c r="CE156" i="4"/>
  <c r="CE182" i="4" s="1"/>
  <c r="BO156" i="4"/>
  <c r="BO182" i="4" s="1"/>
  <c r="AY156" i="4"/>
  <c r="AY182" i="4" s="1"/>
  <c r="AI156" i="4"/>
  <c r="AI182" i="4" s="1"/>
  <c r="S156" i="4"/>
  <c r="S182" i="4" s="1"/>
  <c r="C156" i="4"/>
  <c r="C182" i="4" s="1"/>
  <c r="EC155" i="4"/>
  <c r="EC181" i="4" s="1"/>
  <c r="DD155" i="4"/>
  <c r="DD181" i="4" s="1"/>
  <c r="CE155" i="4"/>
  <c r="CE181" i="4" s="1"/>
  <c r="BB155" i="4"/>
  <c r="BB181" i="4" s="1"/>
  <c r="EO154" i="4"/>
  <c r="EO180" i="4" s="1"/>
  <c r="CC154" i="4"/>
  <c r="CC180" i="4" s="1"/>
  <c r="Q154" i="4"/>
  <c r="Q180" i="4" s="1"/>
  <c r="CV153" i="4"/>
  <c r="CV179" i="4" s="1"/>
  <c r="AJ153" i="4"/>
  <c r="AJ179" i="4" s="1"/>
  <c r="DO152" i="4"/>
  <c r="DO178" i="4" s="1"/>
  <c r="BC152" i="4"/>
  <c r="BC178" i="4" s="1"/>
  <c r="EH151" i="4"/>
  <c r="EH177" i="4" s="1"/>
  <c r="BV151" i="4"/>
  <c r="BV177" i="4" s="1"/>
  <c r="J151" i="4"/>
  <c r="J177" i="4" s="1"/>
  <c r="CO150" i="4"/>
  <c r="CO176" i="4" s="1"/>
  <c r="AC150" i="4"/>
  <c r="AC176" i="4" s="1"/>
  <c r="DF149" i="4"/>
  <c r="DF175" i="4" s="1"/>
  <c r="EA148" i="4"/>
  <c r="EA174" i="4" s="1"/>
  <c r="V147" i="4"/>
  <c r="V173" i="4" s="1"/>
  <c r="CY144" i="4"/>
  <c r="CY170" i="4" s="1"/>
  <c r="X133" i="4"/>
  <c r="AF133" i="4"/>
  <c r="DH133" i="4"/>
  <c r="BL133" i="4"/>
  <c r="AC133" i="4"/>
  <c r="E133" i="4"/>
  <c r="CR133" i="4"/>
  <c r="DD133" i="4"/>
  <c r="DL133" i="4"/>
  <c r="DX133" i="4"/>
  <c r="DM133" i="4"/>
  <c r="CZ133" i="4"/>
  <c r="CB133" i="4"/>
  <c r="CO133" i="4"/>
  <c r="H133" i="4"/>
  <c r="BT133" i="4"/>
  <c r="AV133" i="4"/>
  <c r="BA133" i="4"/>
  <c r="DP133" i="4"/>
  <c r="EN133" i="4"/>
  <c r="EK133" i="4"/>
  <c r="BD133" i="4"/>
  <c r="M133" i="4"/>
  <c r="EJ133" i="4"/>
  <c r="F133" i="4"/>
  <c r="N133" i="4"/>
  <c r="V133" i="4"/>
  <c r="AD133" i="4"/>
  <c r="AL133" i="4"/>
  <c r="AT133" i="4"/>
  <c r="BB133" i="4"/>
  <c r="BJ133" i="4"/>
  <c r="BR133" i="4"/>
  <c r="BZ133" i="4"/>
  <c r="CH133" i="4"/>
  <c r="CP133" i="4"/>
  <c r="CX133" i="4"/>
  <c r="DF133" i="4"/>
  <c r="DN133" i="4"/>
  <c r="DV133" i="4"/>
  <c r="ED133" i="4"/>
  <c r="EL133" i="4"/>
  <c r="EF133" i="4"/>
  <c r="S133" i="4"/>
  <c r="AY133" i="4"/>
  <c r="BG133" i="4"/>
  <c r="BW133" i="4"/>
  <c r="CE133" i="4"/>
  <c r="EI133" i="4"/>
  <c r="EQ133" i="4"/>
  <c r="ER133" i="4"/>
  <c r="ES133" i="4"/>
  <c r="AQ133" i="4"/>
  <c r="AJ133" i="4"/>
  <c r="ET131" i="4"/>
  <c r="ET130" i="4"/>
  <c r="ET129" i="4"/>
  <c r="ET128" i="4"/>
  <c r="K133" i="4"/>
  <c r="CW133" i="4"/>
  <c r="ET123" i="4"/>
  <c r="ET122" i="4"/>
  <c r="DE133" i="4"/>
  <c r="ET121" i="4"/>
  <c r="C133" i="4"/>
  <c r="ET120" i="4"/>
  <c r="DS133" i="4"/>
  <c r="DC133" i="4"/>
  <c r="CM133" i="4"/>
  <c r="CJ133" i="4"/>
  <c r="BX133" i="4"/>
  <c r="BO133" i="4"/>
  <c r="AN133" i="4"/>
  <c r="AI133" i="4"/>
  <c r="AB133" i="4"/>
  <c r="AA133" i="4"/>
  <c r="DK133" i="4"/>
  <c r="ET113" i="4"/>
  <c r="ET112" i="4"/>
  <c r="EC133" i="4"/>
  <c r="EA133" i="4"/>
  <c r="EB133" i="4"/>
  <c r="CU133" i="4"/>
  <c r="CV133" i="4"/>
  <c r="CN133" i="4"/>
  <c r="CF133" i="4"/>
  <c r="AR133" i="4"/>
  <c r="AS133" i="4"/>
  <c r="AK133" i="4"/>
  <c r="P133" i="4"/>
  <c r="FB92" i="4"/>
  <c r="FB85" i="4"/>
  <c r="Y53" i="4"/>
  <c r="B3" i="4" s="1"/>
  <c r="EW84" i="4"/>
  <c r="EX84" i="4" s="1"/>
  <c r="EY84" i="4" s="1"/>
  <c r="FB93" i="4"/>
  <c r="FB100" i="4"/>
  <c r="EW104" i="4"/>
  <c r="EX104" i="4" s="1"/>
  <c r="EY104" i="4" s="1"/>
  <c r="FB88" i="4"/>
  <c r="FB89" i="4"/>
  <c r="ET114" i="4"/>
  <c r="ET115" i="4"/>
  <c r="EW96" i="4"/>
  <c r="EX96" i="4" s="1"/>
  <c r="EY96" i="4" s="1"/>
  <c r="FB101" i="4"/>
  <c r="ET117" i="4"/>
  <c r="ET125" i="4"/>
  <c r="I133" i="4"/>
  <c r="Q133" i="4"/>
  <c r="Y133" i="4"/>
  <c r="AG133" i="4"/>
  <c r="AO133" i="4"/>
  <c r="AW133" i="4"/>
  <c r="BE133" i="4"/>
  <c r="BM133" i="4"/>
  <c r="BU133" i="4"/>
  <c r="CC133" i="4"/>
  <c r="CK133" i="4"/>
  <c r="CS133" i="4"/>
  <c r="DA133" i="4"/>
  <c r="DI133" i="4"/>
  <c r="DQ133" i="4"/>
  <c r="DY133" i="4"/>
  <c r="EG133" i="4"/>
  <c r="EO133" i="4"/>
  <c r="ET111" i="4"/>
  <c r="ET119" i="4"/>
  <c r="ET127" i="4"/>
  <c r="FB105" i="4"/>
  <c r="ET110" i="4"/>
  <c r="J133" i="4"/>
  <c r="R133" i="4"/>
  <c r="Z133" i="4"/>
  <c r="AH133" i="4"/>
  <c r="AP133" i="4"/>
  <c r="AX133" i="4"/>
  <c r="BF133" i="4"/>
  <c r="BN133" i="4"/>
  <c r="BV133" i="4"/>
  <c r="CD133" i="4"/>
  <c r="CL133" i="4"/>
  <c r="CT133" i="4"/>
  <c r="DB133" i="4"/>
  <c r="DJ133" i="4"/>
  <c r="DR133" i="4"/>
  <c r="DZ133" i="4"/>
  <c r="EH133" i="4"/>
  <c r="EP133" i="4"/>
  <c r="ET116" i="4"/>
  <c r="ET118" i="4"/>
  <c r="ET124" i="4"/>
  <c r="ET126" i="4"/>
  <c r="ET132" i="4"/>
  <c r="G133" i="4"/>
  <c r="O133" i="4"/>
  <c r="W133" i="4"/>
  <c r="AE133" i="4"/>
  <c r="AM133" i="4"/>
  <c r="AU133" i="4"/>
  <c r="BC133" i="4"/>
  <c r="BK133" i="4"/>
  <c r="BS133" i="4"/>
  <c r="CA133" i="4"/>
  <c r="CI133" i="4"/>
  <c r="CQ133" i="4"/>
  <c r="CY133" i="4"/>
  <c r="DG133" i="4"/>
  <c r="DO133" i="4"/>
  <c r="DW133" i="4"/>
  <c r="EE133" i="4"/>
  <c r="EM133" i="4"/>
  <c r="FB97" i="4"/>
  <c r="ET107" i="4"/>
  <c r="EX87" i="4"/>
  <c r="EY87" i="4" s="1"/>
  <c r="EW91" i="4"/>
  <c r="EX91" i="4" s="1"/>
  <c r="EY91" i="4" s="1"/>
  <c r="EW95" i="4"/>
  <c r="EX95" i="4" s="1"/>
  <c r="EY95" i="4" s="1"/>
  <c r="EW99" i="4"/>
  <c r="EX99" i="4" s="1"/>
  <c r="EY99" i="4" s="1"/>
  <c r="EW103" i="4"/>
  <c r="EX103" i="4" s="1"/>
  <c r="EY103" i="4" s="1"/>
  <c r="EW86" i="4"/>
  <c r="EX86" i="4" s="1"/>
  <c r="EY86" i="4" s="1"/>
  <c r="EW90" i="4"/>
  <c r="EX90" i="4" s="1"/>
  <c r="EY90" i="4" s="1"/>
  <c r="EW94" i="4"/>
  <c r="EX94" i="4" s="1"/>
  <c r="EY94" i="4" s="1"/>
  <c r="EW98" i="4"/>
  <c r="EX98" i="4" s="1"/>
  <c r="EY98" i="4" s="1"/>
  <c r="EW102" i="4"/>
  <c r="EX102" i="4" s="1"/>
  <c r="EY102" i="4" s="1"/>
  <c r="EW106" i="4"/>
  <c r="EX106" i="4" s="1"/>
  <c r="EY106" i="4" s="1"/>
  <c r="EP212" i="4"/>
  <c r="EH212" i="4"/>
  <c r="DZ212" i="4"/>
  <c r="DR212" i="4"/>
  <c r="DJ212" i="4"/>
  <c r="DB212" i="4"/>
  <c r="CT212" i="4"/>
  <c r="CL212" i="4"/>
  <c r="CD212" i="4"/>
  <c r="BV212" i="4"/>
  <c r="BN212" i="4"/>
  <c r="BF212" i="4"/>
  <c r="AX212" i="4"/>
  <c r="AP212" i="4"/>
  <c r="AH212" i="4"/>
  <c r="Z212" i="4"/>
  <c r="R212" i="4"/>
  <c r="J212" i="4"/>
  <c r="B212" i="4"/>
  <c r="EL211" i="4"/>
  <c r="ED211" i="4"/>
  <c r="DV211" i="4"/>
  <c r="DN211" i="4"/>
  <c r="DF211" i="4"/>
  <c r="CX211" i="4"/>
  <c r="CP211" i="4"/>
  <c r="CH211" i="4"/>
  <c r="BZ211" i="4"/>
  <c r="BR211" i="4"/>
  <c r="BJ211" i="4"/>
  <c r="BB211" i="4"/>
  <c r="AT211" i="4"/>
  <c r="AL211" i="4"/>
  <c r="AD211" i="4"/>
  <c r="V211" i="4"/>
  <c r="N211" i="4"/>
  <c r="F211" i="4"/>
  <c r="EP210" i="4"/>
  <c r="EH210" i="4"/>
  <c r="DZ210" i="4"/>
  <c r="DR210" i="4"/>
  <c r="DJ210" i="4"/>
  <c r="DB210" i="4"/>
  <c r="CT210" i="4"/>
  <c r="CL210" i="4"/>
  <c r="CD210" i="4"/>
  <c r="BV210" i="4"/>
  <c r="BN210" i="4"/>
  <c r="BF210" i="4"/>
  <c r="AX210" i="4"/>
  <c r="AP210" i="4"/>
  <c r="AH210" i="4"/>
  <c r="Z210" i="4"/>
  <c r="R210" i="4"/>
  <c r="J210" i="4"/>
  <c r="B210" i="4"/>
  <c r="EL209" i="4"/>
  <c r="ED209" i="4"/>
  <c r="DV209" i="4"/>
  <c r="DN209" i="4"/>
  <c r="DF209" i="4"/>
  <c r="CX209" i="4"/>
  <c r="CP209" i="4"/>
  <c r="CH209" i="4"/>
  <c r="BZ209" i="4"/>
  <c r="BR209" i="4"/>
  <c r="EO212" i="4"/>
  <c r="EG212" i="4"/>
  <c r="DY212" i="4"/>
  <c r="DQ212" i="4"/>
  <c r="DI212" i="4"/>
  <c r="DA212" i="4"/>
  <c r="CS212" i="4"/>
  <c r="CK212" i="4"/>
  <c r="CC212" i="4"/>
  <c r="BU212" i="4"/>
  <c r="BM212" i="4"/>
  <c r="BE212" i="4"/>
  <c r="AW212" i="4"/>
  <c r="AO212" i="4"/>
  <c r="AG212" i="4"/>
  <c r="Y212" i="4"/>
  <c r="Q212" i="4"/>
  <c r="I212" i="4"/>
  <c r="ES211" i="4"/>
  <c r="EK211" i="4"/>
  <c r="EC211" i="4"/>
  <c r="DU211" i="4"/>
  <c r="DM211" i="4"/>
  <c r="DE211" i="4"/>
  <c r="CW211" i="4"/>
  <c r="CO211" i="4"/>
  <c r="CG211" i="4"/>
  <c r="BY211" i="4"/>
  <c r="BQ211" i="4"/>
  <c r="BI211" i="4"/>
  <c r="BA211" i="4"/>
  <c r="AS211" i="4"/>
  <c r="AK211" i="4"/>
  <c r="AC211" i="4"/>
  <c r="U211" i="4"/>
  <c r="M211" i="4"/>
  <c r="E211" i="4"/>
  <c r="EO210" i="4"/>
  <c r="EG210" i="4"/>
  <c r="DY210" i="4"/>
  <c r="DQ210" i="4"/>
  <c r="DI210" i="4"/>
  <c r="DA210" i="4"/>
  <c r="CS210" i="4"/>
  <c r="CK210" i="4"/>
  <c r="CC210" i="4"/>
  <c r="BU210" i="4"/>
  <c r="BM210" i="4"/>
  <c r="BE210" i="4"/>
  <c r="AW210" i="4"/>
  <c r="AO210" i="4"/>
  <c r="AG210" i="4"/>
  <c r="Y210" i="4"/>
  <c r="Q210" i="4"/>
  <c r="I210" i="4"/>
  <c r="ES209" i="4"/>
  <c r="EK209" i="4"/>
  <c r="EC209" i="4"/>
  <c r="DU209" i="4"/>
  <c r="DM209" i="4"/>
  <c r="DE209" i="4"/>
  <c r="CW209" i="4"/>
  <c r="CO209" i="4"/>
  <c r="CG209" i="4"/>
  <c r="BY209" i="4"/>
  <c r="BQ209" i="4"/>
  <c r="EN212" i="4"/>
  <c r="EF212" i="4"/>
  <c r="DX212" i="4"/>
  <c r="DP212" i="4"/>
  <c r="DH212" i="4"/>
  <c r="CZ212" i="4"/>
  <c r="CR212" i="4"/>
  <c r="CJ212" i="4"/>
  <c r="CB212" i="4"/>
  <c r="BT212" i="4"/>
  <c r="BL212" i="4"/>
  <c r="BD212" i="4"/>
  <c r="AV212" i="4"/>
  <c r="AN212" i="4"/>
  <c r="AF212" i="4"/>
  <c r="X212" i="4"/>
  <c r="P212" i="4"/>
  <c r="H212" i="4"/>
  <c r="ER211" i="4"/>
  <c r="EJ211" i="4"/>
  <c r="EB211" i="4"/>
  <c r="DT211" i="4"/>
  <c r="DL211" i="4"/>
  <c r="DD211" i="4"/>
  <c r="CV211" i="4"/>
  <c r="CN211" i="4"/>
  <c r="CF211" i="4"/>
  <c r="BX211" i="4"/>
  <c r="BP211" i="4"/>
  <c r="BH211" i="4"/>
  <c r="AZ211" i="4"/>
  <c r="AR211" i="4"/>
  <c r="AJ211" i="4"/>
  <c r="AB211" i="4"/>
  <c r="T211" i="4"/>
  <c r="L211" i="4"/>
  <c r="D211" i="4"/>
  <c r="EN210" i="4"/>
  <c r="EF210" i="4"/>
  <c r="DX210" i="4"/>
  <c r="DP210" i="4"/>
  <c r="DH210" i="4"/>
  <c r="CZ210" i="4"/>
  <c r="CR210" i="4"/>
  <c r="CJ210" i="4"/>
  <c r="CB210" i="4"/>
  <c r="BT210" i="4"/>
  <c r="BL210" i="4"/>
  <c r="BD210" i="4"/>
  <c r="AV210" i="4"/>
  <c r="AN210" i="4"/>
  <c r="AF210" i="4"/>
  <c r="X210" i="4"/>
  <c r="P210" i="4"/>
  <c r="H210" i="4"/>
  <c r="ER209" i="4"/>
  <c r="EJ209" i="4"/>
  <c r="EB209" i="4"/>
  <c r="DT209" i="4"/>
  <c r="DL209" i="4"/>
  <c r="DD209" i="4"/>
  <c r="CV209" i="4"/>
  <c r="CN209" i="4"/>
  <c r="CF209" i="4"/>
  <c r="BX209" i="4"/>
  <c r="BP209" i="4"/>
  <c r="EM212" i="4"/>
  <c r="EE212" i="4"/>
  <c r="DW212" i="4"/>
  <c r="DO212" i="4"/>
  <c r="DG212" i="4"/>
  <c r="CY212" i="4"/>
  <c r="CQ212" i="4"/>
  <c r="CI212" i="4"/>
  <c r="CA212" i="4"/>
  <c r="BS212" i="4"/>
  <c r="BK212" i="4"/>
  <c r="BC212" i="4"/>
  <c r="AU212" i="4"/>
  <c r="AM212" i="4"/>
  <c r="AE212" i="4"/>
  <c r="W212" i="4"/>
  <c r="O212" i="4"/>
  <c r="G212" i="4"/>
  <c r="EQ211" i="4"/>
  <c r="EI211" i="4"/>
  <c r="EA211" i="4"/>
  <c r="DS211" i="4"/>
  <c r="DK211" i="4"/>
  <c r="DC211" i="4"/>
  <c r="CU211" i="4"/>
  <c r="CM211" i="4"/>
  <c r="CE211" i="4"/>
  <c r="BW211" i="4"/>
  <c r="BO211" i="4"/>
  <c r="BG211" i="4"/>
  <c r="AY211" i="4"/>
  <c r="AQ211" i="4"/>
  <c r="AI211" i="4"/>
  <c r="AA211" i="4"/>
  <c r="S211" i="4"/>
  <c r="K211" i="4"/>
  <c r="C211" i="4"/>
  <c r="EM210" i="4"/>
  <c r="EE210" i="4"/>
  <c r="DW210" i="4"/>
  <c r="DO210" i="4"/>
  <c r="DG210" i="4"/>
  <c r="CY210" i="4"/>
  <c r="CQ210" i="4"/>
  <c r="CI210" i="4"/>
  <c r="CA210" i="4"/>
  <c r="BS210" i="4"/>
  <c r="BK210" i="4"/>
  <c r="BC210" i="4"/>
  <c r="AU210" i="4"/>
  <c r="AM210" i="4"/>
  <c r="AE210" i="4"/>
  <c r="W210" i="4"/>
  <c r="O210" i="4"/>
  <c r="G210" i="4"/>
  <c r="EQ209" i="4"/>
  <c r="EI209" i="4"/>
  <c r="EA209" i="4"/>
  <c r="DS209" i="4"/>
  <c r="DK209" i="4"/>
  <c r="DC209" i="4"/>
  <c r="CU209" i="4"/>
  <c r="CM209" i="4"/>
  <c r="CE209" i="4"/>
  <c r="BW209" i="4"/>
  <c r="BO209" i="4"/>
  <c r="EL212" i="4"/>
  <c r="ED212" i="4"/>
  <c r="DV212" i="4"/>
  <c r="DN212" i="4"/>
  <c r="DF212" i="4"/>
  <c r="CX212" i="4"/>
  <c r="CP212" i="4"/>
  <c r="CH212" i="4"/>
  <c r="BZ212" i="4"/>
  <c r="BR212" i="4"/>
  <c r="BJ212" i="4"/>
  <c r="BB212" i="4"/>
  <c r="AT212" i="4"/>
  <c r="AL212" i="4"/>
  <c r="AD212" i="4"/>
  <c r="V212" i="4"/>
  <c r="N212" i="4"/>
  <c r="F212" i="4"/>
  <c r="EP211" i="4"/>
  <c r="EH211" i="4"/>
  <c r="DZ211" i="4"/>
  <c r="DR211" i="4"/>
  <c r="DJ211" i="4"/>
  <c r="DB211" i="4"/>
  <c r="CT211" i="4"/>
  <c r="CL211" i="4"/>
  <c r="CD211" i="4"/>
  <c r="BV211" i="4"/>
  <c r="BN211" i="4"/>
  <c r="BF211" i="4"/>
  <c r="AX211" i="4"/>
  <c r="AP211" i="4"/>
  <c r="AH211" i="4"/>
  <c r="Z211" i="4"/>
  <c r="R211" i="4"/>
  <c r="J211" i="4"/>
  <c r="B211" i="4"/>
  <c r="EL210" i="4"/>
  <c r="ED210" i="4"/>
  <c r="DV210" i="4"/>
  <c r="DN210" i="4"/>
  <c r="DF210" i="4"/>
  <c r="CX210" i="4"/>
  <c r="CP210" i="4"/>
  <c r="CH210" i="4"/>
  <c r="BZ210" i="4"/>
  <c r="BR210" i="4"/>
  <c r="BJ210" i="4"/>
  <c r="BB210" i="4"/>
  <c r="AT210" i="4"/>
  <c r="AL210" i="4"/>
  <c r="AD210" i="4"/>
  <c r="V210" i="4"/>
  <c r="N210" i="4"/>
  <c r="F210" i="4"/>
  <c r="EP209" i="4"/>
  <c r="EH209" i="4"/>
  <c r="DZ209" i="4"/>
  <c r="DR209" i="4"/>
  <c r="DJ209" i="4"/>
  <c r="DB209" i="4"/>
  <c r="CT209" i="4"/>
  <c r="CL209" i="4"/>
  <c r="CD209" i="4"/>
  <c r="BV209" i="4"/>
  <c r="BN209" i="4"/>
  <c r="ES212" i="4"/>
  <c r="EK212" i="4"/>
  <c r="EC212" i="4"/>
  <c r="DU212" i="4"/>
  <c r="DM212" i="4"/>
  <c r="DE212" i="4"/>
  <c r="CW212" i="4"/>
  <c r="CO212" i="4"/>
  <c r="CG212" i="4"/>
  <c r="BY212" i="4"/>
  <c r="BQ212" i="4"/>
  <c r="BI212" i="4"/>
  <c r="BA212" i="4"/>
  <c r="AS212" i="4"/>
  <c r="AK212" i="4"/>
  <c r="AC212" i="4"/>
  <c r="U212" i="4"/>
  <c r="M212" i="4"/>
  <c r="E212" i="4"/>
  <c r="EO211" i="4"/>
  <c r="EG211" i="4"/>
  <c r="DY211" i="4"/>
  <c r="DQ211" i="4"/>
  <c r="DI211" i="4"/>
  <c r="DA211" i="4"/>
  <c r="CS211" i="4"/>
  <c r="CK211" i="4"/>
  <c r="CC211" i="4"/>
  <c r="BU211" i="4"/>
  <c r="BM211" i="4"/>
  <c r="BE211" i="4"/>
  <c r="AW211" i="4"/>
  <c r="AO211" i="4"/>
  <c r="AG211" i="4"/>
  <c r="Y211" i="4"/>
  <c r="Q211" i="4"/>
  <c r="I211" i="4"/>
  <c r="ES210" i="4"/>
  <c r="EK210" i="4"/>
  <c r="EC210" i="4"/>
  <c r="DU210" i="4"/>
  <c r="DM210" i="4"/>
  <c r="DE210" i="4"/>
  <c r="CW210" i="4"/>
  <c r="CO210" i="4"/>
  <c r="CG210" i="4"/>
  <c r="BY210" i="4"/>
  <c r="BQ210" i="4"/>
  <c r="BI210" i="4"/>
  <c r="BA210" i="4"/>
  <c r="AS210" i="4"/>
  <c r="AK210" i="4"/>
  <c r="AC210" i="4"/>
  <c r="U210" i="4"/>
  <c r="M210" i="4"/>
  <c r="E210" i="4"/>
  <c r="EO209" i="4"/>
  <c r="EG209" i="4"/>
  <c r="DY209" i="4"/>
  <c r="DQ209" i="4"/>
  <c r="DI209" i="4"/>
  <c r="DA209" i="4"/>
  <c r="CS209" i="4"/>
  <c r="CK209" i="4"/>
  <c r="CC209" i="4"/>
  <c r="BU209" i="4"/>
  <c r="BM209" i="4"/>
  <c r="ER212" i="4"/>
  <c r="EJ212" i="4"/>
  <c r="EB212" i="4"/>
  <c r="DT212" i="4"/>
  <c r="DL212" i="4"/>
  <c r="DD212" i="4"/>
  <c r="CV212" i="4"/>
  <c r="CN212" i="4"/>
  <c r="CF212" i="4"/>
  <c r="BX212" i="4"/>
  <c r="BP212" i="4"/>
  <c r="BH212" i="4"/>
  <c r="AZ212" i="4"/>
  <c r="AR212" i="4"/>
  <c r="AJ212" i="4"/>
  <c r="AB212" i="4"/>
  <c r="T212" i="4"/>
  <c r="L212" i="4"/>
  <c r="D212" i="4"/>
  <c r="EN211" i="4"/>
  <c r="EF211" i="4"/>
  <c r="DX211" i="4"/>
  <c r="DP211" i="4"/>
  <c r="DH211" i="4"/>
  <c r="CZ211" i="4"/>
  <c r="CR211" i="4"/>
  <c r="CJ211" i="4"/>
  <c r="CB211" i="4"/>
  <c r="BT211" i="4"/>
  <c r="BL211" i="4"/>
  <c r="BD211" i="4"/>
  <c r="AV211" i="4"/>
  <c r="AN211" i="4"/>
  <c r="AF211" i="4"/>
  <c r="X211" i="4"/>
  <c r="P211" i="4"/>
  <c r="H211" i="4"/>
  <c r="ER210" i="4"/>
  <c r="EJ210" i="4"/>
  <c r="EB210" i="4"/>
  <c r="DT210" i="4"/>
  <c r="DL210" i="4"/>
  <c r="DD210" i="4"/>
  <c r="CV210" i="4"/>
  <c r="CN210" i="4"/>
  <c r="CF210" i="4"/>
  <c r="BX210" i="4"/>
  <c r="BP210" i="4"/>
  <c r="BH210" i="4"/>
  <c r="AZ210" i="4"/>
  <c r="AR210" i="4"/>
  <c r="AJ210" i="4"/>
  <c r="AB210" i="4"/>
  <c r="T210" i="4"/>
  <c r="L210" i="4"/>
  <c r="D210" i="4"/>
  <c r="EN209" i="4"/>
  <c r="EF209" i="4"/>
  <c r="DX209" i="4"/>
  <c r="DP209" i="4"/>
  <c r="DH209" i="4"/>
  <c r="CZ209" i="4"/>
  <c r="CR209" i="4"/>
  <c r="CJ209" i="4"/>
  <c r="CB209" i="4"/>
  <c r="BT209" i="4"/>
  <c r="BL209" i="4"/>
  <c r="EQ212" i="4"/>
  <c r="EI212" i="4"/>
  <c r="EA212" i="4"/>
  <c r="DS212" i="4"/>
  <c r="DK212" i="4"/>
  <c r="DC212" i="4"/>
  <c r="CU212" i="4"/>
  <c r="CM212" i="4"/>
  <c r="CE212" i="4"/>
  <c r="BW212" i="4"/>
  <c r="BO212" i="4"/>
  <c r="BG212" i="4"/>
  <c r="AY212" i="4"/>
  <c r="AQ212" i="4"/>
  <c r="AI212" i="4"/>
  <c r="AA212" i="4"/>
  <c r="S212" i="4"/>
  <c r="K212" i="4"/>
  <c r="C212" i="4"/>
  <c r="EM211" i="4"/>
  <c r="EE211" i="4"/>
  <c r="DW211" i="4"/>
  <c r="DO211" i="4"/>
  <c r="DG211" i="4"/>
  <c r="CY211" i="4"/>
  <c r="CQ211" i="4"/>
  <c r="CI211" i="4"/>
  <c r="CA211" i="4"/>
  <c r="BS211" i="4"/>
  <c r="BK211" i="4"/>
  <c r="BC211" i="4"/>
  <c r="AU211" i="4"/>
  <c r="AM211" i="4"/>
  <c r="AE211" i="4"/>
  <c r="W211" i="4"/>
  <c r="O211" i="4"/>
  <c r="G211" i="4"/>
  <c r="EQ210" i="4"/>
  <c r="EI210" i="4"/>
  <c r="EA210" i="4"/>
  <c r="DS210" i="4"/>
  <c r="DK210" i="4"/>
  <c r="DC210" i="4"/>
  <c r="CU210" i="4"/>
  <c r="CM210" i="4"/>
  <c r="CE210" i="4"/>
  <c r="BW210" i="4"/>
  <c r="BO210" i="4"/>
  <c r="BG210" i="4"/>
  <c r="AY210" i="4"/>
  <c r="AQ210" i="4"/>
  <c r="AI210" i="4"/>
  <c r="AA210" i="4"/>
  <c r="S210" i="4"/>
  <c r="K210" i="4"/>
  <c r="C210" i="4"/>
  <c r="EM209" i="4"/>
  <c r="EE209" i="4"/>
  <c r="DW209" i="4"/>
  <c r="DO209" i="4"/>
  <c r="DG209" i="4"/>
  <c r="CY209" i="4"/>
  <c r="CQ209" i="4"/>
  <c r="CI209" i="4"/>
  <c r="CA209" i="4"/>
  <c r="BS209" i="4"/>
  <c r="BK209" i="4"/>
  <c r="BJ209" i="4"/>
  <c r="BB209" i="4"/>
  <c r="AT209" i="4"/>
  <c r="AL209" i="4"/>
  <c r="AD209" i="4"/>
  <c r="V209" i="4"/>
  <c r="N209" i="4"/>
  <c r="F209" i="4"/>
  <c r="EP208" i="4"/>
  <c r="EH208" i="4"/>
  <c r="DZ208" i="4"/>
  <c r="DR208" i="4"/>
  <c r="DJ208" i="4"/>
  <c r="DB208" i="4"/>
  <c r="CT208" i="4"/>
  <c r="CL208" i="4"/>
  <c r="CD208" i="4"/>
  <c r="BV208" i="4"/>
  <c r="BN208" i="4"/>
  <c r="BF208" i="4"/>
  <c r="AX208" i="4"/>
  <c r="AP208" i="4"/>
  <c r="AH208" i="4"/>
  <c r="Z208" i="4"/>
  <c r="R208" i="4"/>
  <c r="J208" i="4"/>
  <c r="B208" i="4"/>
  <c r="EL207" i="4"/>
  <c r="ED207" i="4"/>
  <c r="DV207" i="4"/>
  <c r="DN207" i="4"/>
  <c r="DF207" i="4"/>
  <c r="CX207" i="4"/>
  <c r="CP207" i="4"/>
  <c r="CH207" i="4"/>
  <c r="BZ207" i="4"/>
  <c r="BR207" i="4"/>
  <c r="BJ207" i="4"/>
  <c r="BB207" i="4"/>
  <c r="AT207" i="4"/>
  <c r="AL207" i="4"/>
  <c r="AD207" i="4"/>
  <c r="V207" i="4"/>
  <c r="N207" i="4"/>
  <c r="F207" i="4"/>
  <c r="EP206" i="4"/>
  <c r="EH206" i="4"/>
  <c r="DZ206" i="4"/>
  <c r="DR206" i="4"/>
  <c r="DJ206" i="4"/>
  <c r="DB206" i="4"/>
  <c r="CT206" i="4"/>
  <c r="CL206" i="4"/>
  <c r="CD206" i="4"/>
  <c r="BV206" i="4"/>
  <c r="BN206" i="4"/>
  <c r="BF206" i="4"/>
  <c r="AX206" i="4"/>
  <c r="AP206" i="4"/>
  <c r="AH206" i="4"/>
  <c r="Z206" i="4"/>
  <c r="R206" i="4"/>
  <c r="J206" i="4"/>
  <c r="B206" i="4"/>
  <c r="EL205" i="4"/>
  <c r="ED205" i="4"/>
  <c r="DV205" i="4"/>
  <c r="DN205" i="4"/>
  <c r="DF205" i="4"/>
  <c r="CX205" i="4"/>
  <c r="CP205" i="4"/>
  <c r="CH205" i="4"/>
  <c r="BZ205" i="4"/>
  <c r="BR205" i="4"/>
  <c r="BJ205" i="4"/>
  <c r="BB205" i="4"/>
  <c r="AT205" i="4"/>
  <c r="AL205" i="4"/>
  <c r="AD205" i="4"/>
  <c r="V205" i="4"/>
  <c r="N205" i="4"/>
  <c r="F205" i="4"/>
  <c r="EP204" i="4"/>
  <c r="EH204" i="4"/>
  <c r="DZ204" i="4"/>
  <c r="DR204" i="4"/>
  <c r="DJ204" i="4"/>
  <c r="DB204" i="4"/>
  <c r="CT204" i="4"/>
  <c r="CL204" i="4"/>
  <c r="CD204" i="4"/>
  <c r="BV204" i="4"/>
  <c r="BN204" i="4"/>
  <c r="BF204" i="4"/>
  <c r="AX204" i="4"/>
  <c r="AP204" i="4"/>
  <c r="AH204" i="4"/>
  <c r="Z204" i="4"/>
  <c r="R204" i="4"/>
  <c r="J204" i="4"/>
  <c r="B204" i="4"/>
  <c r="EL203" i="4"/>
  <c r="ED203" i="4"/>
  <c r="DV203" i="4"/>
  <c r="DN203" i="4"/>
  <c r="DF203" i="4"/>
  <c r="CX203" i="4"/>
  <c r="CP203" i="4"/>
  <c r="CH203" i="4"/>
  <c r="BZ203" i="4"/>
  <c r="BR203" i="4"/>
  <c r="BJ203" i="4"/>
  <c r="BB203" i="4"/>
  <c r="AT203" i="4"/>
  <c r="AL203" i="4"/>
  <c r="AD203" i="4"/>
  <c r="V203" i="4"/>
  <c r="N203" i="4"/>
  <c r="F203" i="4"/>
  <c r="EP202" i="4"/>
  <c r="EH202" i="4"/>
  <c r="DZ202" i="4"/>
  <c r="DR202" i="4"/>
  <c r="DJ202" i="4"/>
  <c r="DB202" i="4"/>
  <c r="CT202" i="4"/>
  <c r="CL202" i="4"/>
  <c r="CD202" i="4"/>
  <c r="BV202" i="4"/>
  <c r="BN202" i="4"/>
  <c r="BF202" i="4"/>
  <c r="AX202" i="4"/>
  <c r="AP202" i="4"/>
  <c r="AH202" i="4"/>
  <c r="Z202" i="4"/>
  <c r="R202" i="4"/>
  <c r="J202" i="4"/>
  <c r="B202" i="4"/>
  <c r="EL201" i="4"/>
  <c r="ED201" i="4"/>
  <c r="DV201" i="4"/>
  <c r="DN201" i="4"/>
  <c r="DF201" i="4"/>
  <c r="CX201" i="4"/>
  <c r="CP201" i="4"/>
  <c r="CH201" i="4"/>
  <c r="BZ201" i="4"/>
  <c r="BR201" i="4"/>
  <c r="BJ201" i="4"/>
  <c r="BB201" i="4"/>
  <c r="AT201" i="4"/>
  <c r="AL201" i="4"/>
  <c r="AD201" i="4"/>
  <c r="V201" i="4"/>
  <c r="N201" i="4"/>
  <c r="F201" i="4"/>
  <c r="EP200" i="4"/>
  <c r="EH200" i="4"/>
  <c r="DZ200" i="4"/>
  <c r="DR200" i="4"/>
  <c r="DJ200" i="4"/>
  <c r="DB200" i="4"/>
  <c r="CT200" i="4"/>
  <c r="CL200" i="4"/>
  <c r="CD200" i="4"/>
  <c r="BV200" i="4"/>
  <c r="BN200" i="4"/>
  <c r="BF200" i="4"/>
  <c r="AX200" i="4"/>
  <c r="AP200" i="4"/>
  <c r="BH209" i="4"/>
  <c r="AZ209" i="4"/>
  <c r="AR209" i="4"/>
  <c r="AJ209" i="4"/>
  <c r="AB209" i="4"/>
  <c r="T209" i="4"/>
  <c r="L209" i="4"/>
  <c r="D209" i="4"/>
  <c r="EN208" i="4"/>
  <c r="EF208" i="4"/>
  <c r="DX208" i="4"/>
  <c r="DP208" i="4"/>
  <c r="DH208" i="4"/>
  <c r="CZ208" i="4"/>
  <c r="CR208" i="4"/>
  <c r="CJ208" i="4"/>
  <c r="CB208" i="4"/>
  <c r="BT208" i="4"/>
  <c r="BL208" i="4"/>
  <c r="BD208" i="4"/>
  <c r="AV208" i="4"/>
  <c r="AN208" i="4"/>
  <c r="AF208" i="4"/>
  <c r="X208" i="4"/>
  <c r="P208" i="4"/>
  <c r="H208" i="4"/>
  <c r="ER207" i="4"/>
  <c r="EJ207" i="4"/>
  <c r="EB207" i="4"/>
  <c r="DT207" i="4"/>
  <c r="DL207" i="4"/>
  <c r="DD207" i="4"/>
  <c r="CV207" i="4"/>
  <c r="CN207" i="4"/>
  <c r="CF207" i="4"/>
  <c r="BX207" i="4"/>
  <c r="BP207" i="4"/>
  <c r="BH207" i="4"/>
  <c r="AZ207" i="4"/>
  <c r="AR207" i="4"/>
  <c r="AJ207" i="4"/>
  <c r="AB207" i="4"/>
  <c r="T207" i="4"/>
  <c r="L207" i="4"/>
  <c r="D207" i="4"/>
  <c r="EN206" i="4"/>
  <c r="EF206" i="4"/>
  <c r="DX206" i="4"/>
  <c r="DP206" i="4"/>
  <c r="DH206" i="4"/>
  <c r="CZ206" i="4"/>
  <c r="CR206" i="4"/>
  <c r="CJ206" i="4"/>
  <c r="CB206" i="4"/>
  <c r="BT206" i="4"/>
  <c r="BL206" i="4"/>
  <c r="BD206" i="4"/>
  <c r="AV206" i="4"/>
  <c r="AN206" i="4"/>
  <c r="AF206" i="4"/>
  <c r="X206" i="4"/>
  <c r="P206" i="4"/>
  <c r="H206" i="4"/>
  <c r="ER205" i="4"/>
  <c r="EJ205" i="4"/>
  <c r="EB205" i="4"/>
  <c r="DT205" i="4"/>
  <c r="DL205" i="4"/>
  <c r="DD205" i="4"/>
  <c r="CV205" i="4"/>
  <c r="CN205" i="4"/>
  <c r="CF205" i="4"/>
  <c r="BX205" i="4"/>
  <c r="BP205" i="4"/>
  <c r="BH205" i="4"/>
  <c r="AZ205" i="4"/>
  <c r="AR205" i="4"/>
  <c r="AJ205" i="4"/>
  <c r="AB205" i="4"/>
  <c r="T205" i="4"/>
  <c r="L205" i="4"/>
  <c r="D205" i="4"/>
  <c r="EN204" i="4"/>
  <c r="EF204" i="4"/>
  <c r="DX204" i="4"/>
  <c r="DP204" i="4"/>
  <c r="DH204" i="4"/>
  <c r="CZ204" i="4"/>
  <c r="CR204" i="4"/>
  <c r="CJ204" i="4"/>
  <c r="CB204" i="4"/>
  <c r="BT204" i="4"/>
  <c r="BL204" i="4"/>
  <c r="BD204" i="4"/>
  <c r="AV204" i="4"/>
  <c r="AN204" i="4"/>
  <c r="AF204" i="4"/>
  <c r="X204" i="4"/>
  <c r="P204" i="4"/>
  <c r="H204" i="4"/>
  <c r="ER203" i="4"/>
  <c r="EJ203" i="4"/>
  <c r="EB203" i="4"/>
  <c r="DT203" i="4"/>
  <c r="DL203" i="4"/>
  <c r="DD203" i="4"/>
  <c r="CV203" i="4"/>
  <c r="CN203" i="4"/>
  <c r="CF203" i="4"/>
  <c r="BX203" i="4"/>
  <c r="BP203" i="4"/>
  <c r="BH203" i="4"/>
  <c r="AZ203" i="4"/>
  <c r="AR203" i="4"/>
  <c r="AJ203" i="4"/>
  <c r="AB203" i="4"/>
  <c r="T203" i="4"/>
  <c r="L203" i="4"/>
  <c r="D203" i="4"/>
  <c r="EN202" i="4"/>
  <c r="EF202" i="4"/>
  <c r="DX202" i="4"/>
  <c r="DP202" i="4"/>
  <c r="DH202" i="4"/>
  <c r="CZ202" i="4"/>
  <c r="CR202" i="4"/>
  <c r="CJ202" i="4"/>
  <c r="CB202" i="4"/>
  <c r="BT202" i="4"/>
  <c r="BL202" i="4"/>
  <c r="BD202" i="4"/>
  <c r="AV202" i="4"/>
  <c r="AN202" i="4"/>
  <c r="AF202" i="4"/>
  <c r="X202" i="4"/>
  <c r="P202" i="4"/>
  <c r="H202" i="4"/>
  <c r="ER201" i="4"/>
  <c r="EJ201" i="4"/>
  <c r="EB201" i="4"/>
  <c r="DT201" i="4"/>
  <c r="DL201" i="4"/>
  <c r="DD201" i="4"/>
  <c r="CV201" i="4"/>
  <c r="CN201" i="4"/>
  <c r="BF209" i="4"/>
  <c r="AX209" i="4"/>
  <c r="AP209" i="4"/>
  <c r="AH209" i="4"/>
  <c r="Z209" i="4"/>
  <c r="R209" i="4"/>
  <c r="J209" i="4"/>
  <c r="B209" i="4"/>
  <c r="EL208" i="4"/>
  <c r="ED208" i="4"/>
  <c r="DV208" i="4"/>
  <c r="DN208" i="4"/>
  <c r="DF208" i="4"/>
  <c r="CX208" i="4"/>
  <c r="CP208" i="4"/>
  <c r="CH208" i="4"/>
  <c r="BZ208" i="4"/>
  <c r="BR208" i="4"/>
  <c r="BJ208" i="4"/>
  <c r="BB208" i="4"/>
  <c r="AT208" i="4"/>
  <c r="AL208" i="4"/>
  <c r="AD208" i="4"/>
  <c r="V208" i="4"/>
  <c r="N208" i="4"/>
  <c r="F208" i="4"/>
  <c r="EP207" i="4"/>
  <c r="EH207" i="4"/>
  <c r="DZ207" i="4"/>
  <c r="DR207" i="4"/>
  <c r="DJ207" i="4"/>
  <c r="DB207" i="4"/>
  <c r="CT207" i="4"/>
  <c r="CL207" i="4"/>
  <c r="CD207" i="4"/>
  <c r="BV207" i="4"/>
  <c r="BN207" i="4"/>
  <c r="BF207" i="4"/>
  <c r="AX207" i="4"/>
  <c r="AP207" i="4"/>
  <c r="AH207" i="4"/>
  <c r="Z207" i="4"/>
  <c r="R207" i="4"/>
  <c r="J207" i="4"/>
  <c r="B207" i="4"/>
  <c r="EL206" i="4"/>
  <c r="ED206" i="4"/>
  <c r="DV206" i="4"/>
  <c r="DN206" i="4"/>
  <c r="DF206" i="4"/>
  <c r="CX206" i="4"/>
  <c r="CP206" i="4"/>
  <c r="CH206" i="4"/>
  <c r="BZ206" i="4"/>
  <c r="BR206" i="4"/>
  <c r="BJ206" i="4"/>
  <c r="BB206" i="4"/>
  <c r="AT206" i="4"/>
  <c r="AL206" i="4"/>
  <c r="AD206" i="4"/>
  <c r="V206" i="4"/>
  <c r="N206" i="4"/>
  <c r="F206" i="4"/>
  <c r="EP205" i="4"/>
  <c r="EH205" i="4"/>
  <c r="DZ205" i="4"/>
  <c r="DR205" i="4"/>
  <c r="DJ205" i="4"/>
  <c r="DB205" i="4"/>
  <c r="CT205" i="4"/>
  <c r="CL205" i="4"/>
  <c r="CD205" i="4"/>
  <c r="BV205" i="4"/>
  <c r="BN205" i="4"/>
  <c r="BF205" i="4"/>
  <c r="AX205" i="4"/>
  <c r="AP205" i="4"/>
  <c r="AH205" i="4"/>
  <c r="Z205" i="4"/>
  <c r="R205" i="4"/>
  <c r="J205" i="4"/>
  <c r="B205" i="4"/>
  <c r="EL204" i="4"/>
  <c r="ED204" i="4"/>
  <c r="DV204" i="4"/>
  <c r="DN204" i="4"/>
  <c r="DF204" i="4"/>
  <c r="CX204" i="4"/>
  <c r="CP204" i="4"/>
  <c r="CH204" i="4"/>
  <c r="BZ204" i="4"/>
  <c r="BR204" i="4"/>
  <c r="BJ204" i="4"/>
  <c r="BB204" i="4"/>
  <c r="AT204" i="4"/>
  <c r="AL204" i="4"/>
  <c r="AD204" i="4"/>
  <c r="V204" i="4"/>
  <c r="N204" i="4"/>
  <c r="F204" i="4"/>
  <c r="EP203" i="4"/>
  <c r="EH203" i="4"/>
  <c r="DZ203" i="4"/>
  <c r="DR203" i="4"/>
  <c r="DJ203" i="4"/>
  <c r="DB203" i="4"/>
  <c r="CT203" i="4"/>
  <c r="CL203" i="4"/>
  <c r="CD203" i="4"/>
  <c r="BV203" i="4"/>
  <c r="BN203" i="4"/>
  <c r="BF203" i="4"/>
  <c r="AX203" i="4"/>
  <c r="AP203" i="4"/>
  <c r="AH203" i="4"/>
  <c r="Z203" i="4"/>
  <c r="R203" i="4"/>
  <c r="J203" i="4"/>
  <c r="B203" i="4"/>
  <c r="EL202" i="4"/>
  <c r="ED202" i="4"/>
  <c r="DV202" i="4"/>
  <c r="DN202" i="4"/>
  <c r="DF202" i="4"/>
  <c r="CX202" i="4"/>
  <c r="CP202" i="4"/>
  <c r="CH202" i="4"/>
  <c r="BZ202" i="4"/>
  <c r="BR202" i="4"/>
  <c r="BJ202" i="4"/>
  <c r="BB202" i="4"/>
  <c r="AT202" i="4"/>
  <c r="AL202" i="4"/>
  <c r="AD202" i="4"/>
  <c r="V202" i="4"/>
  <c r="N202" i="4"/>
  <c r="F202" i="4"/>
  <c r="EP201" i="4"/>
  <c r="EH201" i="4"/>
  <c r="DZ201" i="4"/>
  <c r="DR201" i="4"/>
  <c r="DJ201" i="4"/>
  <c r="DB201" i="4"/>
  <c r="CT201" i="4"/>
  <c r="CL201" i="4"/>
  <c r="BE209" i="4"/>
  <c r="AW209" i="4"/>
  <c r="AO209" i="4"/>
  <c r="AG209" i="4"/>
  <c r="Y209" i="4"/>
  <c r="Q209" i="4"/>
  <c r="I209" i="4"/>
  <c r="ES208" i="4"/>
  <c r="EK208" i="4"/>
  <c r="EC208" i="4"/>
  <c r="DU208" i="4"/>
  <c r="DM208" i="4"/>
  <c r="DE208" i="4"/>
  <c r="CW208" i="4"/>
  <c r="CO208" i="4"/>
  <c r="CG208" i="4"/>
  <c r="BY208" i="4"/>
  <c r="BQ208" i="4"/>
  <c r="BI208" i="4"/>
  <c r="BA208" i="4"/>
  <c r="AS208" i="4"/>
  <c r="AK208" i="4"/>
  <c r="AC208" i="4"/>
  <c r="U208" i="4"/>
  <c r="M208" i="4"/>
  <c r="E208" i="4"/>
  <c r="EO207" i="4"/>
  <c r="EG207" i="4"/>
  <c r="DY207" i="4"/>
  <c r="DQ207" i="4"/>
  <c r="DI207" i="4"/>
  <c r="DA207" i="4"/>
  <c r="CS207" i="4"/>
  <c r="CK207" i="4"/>
  <c r="CC207" i="4"/>
  <c r="BU207" i="4"/>
  <c r="BM207" i="4"/>
  <c r="BE207" i="4"/>
  <c r="AW207" i="4"/>
  <c r="AO207" i="4"/>
  <c r="AG207" i="4"/>
  <c r="Y207" i="4"/>
  <c r="Q207" i="4"/>
  <c r="I207" i="4"/>
  <c r="ES206" i="4"/>
  <c r="EK206" i="4"/>
  <c r="EC206" i="4"/>
  <c r="DU206" i="4"/>
  <c r="DM206" i="4"/>
  <c r="DE206" i="4"/>
  <c r="CW206" i="4"/>
  <c r="CO206" i="4"/>
  <c r="CG206" i="4"/>
  <c r="BY206" i="4"/>
  <c r="BQ206" i="4"/>
  <c r="BI206" i="4"/>
  <c r="BA206" i="4"/>
  <c r="AS206" i="4"/>
  <c r="AK206" i="4"/>
  <c r="AC206" i="4"/>
  <c r="U206" i="4"/>
  <c r="M206" i="4"/>
  <c r="E206" i="4"/>
  <c r="EO205" i="4"/>
  <c r="EG205" i="4"/>
  <c r="DY205" i="4"/>
  <c r="DQ205" i="4"/>
  <c r="DI205" i="4"/>
  <c r="DA205" i="4"/>
  <c r="CS205" i="4"/>
  <c r="CK205" i="4"/>
  <c r="CC205" i="4"/>
  <c r="BU205" i="4"/>
  <c r="BM205" i="4"/>
  <c r="BE205" i="4"/>
  <c r="AW205" i="4"/>
  <c r="AO205" i="4"/>
  <c r="AG205" i="4"/>
  <c r="Y205" i="4"/>
  <c r="Q205" i="4"/>
  <c r="I205" i="4"/>
  <c r="ES204" i="4"/>
  <c r="EK204" i="4"/>
  <c r="EC204" i="4"/>
  <c r="DU204" i="4"/>
  <c r="DM204" i="4"/>
  <c r="DE204" i="4"/>
  <c r="CW204" i="4"/>
  <c r="CO204" i="4"/>
  <c r="CG204" i="4"/>
  <c r="BY204" i="4"/>
  <c r="BQ204" i="4"/>
  <c r="BI204" i="4"/>
  <c r="BA204" i="4"/>
  <c r="AS204" i="4"/>
  <c r="AK204" i="4"/>
  <c r="AC204" i="4"/>
  <c r="U204" i="4"/>
  <c r="M204" i="4"/>
  <c r="E204" i="4"/>
  <c r="EO203" i="4"/>
  <c r="EG203" i="4"/>
  <c r="DY203" i="4"/>
  <c r="DQ203" i="4"/>
  <c r="DI203" i="4"/>
  <c r="DA203" i="4"/>
  <c r="CS203" i="4"/>
  <c r="CK203" i="4"/>
  <c r="CC203" i="4"/>
  <c r="BU203" i="4"/>
  <c r="BM203" i="4"/>
  <c r="BE203" i="4"/>
  <c r="AW203" i="4"/>
  <c r="AO203" i="4"/>
  <c r="AG203" i="4"/>
  <c r="Y203" i="4"/>
  <c r="Q203" i="4"/>
  <c r="I203" i="4"/>
  <c r="ES202" i="4"/>
  <c r="EK202" i="4"/>
  <c r="BD209" i="4"/>
  <c r="AV209" i="4"/>
  <c r="AN209" i="4"/>
  <c r="AF209" i="4"/>
  <c r="X209" i="4"/>
  <c r="P209" i="4"/>
  <c r="H209" i="4"/>
  <c r="ER208" i="4"/>
  <c r="EJ208" i="4"/>
  <c r="EB208" i="4"/>
  <c r="DT208" i="4"/>
  <c r="DL208" i="4"/>
  <c r="DD208" i="4"/>
  <c r="CV208" i="4"/>
  <c r="CN208" i="4"/>
  <c r="CF208" i="4"/>
  <c r="BX208" i="4"/>
  <c r="BP208" i="4"/>
  <c r="BH208" i="4"/>
  <c r="AZ208" i="4"/>
  <c r="AR208" i="4"/>
  <c r="AJ208" i="4"/>
  <c r="AB208" i="4"/>
  <c r="T208" i="4"/>
  <c r="L208" i="4"/>
  <c r="D208" i="4"/>
  <c r="EN207" i="4"/>
  <c r="EF207" i="4"/>
  <c r="DX207" i="4"/>
  <c r="DP207" i="4"/>
  <c r="DH207" i="4"/>
  <c r="CZ207" i="4"/>
  <c r="CR207" i="4"/>
  <c r="CJ207" i="4"/>
  <c r="CB207" i="4"/>
  <c r="BT207" i="4"/>
  <c r="BL207" i="4"/>
  <c r="BD207" i="4"/>
  <c r="AV207" i="4"/>
  <c r="AN207" i="4"/>
  <c r="AF207" i="4"/>
  <c r="X207" i="4"/>
  <c r="P207" i="4"/>
  <c r="H207" i="4"/>
  <c r="ER206" i="4"/>
  <c r="EJ206" i="4"/>
  <c r="EB206" i="4"/>
  <c r="DT206" i="4"/>
  <c r="DL206" i="4"/>
  <c r="DD206" i="4"/>
  <c r="CV206" i="4"/>
  <c r="CN206" i="4"/>
  <c r="CF206" i="4"/>
  <c r="BX206" i="4"/>
  <c r="BP206" i="4"/>
  <c r="BH206" i="4"/>
  <c r="AZ206" i="4"/>
  <c r="AR206" i="4"/>
  <c r="AJ206" i="4"/>
  <c r="AB206" i="4"/>
  <c r="T206" i="4"/>
  <c r="L206" i="4"/>
  <c r="D206" i="4"/>
  <c r="EN205" i="4"/>
  <c r="EF205" i="4"/>
  <c r="DX205" i="4"/>
  <c r="DP205" i="4"/>
  <c r="DH205" i="4"/>
  <c r="CZ205" i="4"/>
  <c r="CR205" i="4"/>
  <c r="CJ205" i="4"/>
  <c r="CB205" i="4"/>
  <c r="BT205" i="4"/>
  <c r="BL205" i="4"/>
  <c r="BD205" i="4"/>
  <c r="AV205" i="4"/>
  <c r="AN205" i="4"/>
  <c r="AF205" i="4"/>
  <c r="X205" i="4"/>
  <c r="P205" i="4"/>
  <c r="H205" i="4"/>
  <c r="ER204" i="4"/>
  <c r="EJ204" i="4"/>
  <c r="EB204" i="4"/>
  <c r="DT204" i="4"/>
  <c r="DL204" i="4"/>
  <c r="DD204" i="4"/>
  <c r="CV204" i="4"/>
  <c r="CN204" i="4"/>
  <c r="CF204" i="4"/>
  <c r="BX204" i="4"/>
  <c r="BP204" i="4"/>
  <c r="BH204" i="4"/>
  <c r="BI209" i="4"/>
  <c r="AM209" i="4"/>
  <c r="S209" i="4"/>
  <c r="EO208" i="4"/>
  <c r="DS208" i="4"/>
  <c r="CY208" i="4"/>
  <c r="CC208" i="4"/>
  <c r="BG208" i="4"/>
  <c r="AM208" i="4"/>
  <c r="Q208" i="4"/>
  <c r="EM207" i="4"/>
  <c r="DS207" i="4"/>
  <c r="CW207" i="4"/>
  <c r="CA207" i="4"/>
  <c r="BG207" i="4"/>
  <c r="AK207" i="4"/>
  <c r="O207" i="4"/>
  <c r="EM206" i="4"/>
  <c r="DQ206" i="4"/>
  <c r="CU206" i="4"/>
  <c r="CA206" i="4"/>
  <c r="BE206" i="4"/>
  <c r="AI206" i="4"/>
  <c r="O206" i="4"/>
  <c r="EK205" i="4"/>
  <c r="DO205" i="4"/>
  <c r="CU205" i="4"/>
  <c r="BY205" i="4"/>
  <c r="BC205" i="4"/>
  <c r="AI205" i="4"/>
  <c r="M205" i="4"/>
  <c r="EI204" i="4"/>
  <c r="DO204" i="4"/>
  <c r="CS204" i="4"/>
  <c r="BW204" i="4"/>
  <c r="BC204" i="4"/>
  <c r="AM204" i="4"/>
  <c r="W204" i="4"/>
  <c r="G204" i="4"/>
  <c r="EI203" i="4"/>
  <c r="DS203" i="4"/>
  <c r="DC203" i="4"/>
  <c r="CM203" i="4"/>
  <c r="BW203" i="4"/>
  <c r="BG203" i="4"/>
  <c r="AQ203" i="4"/>
  <c r="AA203" i="4"/>
  <c r="K203" i="4"/>
  <c r="EM202" i="4"/>
  <c r="DY202" i="4"/>
  <c r="DL202" i="4"/>
  <c r="CY202" i="4"/>
  <c r="CM202" i="4"/>
  <c r="BY202" i="4"/>
  <c r="BM202" i="4"/>
  <c r="AZ202" i="4"/>
  <c r="AM202" i="4"/>
  <c r="AA202" i="4"/>
  <c r="M202" i="4"/>
  <c r="ES201" i="4"/>
  <c r="EF201" i="4"/>
  <c r="DS201" i="4"/>
  <c r="DG201" i="4"/>
  <c r="CS201" i="4"/>
  <c r="CG201" i="4"/>
  <c r="BX201" i="4"/>
  <c r="BO201" i="4"/>
  <c r="BF201" i="4"/>
  <c r="AW201" i="4"/>
  <c r="AN201" i="4"/>
  <c r="AE201" i="4"/>
  <c r="U201" i="4"/>
  <c r="L201" i="4"/>
  <c r="C201" i="4"/>
  <c r="EL200" i="4"/>
  <c r="EC200" i="4"/>
  <c r="DT200" i="4"/>
  <c r="DK200" i="4"/>
  <c r="DA200" i="4"/>
  <c r="CR200" i="4"/>
  <c r="CI200" i="4"/>
  <c r="BZ200" i="4"/>
  <c r="BQ200" i="4"/>
  <c r="BH200" i="4"/>
  <c r="AY200" i="4"/>
  <c r="AO200" i="4"/>
  <c r="AG200" i="4"/>
  <c r="Y200" i="4"/>
  <c r="Q200" i="4"/>
  <c r="I200" i="4"/>
  <c r="ES199" i="4"/>
  <c r="EK199" i="4"/>
  <c r="EC199" i="4"/>
  <c r="DU199" i="4"/>
  <c r="DM199" i="4"/>
  <c r="DE199" i="4"/>
  <c r="CW199" i="4"/>
  <c r="CO199" i="4"/>
  <c r="CG199" i="4"/>
  <c r="BY199" i="4"/>
  <c r="BQ199" i="4"/>
  <c r="BI199" i="4"/>
  <c r="BA199" i="4"/>
  <c r="AS199" i="4"/>
  <c r="AK199" i="4"/>
  <c r="AC199" i="4"/>
  <c r="U199" i="4"/>
  <c r="M199" i="4"/>
  <c r="E199" i="4"/>
  <c r="EO198" i="4"/>
  <c r="EG198" i="4"/>
  <c r="DY198" i="4"/>
  <c r="DQ198" i="4"/>
  <c r="DI198" i="4"/>
  <c r="DA198" i="4"/>
  <c r="BG209" i="4"/>
  <c r="AK209" i="4"/>
  <c r="O209" i="4"/>
  <c r="EM208" i="4"/>
  <c r="DQ208" i="4"/>
  <c r="CU208" i="4"/>
  <c r="CA208" i="4"/>
  <c r="BE208" i="4"/>
  <c r="AI208" i="4"/>
  <c r="O208" i="4"/>
  <c r="EK207" i="4"/>
  <c r="DO207" i="4"/>
  <c r="CU207" i="4"/>
  <c r="BY207" i="4"/>
  <c r="BC207" i="4"/>
  <c r="AI207" i="4"/>
  <c r="M207" i="4"/>
  <c r="EI206" i="4"/>
  <c r="DO206" i="4"/>
  <c r="CS206" i="4"/>
  <c r="BW206" i="4"/>
  <c r="BC206" i="4"/>
  <c r="AG206" i="4"/>
  <c r="K206" i="4"/>
  <c r="EI205" i="4"/>
  <c r="DM205" i="4"/>
  <c r="CQ205" i="4"/>
  <c r="BW205" i="4"/>
  <c r="BA205" i="4"/>
  <c r="AE205" i="4"/>
  <c r="K205" i="4"/>
  <c r="EG204" i="4"/>
  <c r="DK204" i="4"/>
  <c r="CQ204" i="4"/>
  <c r="BU204" i="4"/>
  <c r="AZ204" i="4"/>
  <c r="AJ204" i="4"/>
  <c r="T204" i="4"/>
  <c r="D204" i="4"/>
  <c r="EF203" i="4"/>
  <c r="DP203" i="4"/>
  <c r="CZ203" i="4"/>
  <c r="CJ203" i="4"/>
  <c r="BT203" i="4"/>
  <c r="BD203" i="4"/>
  <c r="AN203" i="4"/>
  <c r="X203" i="4"/>
  <c r="H203" i="4"/>
  <c r="EJ202" i="4"/>
  <c r="DW202" i="4"/>
  <c r="DK202" i="4"/>
  <c r="CW202" i="4"/>
  <c r="CK202" i="4"/>
  <c r="BX202" i="4"/>
  <c r="BK202" i="4"/>
  <c r="AY202" i="4"/>
  <c r="AK202" i="4"/>
  <c r="Y202" i="4"/>
  <c r="L202" i="4"/>
  <c r="EQ201" i="4"/>
  <c r="EE201" i="4"/>
  <c r="DQ201" i="4"/>
  <c r="DE201" i="4"/>
  <c r="CR201" i="4"/>
  <c r="CF201" i="4"/>
  <c r="BW201" i="4"/>
  <c r="BN201" i="4"/>
  <c r="BE201" i="4"/>
  <c r="AV201" i="4"/>
  <c r="AM201" i="4"/>
  <c r="AC201" i="4"/>
  <c r="T201" i="4"/>
  <c r="K201" i="4"/>
  <c r="B201" i="4"/>
  <c r="EK200" i="4"/>
  <c r="EB200" i="4"/>
  <c r="DS200" i="4"/>
  <c r="DI200" i="4"/>
  <c r="CZ200" i="4"/>
  <c r="CQ200" i="4"/>
  <c r="CH200" i="4"/>
  <c r="BY200" i="4"/>
  <c r="BP200" i="4"/>
  <c r="BG200" i="4"/>
  <c r="AW200" i="4"/>
  <c r="AN200" i="4"/>
  <c r="AF200" i="4"/>
  <c r="X200" i="4"/>
  <c r="P200" i="4"/>
  <c r="H200" i="4"/>
  <c r="ER199" i="4"/>
  <c r="EJ199" i="4"/>
  <c r="EB199" i="4"/>
  <c r="DT199" i="4"/>
  <c r="DL199" i="4"/>
  <c r="DD199" i="4"/>
  <c r="CV199" i="4"/>
  <c r="CN199" i="4"/>
  <c r="CF199" i="4"/>
  <c r="BX199" i="4"/>
  <c r="BP199" i="4"/>
  <c r="BH199" i="4"/>
  <c r="AZ199" i="4"/>
  <c r="AR199" i="4"/>
  <c r="AJ199" i="4"/>
  <c r="AB199" i="4"/>
  <c r="T199" i="4"/>
  <c r="L199" i="4"/>
  <c r="D199" i="4"/>
  <c r="EN198" i="4"/>
  <c r="EF198" i="4"/>
  <c r="DX198" i="4"/>
  <c r="DP198" i="4"/>
  <c r="DH198" i="4"/>
  <c r="CZ198" i="4"/>
  <c r="CR198" i="4"/>
  <c r="CJ198" i="4"/>
  <c r="CB198" i="4"/>
  <c r="BT198" i="4"/>
  <c r="BL198" i="4"/>
  <c r="BD198" i="4"/>
  <c r="AV198" i="4"/>
  <c r="AN198" i="4"/>
  <c r="AF198" i="4"/>
  <c r="X198" i="4"/>
  <c r="P198" i="4"/>
  <c r="H198" i="4"/>
  <c r="ER197" i="4"/>
  <c r="EJ197" i="4"/>
  <c r="EB197" i="4"/>
  <c r="DT197" i="4"/>
  <c r="DL197" i="4"/>
  <c r="DD197" i="4"/>
  <c r="CV197" i="4"/>
  <c r="CN197" i="4"/>
  <c r="CF197" i="4"/>
  <c r="BX197" i="4"/>
  <c r="BP197" i="4"/>
  <c r="BH197" i="4"/>
  <c r="AZ197" i="4"/>
  <c r="AR197" i="4"/>
  <c r="AJ197" i="4"/>
  <c r="AB197" i="4"/>
  <c r="T197" i="4"/>
  <c r="L197" i="4"/>
  <c r="D197" i="4"/>
  <c r="EN196" i="4"/>
  <c r="EF196" i="4"/>
  <c r="DX196" i="4"/>
  <c r="DP196" i="4"/>
  <c r="DH196" i="4"/>
  <c r="CZ196" i="4"/>
  <c r="CR196" i="4"/>
  <c r="CJ196" i="4"/>
  <c r="CB196" i="4"/>
  <c r="BT196" i="4"/>
  <c r="BL196" i="4"/>
  <c r="BD196" i="4"/>
  <c r="AV196" i="4"/>
  <c r="AN196" i="4"/>
  <c r="AF196" i="4"/>
  <c r="X196" i="4"/>
  <c r="P196" i="4"/>
  <c r="H196" i="4"/>
  <c r="ER195" i="4"/>
  <c r="EJ195" i="4"/>
  <c r="EB195" i="4"/>
  <c r="DT195" i="4"/>
  <c r="DL195" i="4"/>
  <c r="DD195" i="4"/>
  <c r="BC209" i="4"/>
  <c r="AI209" i="4"/>
  <c r="M209" i="4"/>
  <c r="EI208" i="4"/>
  <c r="DO208" i="4"/>
  <c r="CS208" i="4"/>
  <c r="BW208" i="4"/>
  <c r="BC208" i="4"/>
  <c r="AG208" i="4"/>
  <c r="K208" i="4"/>
  <c r="EI207" i="4"/>
  <c r="DM207" i="4"/>
  <c r="CQ207" i="4"/>
  <c r="BW207" i="4"/>
  <c r="BA207" i="4"/>
  <c r="AE207" i="4"/>
  <c r="K207" i="4"/>
  <c r="EG206" i="4"/>
  <c r="DK206" i="4"/>
  <c r="CQ206" i="4"/>
  <c r="BU206" i="4"/>
  <c r="AY206" i="4"/>
  <c r="AE206" i="4"/>
  <c r="I206" i="4"/>
  <c r="EE205" i="4"/>
  <c r="DK205" i="4"/>
  <c r="CO205" i="4"/>
  <c r="BS205" i="4"/>
  <c r="AY205" i="4"/>
  <c r="AC205" i="4"/>
  <c r="BA209" i="4"/>
  <c r="AE209" i="4"/>
  <c r="K209" i="4"/>
  <c r="EG208" i="4"/>
  <c r="DK208" i="4"/>
  <c r="CQ208" i="4"/>
  <c r="BU208" i="4"/>
  <c r="AY208" i="4"/>
  <c r="AE208" i="4"/>
  <c r="I208" i="4"/>
  <c r="EE207" i="4"/>
  <c r="DK207" i="4"/>
  <c r="CO207" i="4"/>
  <c r="BS207" i="4"/>
  <c r="AY207" i="4"/>
  <c r="AC207" i="4"/>
  <c r="G207" i="4"/>
  <c r="EE206" i="4"/>
  <c r="DI206" i="4"/>
  <c r="CM206" i="4"/>
  <c r="BS206" i="4"/>
  <c r="AW206" i="4"/>
  <c r="AA206" i="4"/>
  <c r="G206" i="4"/>
  <c r="EC205" i="4"/>
  <c r="DG205" i="4"/>
  <c r="CM205" i="4"/>
  <c r="BQ205" i="4"/>
  <c r="AU205" i="4"/>
  <c r="AA205" i="4"/>
  <c r="E205" i="4"/>
  <c r="EA204" i="4"/>
  <c r="DG204" i="4"/>
  <c r="CK204" i="4"/>
  <c r="BO204" i="4"/>
  <c r="AW204" i="4"/>
  <c r="AG204" i="4"/>
  <c r="Q204" i="4"/>
  <c r="ES203" i="4"/>
  <c r="EC203" i="4"/>
  <c r="DM203" i="4"/>
  <c r="CW203" i="4"/>
  <c r="CG203" i="4"/>
  <c r="BQ203" i="4"/>
  <c r="BA203" i="4"/>
  <c r="AK203" i="4"/>
  <c r="U203" i="4"/>
  <c r="E203" i="4"/>
  <c r="EG202" i="4"/>
  <c r="DT202" i="4"/>
  <c r="DG202" i="4"/>
  <c r="CU202" i="4"/>
  <c r="CG202" i="4"/>
  <c r="BU202" i="4"/>
  <c r="BH202" i="4"/>
  <c r="AU202" i="4"/>
  <c r="AI202" i="4"/>
  <c r="U202" i="4"/>
  <c r="I202" i="4"/>
  <c r="EN201" i="4"/>
  <c r="EA201" i="4"/>
  <c r="DO201" i="4"/>
  <c r="DA201" i="4"/>
  <c r="CO201" i="4"/>
  <c r="CD201" i="4"/>
  <c r="BU201" i="4"/>
  <c r="BL201" i="4"/>
  <c r="BC201" i="4"/>
  <c r="AS201" i="4"/>
  <c r="AJ201" i="4"/>
  <c r="AA201" i="4"/>
  <c r="R201" i="4"/>
  <c r="I201" i="4"/>
  <c r="ER200" i="4"/>
  <c r="EI200" i="4"/>
  <c r="DY200" i="4"/>
  <c r="DP200" i="4"/>
  <c r="DG200" i="4"/>
  <c r="CX200" i="4"/>
  <c r="CO200" i="4"/>
  <c r="CF200" i="4"/>
  <c r="BW200" i="4"/>
  <c r="BM200" i="4"/>
  <c r="BD200" i="4"/>
  <c r="AU200" i="4"/>
  <c r="AL200" i="4"/>
  <c r="AD200" i="4"/>
  <c r="V200" i="4"/>
  <c r="N200" i="4"/>
  <c r="F200" i="4"/>
  <c r="EP199" i="4"/>
  <c r="EH199" i="4"/>
  <c r="DZ199" i="4"/>
  <c r="DR199" i="4"/>
  <c r="DJ199" i="4"/>
  <c r="DB199" i="4"/>
  <c r="CT199" i="4"/>
  <c r="CL199" i="4"/>
  <c r="CD199" i="4"/>
  <c r="BV199" i="4"/>
  <c r="BN199" i="4"/>
  <c r="BF199" i="4"/>
  <c r="AX199" i="4"/>
  <c r="AP199" i="4"/>
  <c r="AY209" i="4"/>
  <c r="AC209" i="4"/>
  <c r="G209" i="4"/>
  <c r="EE208" i="4"/>
  <c r="DI208" i="4"/>
  <c r="CM208" i="4"/>
  <c r="BS208" i="4"/>
  <c r="AW208" i="4"/>
  <c r="AA208" i="4"/>
  <c r="G208" i="4"/>
  <c r="EC207" i="4"/>
  <c r="DG207" i="4"/>
  <c r="CM207" i="4"/>
  <c r="BQ207" i="4"/>
  <c r="AU207" i="4"/>
  <c r="AA207" i="4"/>
  <c r="E207" i="4"/>
  <c r="EA206" i="4"/>
  <c r="DG206" i="4"/>
  <c r="CK206" i="4"/>
  <c r="BO206" i="4"/>
  <c r="AU206" i="4"/>
  <c r="Y206" i="4"/>
  <c r="C206" i="4"/>
  <c r="EA205" i="4"/>
  <c r="DE205" i="4"/>
  <c r="CI205" i="4"/>
  <c r="BO205" i="4"/>
  <c r="AS205" i="4"/>
  <c r="W205" i="4"/>
  <c r="C205" i="4"/>
  <c r="DY204" i="4"/>
  <c r="DC204" i="4"/>
  <c r="CI204" i="4"/>
  <c r="BM204" i="4"/>
  <c r="AU204" i="4"/>
  <c r="AE204" i="4"/>
  <c r="O204" i="4"/>
  <c r="EQ203" i="4"/>
  <c r="EA203" i="4"/>
  <c r="DK203" i="4"/>
  <c r="CU203" i="4"/>
  <c r="CE203" i="4"/>
  <c r="BO203" i="4"/>
  <c r="AY203" i="4"/>
  <c r="AI203" i="4"/>
  <c r="S203" i="4"/>
  <c r="C203" i="4"/>
  <c r="EE202" i="4"/>
  <c r="DS202" i="4"/>
  <c r="DE202" i="4"/>
  <c r="CS202" i="4"/>
  <c r="CF202" i="4"/>
  <c r="BS202" i="4"/>
  <c r="BG202" i="4"/>
  <c r="AS202" i="4"/>
  <c r="AG202" i="4"/>
  <c r="T202" i="4"/>
  <c r="G202" i="4"/>
  <c r="EM201" i="4"/>
  <c r="DY201" i="4"/>
  <c r="DM201" i="4"/>
  <c r="CZ201" i="4"/>
  <c r="CM201" i="4"/>
  <c r="CC201" i="4"/>
  <c r="BT201" i="4"/>
  <c r="BK201" i="4"/>
  <c r="BA201" i="4"/>
  <c r="AR201" i="4"/>
  <c r="AI201" i="4"/>
  <c r="Z201" i="4"/>
  <c r="Q201" i="4"/>
  <c r="H201" i="4"/>
  <c r="EQ200" i="4"/>
  <c r="EG200" i="4"/>
  <c r="DX200" i="4"/>
  <c r="DO200" i="4"/>
  <c r="DF200" i="4"/>
  <c r="CW200" i="4"/>
  <c r="CN200" i="4"/>
  <c r="CE200" i="4"/>
  <c r="BU200" i="4"/>
  <c r="BL200" i="4"/>
  <c r="BC200" i="4"/>
  <c r="AT200" i="4"/>
  <c r="AK200" i="4"/>
  <c r="AC200" i="4"/>
  <c r="U200" i="4"/>
  <c r="M200" i="4"/>
  <c r="E200" i="4"/>
  <c r="EO199" i="4"/>
  <c r="EG199" i="4"/>
  <c r="DY199" i="4"/>
  <c r="DQ199" i="4"/>
  <c r="DI199" i="4"/>
  <c r="DA199" i="4"/>
  <c r="CS199" i="4"/>
  <c r="CK199" i="4"/>
  <c r="CC199" i="4"/>
  <c r="BU199" i="4"/>
  <c r="BM199" i="4"/>
  <c r="BE199" i="4"/>
  <c r="AW199" i="4"/>
  <c r="AO199" i="4"/>
  <c r="AG199" i="4"/>
  <c r="Y199" i="4"/>
  <c r="Q199" i="4"/>
  <c r="I199" i="4"/>
  <c r="ES198" i="4"/>
  <c r="EK198" i="4"/>
  <c r="EC198" i="4"/>
  <c r="DU198" i="4"/>
  <c r="DM198" i="4"/>
  <c r="DE198" i="4"/>
  <c r="CW198" i="4"/>
  <c r="CO198" i="4"/>
  <c r="CG198" i="4"/>
  <c r="BY198" i="4"/>
  <c r="BQ198" i="4"/>
  <c r="BI198" i="4"/>
  <c r="BA198" i="4"/>
  <c r="AS198" i="4"/>
  <c r="AK198" i="4"/>
  <c r="AC198" i="4"/>
  <c r="U198" i="4"/>
  <c r="M198" i="4"/>
  <c r="E198" i="4"/>
  <c r="EO197" i="4"/>
  <c r="EG197" i="4"/>
  <c r="DY197" i="4"/>
  <c r="DQ197" i="4"/>
  <c r="DI197" i="4"/>
  <c r="DA197" i="4"/>
  <c r="CS197" i="4"/>
  <c r="CK197" i="4"/>
  <c r="CC197" i="4"/>
  <c r="BU197" i="4"/>
  <c r="BM197" i="4"/>
  <c r="BE197" i="4"/>
  <c r="AW197" i="4"/>
  <c r="AO197" i="4"/>
  <c r="AU209" i="4"/>
  <c r="AA209" i="4"/>
  <c r="E209" i="4"/>
  <c r="EA208" i="4"/>
  <c r="DG208" i="4"/>
  <c r="CK208" i="4"/>
  <c r="BO208" i="4"/>
  <c r="AU208" i="4"/>
  <c r="Y208" i="4"/>
  <c r="C208" i="4"/>
  <c r="EA207" i="4"/>
  <c r="DE207" i="4"/>
  <c r="CI207" i="4"/>
  <c r="BO207" i="4"/>
  <c r="AS207" i="4"/>
  <c r="W207" i="4"/>
  <c r="C207" i="4"/>
  <c r="DY206" i="4"/>
  <c r="DC206" i="4"/>
  <c r="CI206" i="4"/>
  <c r="BM206" i="4"/>
  <c r="AQ206" i="4"/>
  <c r="W206" i="4"/>
  <c r="ES205" i="4"/>
  <c r="DW205" i="4"/>
  <c r="DC205" i="4"/>
  <c r="CG205" i="4"/>
  <c r="BK205" i="4"/>
  <c r="AQ205" i="4"/>
  <c r="U205" i="4"/>
  <c r="EQ204" i="4"/>
  <c r="DW204" i="4"/>
  <c r="DA204" i="4"/>
  <c r="CE204" i="4"/>
  <c r="BK204" i="4"/>
  <c r="AR204" i="4"/>
  <c r="AB204" i="4"/>
  <c r="L204" i="4"/>
  <c r="EN203" i="4"/>
  <c r="DX203" i="4"/>
  <c r="DH203" i="4"/>
  <c r="CR203" i="4"/>
  <c r="CB203" i="4"/>
  <c r="BL203" i="4"/>
  <c r="AV203" i="4"/>
  <c r="AF203" i="4"/>
  <c r="P203" i="4"/>
  <c r="ER202" i="4"/>
  <c r="EC202" i="4"/>
  <c r="DQ202" i="4"/>
  <c r="DD202" i="4"/>
  <c r="CQ202" i="4"/>
  <c r="CE202" i="4"/>
  <c r="BQ202" i="4"/>
  <c r="BE202" i="4"/>
  <c r="AR202" i="4"/>
  <c r="AE202" i="4"/>
  <c r="S202" i="4"/>
  <c r="E202" i="4"/>
  <c r="EK201" i="4"/>
  <c r="DX201" i="4"/>
  <c r="DK201" i="4"/>
  <c r="CY201" i="4"/>
  <c r="CK201" i="4"/>
  <c r="CB201" i="4"/>
  <c r="BS201" i="4"/>
  <c r="BI201" i="4"/>
  <c r="AZ201" i="4"/>
  <c r="AQ201" i="4"/>
  <c r="AH201" i="4"/>
  <c r="Y201" i="4"/>
  <c r="P201" i="4"/>
  <c r="G201" i="4"/>
  <c r="EO200" i="4"/>
  <c r="EF200" i="4"/>
  <c r="DW200" i="4"/>
  <c r="DN200" i="4"/>
  <c r="DE200" i="4"/>
  <c r="CV200" i="4"/>
  <c r="CM200" i="4"/>
  <c r="CC200" i="4"/>
  <c r="BT200" i="4"/>
  <c r="BK200" i="4"/>
  <c r="BB200" i="4"/>
  <c r="AS200" i="4"/>
  <c r="AJ200" i="4"/>
  <c r="AB200" i="4"/>
  <c r="T200" i="4"/>
  <c r="L200" i="4"/>
  <c r="D200" i="4"/>
  <c r="EN199" i="4"/>
  <c r="EF199" i="4"/>
  <c r="DX199" i="4"/>
  <c r="DP199" i="4"/>
  <c r="DH199" i="4"/>
  <c r="CZ199" i="4"/>
  <c r="CR199" i="4"/>
  <c r="CJ199" i="4"/>
  <c r="CB199" i="4"/>
  <c r="BT199" i="4"/>
  <c r="BL199" i="4"/>
  <c r="BD199" i="4"/>
  <c r="AV199" i="4"/>
  <c r="AN199" i="4"/>
  <c r="AF199" i="4"/>
  <c r="X199" i="4"/>
  <c r="P199" i="4"/>
  <c r="H199" i="4"/>
  <c r="ER198" i="4"/>
  <c r="EJ198" i="4"/>
  <c r="EB198" i="4"/>
  <c r="DT198" i="4"/>
  <c r="DL198" i="4"/>
  <c r="DD198" i="4"/>
  <c r="CV198" i="4"/>
  <c r="CN198" i="4"/>
  <c r="CF198" i="4"/>
  <c r="BX198" i="4"/>
  <c r="BP198" i="4"/>
  <c r="BH198" i="4"/>
  <c r="AZ198" i="4"/>
  <c r="AR198" i="4"/>
  <c r="AJ198" i="4"/>
  <c r="AB198" i="4"/>
  <c r="T198" i="4"/>
  <c r="L198" i="4"/>
  <c r="D198" i="4"/>
  <c r="EN197" i="4"/>
  <c r="EF197" i="4"/>
  <c r="DX197" i="4"/>
  <c r="DP197" i="4"/>
  <c r="DH197" i="4"/>
  <c r="CZ197" i="4"/>
  <c r="CR197" i="4"/>
  <c r="AS209" i="4"/>
  <c r="W209" i="4"/>
  <c r="C209" i="4"/>
  <c r="DY208" i="4"/>
  <c r="DC208" i="4"/>
  <c r="CI208" i="4"/>
  <c r="BM208" i="4"/>
  <c r="AQ208" i="4"/>
  <c r="W208" i="4"/>
  <c r="ES207" i="4"/>
  <c r="DW207" i="4"/>
  <c r="DC207" i="4"/>
  <c r="CG207" i="4"/>
  <c r="BK207" i="4"/>
  <c r="AQ207" i="4"/>
  <c r="U207" i="4"/>
  <c r="EQ206" i="4"/>
  <c r="DW206" i="4"/>
  <c r="DA206" i="4"/>
  <c r="CE206" i="4"/>
  <c r="BK206" i="4"/>
  <c r="AO206" i="4"/>
  <c r="S206" i="4"/>
  <c r="EQ205" i="4"/>
  <c r="DU205" i="4"/>
  <c r="CY205" i="4"/>
  <c r="CE205" i="4"/>
  <c r="BI205" i="4"/>
  <c r="AM205" i="4"/>
  <c r="S205" i="4"/>
  <c r="EO204" i="4"/>
  <c r="DS204" i="4"/>
  <c r="CY204" i="4"/>
  <c r="CC204" i="4"/>
  <c r="BG204" i="4"/>
  <c r="AQ204" i="4"/>
  <c r="AA204" i="4"/>
  <c r="K204" i="4"/>
  <c r="EM203" i="4"/>
  <c r="DW203" i="4"/>
  <c r="DG203" i="4"/>
  <c r="CQ203" i="4"/>
  <c r="CA203" i="4"/>
  <c r="BK203" i="4"/>
  <c r="AU203" i="4"/>
  <c r="AE203" i="4"/>
  <c r="O203" i="4"/>
  <c r="EQ202" i="4"/>
  <c r="EB202" i="4"/>
  <c r="DO202" i="4"/>
  <c r="DC202" i="4"/>
  <c r="CO202" i="4"/>
  <c r="CC202" i="4"/>
  <c r="BP202" i="4"/>
  <c r="BC202" i="4"/>
  <c r="AQ202" i="4"/>
  <c r="AC202" i="4"/>
  <c r="Q202" i="4"/>
  <c r="D202" i="4"/>
  <c r="EI201" i="4"/>
  <c r="DW201" i="4"/>
  <c r="DI201" i="4"/>
  <c r="CW201" i="4"/>
  <c r="CJ201" i="4"/>
  <c r="CA201" i="4"/>
  <c r="BQ201" i="4"/>
  <c r="BH201" i="4"/>
  <c r="AY201" i="4"/>
  <c r="AP201" i="4"/>
  <c r="AG201" i="4"/>
  <c r="X201" i="4"/>
  <c r="O201" i="4"/>
  <c r="E201" i="4"/>
  <c r="EN200" i="4"/>
  <c r="EE200" i="4"/>
  <c r="DV200" i="4"/>
  <c r="DM200" i="4"/>
  <c r="DD200" i="4"/>
  <c r="CU200" i="4"/>
  <c r="CK200" i="4"/>
  <c r="CB200" i="4"/>
  <c r="BS200" i="4"/>
  <c r="BJ200" i="4"/>
  <c r="BA200" i="4"/>
  <c r="AR200" i="4"/>
  <c r="AI200" i="4"/>
  <c r="AA200" i="4"/>
  <c r="S200" i="4"/>
  <c r="K200" i="4"/>
  <c r="C200" i="4"/>
  <c r="EM199" i="4"/>
  <c r="EE199" i="4"/>
  <c r="DW199" i="4"/>
  <c r="DO199" i="4"/>
  <c r="DG199" i="4"/>
  <c r="CY199" i="4"/>
  <c r="CQ199" i="4"/>
  <c r="CI199" i="4"/>
  <c r="CA199" i="4"/>
  <c r="BS199" i="4"/>
  <c r="BK199" i="4"/>
  <c r="BC199" i="4"/>
  <c r="AU199" i="4"/>
  <c r="AM199" i="4"/>
  <c r="AE199" i="4"/>
  <c r="W199" i="4"/>
  <c r="O199" i="4"/>
  <c r="G199" i="4"/>
  <c r="EQ198" i="4"/>
  <c r="EI198" i="4"/>
  <c r="EA198" i="4"/>
  <c r="DS198" i="4"/>
  <c r="DK198" i="4"/>
  <c r="DC198" i="4"/>
  <c r="CU198" i="4"/>
  <c r="CM198" i="4"/>
  <c r="CE198" i="4"/>
  <c r="BW198" i="4"/>
  <c r="BO198" i="4"/>
  <c r="BG198" i="4"/>
  <c r="AY198" i="4"/>
  <c r="AQ198" i="4"/>
  <c r="AI198" i="4"/>
  <c r="AA198" i="4"/>
  <c r="S198" i="4"/>
  <c r="K198" i="4"/>
  <c r="C198" i="4"/>
  <c r="EM197" i="4"/>
  <c r="EE197" i="4"/>
  <c r="DW197" i="4"/>
  <c r="DO197" i="4"/>
  <c r="DG197" i="4"/>
  <c r="CY197" i="4"/>
  <c r="CQ197" i="4"/>
  <c r="AQ209" i="4"/>
  <c r="S208" i="4"/>
  <c r="EO206" i="4"/>
  <c r="DS205" i="4"/>
  <c r="EE204" i="4"/>
  <c r="AY204" i="4"/>
  <c r="EE203" i="4"/>
  <c r="BS203" i="4"/>
  <c r="G203" i="4"/>
  <c r="CV202" i="4"/>
  <c r="AW202" i="4"/>
  <c r="EO201" i="4"/>
  <c r="CQ201" i="4"/>
  <c r="BD201" i="4"/>
  <c r="S201" i="4"/>
  <c r="EA200" i="4"/>
  <c r="CP200" i="4"/>
  <c r="BE200" i="4"/>
  <c r="W200" i="4"/>
  <c r="EI199" i="4"/>
  <c r="DC199" i="4"/>
  <c r="BW199" i="4"/>
  <c r="AQ199" i="4"/>
  <c r="S199" i="4"/>
  <c r="EP198" i="4"/>
  <c r="DV198" i="4"/>
  <c r="CY198" i="4"/>
  <c r="CI198" i="4"/>
  <c r="BS198" i="4"/>
  <c r="BC198" i="4"/>
  <c r="AM198" i="4"/>
  <c r="W198" i="4"/>
  <c r="G198" i="4"/>
  <c r="EI197" i="4"/>
  <c r="DS197" i="4"/>
  <c r="DC197" i="4"/>
  <c r="CM197" i="4"/>
  <c r="CB197" i="4"/>
  <c r="BR197" i="4"/>
  <c r="BG197" i="4"/>
  <c r="AV197" i="4"/>
  <c r="AL197" i="4"/>
  <c r="AC197" i="4"/>
  <c r="S197" i="4"/>
  <c r="J197" i="4"/>
  <c r="ES196" i="4"/>
  <c r="EJ196" i="4"/>
  <c r="EA196" i="4"/>
  <c r="DR196" i="4"/>
  <c r="DI196" i="4"/>
  <c r="CY196" i="4"/>
  <c r="CP196" i="4"/>
  <c r="CG196" i="4"/>
  <c r="BX196" i="4"/>
  <c r="BO196" i="4"/>
  <c r="BF196" i="4"/>
  <c r="AW196" i="4"/>
  <c r="AM196" i="4"/>
  <c r="AD196" i="4"/>
  <c r="U196" i="4"/>
  <c r="L196" i="4"/>
  <c r="C196" i="4"/>
  <c r="EL195" i="4"/>
  <c r="EC195" i="4"/>
  <c r="DS195" i="4"/>
  <c r="DJ195" i="4"/>
  <c r="DA195" i="4"/>
  <c r="CS195" i="4"/>
  <c r="CK195" i="4"/>
  <c r="CC195" i="4"/>
  <c r="BU195" i="4"/>
  <c r="BM195" i="4"/>
  <c r="BE195" i="4"/>
  <c r="AW195" i="4"/>
  <c r="AO195" i="4"/>
  <c r="AG195" i="4"/>
  <c r="Y195" i="4"/>
  <c r="Q195" i="4"/>
  <c r="I195" i="4"/>
  <c r="ES194" i="4"/>
  <c r="EK194" i="4"/>
  <c r="EC194" i="4"/>
  <c r="DU194" i="4"/>
  <c r="DM194" i="4"/>
  <c r="DE194" i="4"/>
  <c r="CW194" i="4"/>
  <c r="CO194" i="4"/>
  <c r="CG194" i="4"/>
  <c r="BY194" i="4"/>
  <c r="BQ194" i="4"/>
  <c r="BI194" i="4"/>
  <c r="BA194" i="4"/>
  <c r="AS194" i="4"/>
  <c r="AK194" i="4"/>
  <c r="AC194" i="4"/>
  <c r="U194" i="4"/>
  <c r="M194" i="4"/>
  <c r="E194" i="4"/>
  <c r="EO193" i="4"/>
  <c r="EG193" i="4"/>
  <c r="DY193" i="4"/>
  <c r="DQ193" i="4"/>
  <c r="DI193" i="4"/>
  <c r="DA193" i="4"/>
  <c r="CS193" i="4"/>
  <c r="CK193" i="4"/>
  <c r="CC193" i="4"/>
  <c r="BU193" i="4"/>
  <c r="BM193" i="4"/>
  <c r="BE193" i="4"/>
  <c r="AW193" i="4"/>
  <c r="AO193" i="4"/>
  <c r="AG193" i="4"/>
  <c r="Y193" i="4"/>
  <c r="Q193" i="4"/>
  <c r="I193" i="4"/>
  <c r="ES192" i="4"/>
  <c r="EK192" i="4"/>
  <c r="EC192" i="4"/>
  <c r="DU192" i="4"/>
  <c r="DM192" i="4"/>
  <c r="DE192" i="4"/>
  <c r="CW192" i="4"/>
  <c r="CO192" i="4"/>
  <c r="CG192" i="4"/>
  <c r="BY192" i="4"/>
  <c r="BQ192" i="4"/>
  <c r="BI192" i="4"/>
  <c r="BA192" i="4"/>
  <c r="AS192" i="4"/>
  <c r="AK192" i="4"/>
  <c r="AC192" i="4"/>
  <c r="U192" i="4"/>
  <c r="M192" i="4"/>
  <c r="E192" i="4"/>
  <c r="EO191" i="4"/>
  <c r="EG191" i="4"/>
  <c r="DY191" i="4"/>
  <c r="DQ191" i="4"/>
  <c r="DI191" i="4"/>
  <c r="DA191" i="4"/>
  <c r="CS191" i="4"/>
  <c r="CK191" i="4"/>
  <c r="CC191" i="4"/>
  <c r="BU191" i="4"/>
  <c r="BM191" i="4"/>
  <c r="BE191" i="4"/>
  <c r="AW191" i="4"/>
  <c r="AO191" i="4"/>
  <c r="AG191" i="4"/>
  <c r="Y191" i="4"/>
  <c r="Q191" i="4"/>
  <c r="I191" i="4"/>
  <c r="ES190" i="4"/>
  <c r="EK190" i="4"/>
  <c r="EC190" i="4"/>
  <c r="DU190" i="4"/>
  <c r="DM190" i="4"/>
  <c r="DE190" i="4"/>
  <c r="CW190" i="4"/>
  <c r="CO190" i="4"/>
  <c r="CG190" i="4"/>
  <c r="BY190" i="4"/>
  <c r="BQ190" i="4"/>
  <c r="BI190" i="4"/>
  <c r="BA190" i="4"/>
  <c r="AS190" i="4"/>
  <c r="AK190" i="4"/>
  <c r="AC190" i="4"/>
  <c r="U190" i="4"/>
  <c r="M190" i="4"/>
  <c r="E190" i="4"/>
  <c r="U209" i="4"/>
  <c r="EQ207" i="4"/>
  <c r="DS206" i="4"/>
  <c r="CW205" i="4"/>
  <c r="DQ204" i="4"/>
  <c r="AO204" i="4"/>
  <c r="DU203" i="4"/>
  <c r="BI203" i="4"/>
  <c r="EO202" i="4"/>
  <c r="CN202" i="4"/>
  <c r="AO202" i="4"/>
  <c r="EG201" i="4"/>
  <c r="CI201" i="4"/>
  <c r="AX201" i="4"/>
  <c r="M201" i="4"/>
  <c r="DU200" i="4"/>
  <c r="CJ200" i="4"/>
  <c r="AZ200" i="4"/>
  <c r="R200" i="4"/>
  <c r="ED199" i="4"/>
  <c r="CX199" i="4"/>
  <c r="BR199" i="4"/>
  <c r="AL199" i="4"/>
  <c r="R199" i="4"/>
  <c r="EM198" i="4"/>
  <c r="DR198" i="4"/>
  <c r="CX198" i="4"/>
  <c r="CH198" i="4"/>
  <c r="BR198" i="4"/>
  <c r="BB198" i="4"/>
  <c r="AL198" i="4"/>
  <c r="V198" i="4"/>
  <c r="F198" i="4"/>
  <c r="EH197" i="4"/>
  <c r="DR197" i="4"/>
  <c r="DB197" i="4"/>
  <c r="CL197" i="4"/>
  <c r="CA197" i="4"/>
  <c r="BQ197" i="4"/>
  <c r="BF197" i="4"/>
  <c r="AU197" i="4"/>
  <c r="AK197" i="4"/>
  <c r="AA197" i="4"/>
  <c r="R197" i="4"/>
  <c r="I197" i="4"/>
  <c r="ER196" i="4"/>
  <c r="EI196" i="4"/>
  <c r="DZ196" i="4"/>
  <c r="DQ196" i="4"/>
  <c r="DG196" i="4"/>
  <c r="CX196" i="4"/>
  <c r="CO196" i="4"/>
  <c r="CF196" i="4"/>
  <c r="BW196" i="4"/>
  <c r="BN196" i="4"/>
  <c r="BE196" i="4"/>
  <c r="AU196" i="4"/>
  <c r="AL196" i="4"/>
  <c r="AC196" i="4"/>
  <c r="T196" i="4"/>
  <c r="K196" i="4"/>
  <c r="B196" i="4"/>
  <c r="EK195" i="4"/>
  <c r="EA195" i="4"/>
  <c r="DR195" i="4"/>
  <c r="DI195" i="4"/>
  <c r="CZ195" i="4"/>
  <c r="CR195" i="4"/>
  <c r="CJ195" i="4"/>
  <c r="CB195" i="4"/>
  <c r="BT195" i="4"/>
  <c r="BL195" i="4"/>
  <c r="BD195" i="4"/>
  <c r="AV195" i="4"/>
  <c r="AN195" i="4"/>
  <c r="AF195" i="4"/>
  <c r="X195" i="4"/>
  <c r="P195" i="4"/>
  <c r="H195" i="4"/>
  <c r="ER194" i="4"/>
  <c r="EJ194" i="4"/>
  <c r="EB194" i="4"/>
  <c r="DT194" i="4"/>
  <c r="DL194" i="4"/>
  <c r="DD194" i="4"/>
  <c r="CV194" i="4"/>
  <c r="CN194" i="4"/>
  <c r="CF194" i="4"/>
  <c r="BX194" i="4"/>
  <c r="BP194" i="4"/>
  <c r="BH194" i="4"/>
  <c r="AZ194" i="4"/>
  <c r="AR194" i="4"/>
  <c r="AJ194" i="4"/>
  <c r="AB194" i="4"/>
  <c r="T194" i="4"/>
  <c r="L194" i="4"/>
  <c r="D194" i="4"/>
  <c r="EN193" i="4"/>
  <c r="EF193" i="4"/>
  <c r="DX193" i="4"/>
  <c r="DP193" i="4"/>
  <c r="DH193" i="4"/>
  <c r="CZ193" i="4"/>
  <c r="CR193" i="4"/>
  <c r="CJ193" i="4"/>
  <c r="CB193" i="4"/>
  <c r="BT193" i="4"/>
  <c r="BL193" i="4"/>
  <c r="BD193" i="4"/>
  <c r="AV193" i="4"/>
  <c r="AN193" i="4"/>
  <c r="AF193" i="4"/>
  <c r="X193" i="4"/>
  <c r="P193" i="4"/>
  <c r="H193" i="4"/>
  <c r="ER192" i="4"/>
  <c r="EJ192" i="4"/>
  <c r="EB192" i="4"/>
  <c r="DT192" i="4"/>
  <c r="DL192" i="4"/>
  <c r="DD192" i="4"/>
  <c r="CV192" i="4"/>
  <c r="CN192" i="4"/>
  <c r="CF192" i="4"/>
  <c r="BX192" i="4"/>
  <c r="BP192" i="4"/>
  <c r="BH192" i="4"/>
  <c r="AZ192" i="4"/>
  <c r="AR192" i="4"/>
  <c r="AJ192" i="4"/>
  <c r="AB192" i="4"/>
  <c r="T192" i="4"/>
  <c r="L192" i="4"/>
  <c r="D192" i="4"/>
  <c r="EN191" i="4"/>
  <c r="EF191" i="4"/>
  <c r="DX191" i="4"/>
  <c r="DP191" i="4"/>
  <c r="DH191" i="4"/>
  <c r="CZ191" i="4"/>
  <c r="CR191" i="4"/>
  <c r="CJ191" i="4"/>
  <c r="CB191" i="4"/>
  <c r="BT191" i="4"/>
  <c r="BL191" i="4"/>
  <c r="BD191" i="4"/>
  <c r="AV191" i="4"/>
  <c r="AN191" i="4"/>
  <c r="AF191" i="4"/>
  <c r="X191" i="4"/>
  <c r="P191" i="4"/>
  <c r="H191" i="4"/>
  <c r="ER190" i="4"/>
  <c r="EJ190" i="4"/>
  <c r="EB190" i="4"/>
  <c r="DT190" i="4"/>
  <c r="DL190" i="4"/>
  <c r="DD190" i="4"/>
  <c r="CV190" i="4"/>
  <c r="CN190" i="4"/>
  <c r="CF190" i="4"/>
  <c r="BX190" i="4"/>
  <c r="BP190" i="4"/>
  <c r="BH190" i="4"/>
  <c r="AZ190" i="4"/>
  <c r="AR190" i="4"/>
  <c r="AJ190" i="4"/>
  <c r="AB190" i="4"/>
  <c r="T190" i="4"/>
  <c r="L190" i="4"/>
  <c r="D190" i="4"/>
  <c r="EQ208" i="4"/>
  <c r="DU207" i="4"/>
  <c r="CY206" i="4"/>
  <c r="CA205" i="4"/>
  <c r="DI204" i="4"/>
  <c r="AI204" i="4"/>
  <c r="DO203" i="4"/>
  <c r="BC203" i="4"/>
  <c r="EI202" i="4"/>
  <c r="CI202" i="4"/>
  <c r="AJ202" i="4"/>
  <c r="EC201" i="4"/>
  <c r="CE201" i="4"/>
  <c r="AU201" i="4"/>
  <c r="J201" i="4"/>
  <c r="DQ200" i="4"/>
  <c r="CG200" i="4"/>
  <c r="AV200" i="4"/>
  <c r="O200" i="4"/>
  <c r="EA199" i="4"/>
  <c r="CU199" i="4"/>
  <c r="BO199" i="4"/>
  <c r="AI199" i="4"/>
  <c r="N199" i="4"/>
  <c r="EL198" i="4"/>
  <c r="DO198" i="4"/>
  <c r="CT198" i="4"/>
  <c r="CD198" i="4"/>
  <c r="BN198" i="4"/>
  <c r="AX198" i="4"/>
  <c r="AH198" i="4"/>
  <c r="R198" i="4"/>
  <c r="B198" i="4"/>
  <c r="ED197" i="4"/>
  <c r="DN197" i="4"/>
  <c r="CX197" i="4"/>
  <c r="CJ197" i="4"/>
  <c r="BZ197" i="4"/>
  <c r="BO197" i="4"/>
  <c r="BD197" i="4"/>
  <c r="AT197" i="4"/>
  <c r="AI197" i="4"/>
  <c r="Z197" i="4"/>
  <c r="Q197" i="4"/>
  <c r="H197" i="4"/>
  <c r="EQ196" i="4"/>
  <c r="EH196" i="4"/>
  <c r="DY196" i="4"/>
  <c r="DO196" i="4"/>
  <c r="DF196" i="4"/>
  <c r="CW196" i="4"/>
  <c r="CN196" i="4"/>
  <c r="CE196" i="4"/>
  <c r="BV196" i="4"/>
  <c r="BM196" i="4"/>
  <c r="BC196" i="4"/>
  <c r="AT196" i="4"/>
  <c r="AK196" i="4"/>
  <c r="AB196" i="4"/>
  <c r="S196" i="4"/>
  <c r="J196" i="4"/>
  <c r="ES195" i="4"/>
  <c r="EI195" i="4"/>
  <c r="DZ195" i="4"/>
  <c r="DQ195" i="4"/>
  <c r="DH195" i="4"/>
  <c r="CY195" i="4"/>
  <c r="CQ195" i="4"/>
  <c r="CI195" i="4"/>
  <c r="CA195" i="4"/>
  <c r="BS195" i="4"/>
  <c r="BK195" i="4"/>
  <c r="BC195" i="4"/>
  <c r="AU195" i="4"/>
  <c r="AM195" i="4"/>
  <c r="AE195" i="4"/>
  <c r="W195" i="4"/>
  <c r="O195" i="4"/>
  <c r="G195" i="4"/>
  <c r="EQ194" i="4"/>
  <c r="EI194" i="4"/>
  <c r="EA194" i="4"/>
  <c r="DS194" i="4"/>
  <c r="DK194" i="4"/>
  <c r="DC194" i="4"/>
  <c r="CU194" i="4"/>
  <c r="CM194" i="4"/>
  <c r="CE194" i="4"/>
  <c r="BW194" i="4"/>
  <c r="BO194" i="4"/>
  <c r="BG194" i="4"/>
  <c r="AY194" i="4"/>
  <c r="AQ194" i="4"/>
  <c r="AI194" i="4"/>
  <c r="AA194" i="4"/>
  <c r="S194" i="4"/>
  <c r="K194" i="4"/>
  <c r="C194" i="4"/>
  <c r="EM193" i="4"/>
  <c r="EE193" i="4"/>
  <c r="DW193" i="4"/>
  <c r="DO193" i="4"/>
  <c r="DG193" i="4"/>
  <c r="CY193" i="4"/>
  <c r="CQ193" i="4"/>
  <c r="CI193" i="4"/>
  <c r="CA193" i="4"/>
  <c r="BS193" i="4"/>
  <c r="BK193" i="4"/>
  <c r="BC193" i="4"/>
  <c r="AU193" i="4"/>
  <c r="AM193" i="4"/>
  <c r="AE193" i="4"/>
  <c r="W193" i="4"/>
  <c r="O193" i="4"/>
  <c r="G193" i="4"/>
  <c r="EQ192" i="4"/>
  <c r="EI192" i="4"/>
  <c r="EA192" i="4"/>
  <c r="DS192" i="4"/>
  <c r="DK192" i="4"/>
  <c r="DC192" i="4"/>
  <c r="CU192" i="4"/>
  <c r="CM192" i="4"/>
  <c r="CE192" i="4"/>
  <c r="BW192" i="4"/>
  <c r="BO192" i="4"/>
  <c r="BG192" i="4"/>
  <c r="AY192" i="4"/>
  <c r="AQ192" i="4"/>
  <c r="AI192" i="4"/>
  <c r="AA192" i="4"/>
  <c r="S192" i="4"/>
  <c r="K192" i="4"/>
  <c r="C192" i="4"/>
  <c r="EM191" i="4"/>
  <c r="EE191" i="4"/>
  <c r="DW191" i="4"/>
  <c r="DO191" i="4"/>
  <c r="DG191" i="4"/>
  <c r="CY191" i="4"/>
  <c r="CQ191" i="4"/>
  <c r="CI191" i="4"/>
  <c r="CA191" i="4"/>
  <c r="BS191" i="4"/>
  <c r="BK191" i="4"/>
  <c r="BC191" i="4"/>
  <c r="AU191" i="4"/>
  <c r="AM191" i="4"/>
  <c r="AE191" i="4"/>
  <c r="W191" i="4"/>
  <c r="O191" i="4"/>
  <c r="G191" i="4"/>
  <c r="EQ190" i="4"/>
  <c r="EI190" i="4"/>
  <c r="EA190" i="4"/>
  <c r="DS190" i="4"/>
  <c r="DK190" i="4"/>
  <c r="DC190" i="4"/>
  <c r="CU190" i="4"/>
  <c r="CM190" i="4"/>
  <c r="CE190" i="4"/>
  <c r="BW190" i="4"/>
  <c r="BO190" i="4"/>
  <c r="BG190" i="4"/>
  <c r="AY190" i="4"/>
  <c r="AQ190" i="4"/>
  <c r="AI190" i="4"/>
  <c r="AA190" i="4"/>
  <c r="S190" i="4"/>
  <c r="DA208" i="4"/>
  <c r="CE207" i="4"/>
  <c r="BG206" i="4"/>
  <c r="AK205" i="4"/>
  <c r="CM204" i="4"/>
  <c r="S204" i="4"/>
  <c r="CY203" i="4"/>
  <c r="AM203" i="4"/>
  <c r="DU202" i="4"/>
  <c r="BW202" i="4"/>
  <c r="W202" i="4"/>
  <c r="DP201" i="4"/>
  <c r="BV201" i="4"/>
  <c r="AK201" i="4"/>
  <c r="ES200" i="4"/>
  <c r="DH200" i="4"/>
  <c r="BX200" i="4"/>
  <c r="AM200" i="4"/>
  <c r="G200" i="4"/>
  <c r="DS199" i="4"/>
  <c r="CM199" i="4"/>
  <c r="BG199" i="4"/>
  <c r="AD199" i="4"/>
  <c r="J199" i="4"/>
  <c r="EE198" i="4"/>
  <c r="DJ198" i="4"/>
  <c r="CQ198" i="4"/>
  <c r="CA198" i="4"/>
  <c r="BK198" i="4"/>
  <c r="AU198" i="4"/>
  <c r="AE198" i="4"/>
  <c r="O198" i="4"/>
  <c r="EQ197" i="4"/>
  <c r="EA197" i="4"/>
  <c r="DK197" i="4"/>
  <c r="CU197" i="4"/>
  <c r="CH197" i="4"/>
  <c r="BW197" i="4"/>
  <c r="BL197" i="4"/>
  <c r="BB197" i="4"/>
  <c r="AQ197" i="4"/>
  <c r="AG197" i="4"/>
  <c r="X197" i="4"/>
  <c r="O197" i="4"/>
  <c r="F197" i="4"/>
  <c r="EO196" i="4"/>
  <c r="EE196" i="4"/>
  <c r="DV196" i="4"/>
  <c r="DM196" i="4"/>
  <c r="DD196" i="4"/>
  <c r="CU196" i="4"/>
  <c r="CL196" i="4"/>
  <c r="CC196" i="4"/>
  <c r="BS196" i="4"/>
  <c r="BJ196" i="4"/>
  <c r="BA196" i="4"/>
  <c r="AR196" i="4"/>
  <c r="AI196" i="4"/>
  <c r="Z196" i="4"/>
  <c r="Q196" i="4"/>
  <c r="G196" i="4"/>
  <c r="EP195" i="4"/>
  <c r="EG195" i="4"/>
  <c r="DX195" i="4"/>
  <c r="DO195" i="4"/>
  <c r="DF195" i="4"/>
  <c r="CW195" i="4"/>
  <c r="CO195" i="4"/>
  <c r="CG195" i="4"/>
  <c r="BY195" i="4"/>
  <c r="BQ195" i="4"/>
  <c r="BI195" i="4"/>
  <c r="BA195" i="4"/>
  <c r="AS195" i="4"/>
  <c r="AK195" i="4"/>
  <c r="AC195" i="4"/>
  <c r="U195" i="4"/>
  <c r="M195" i="4"/>
  <c r="E195" i="4"/>
  <c r="EO194" i="4"/>
  <c r="EG194" i="4"/>
  <c r="DY194" i="4"/>
  <c r="DQ194" i="4"/>
  <c r="DI194" i="4"/>
  <c r="DA194" i="4"/>
  <c r="CS194" i="4"/>
  <c r="CK194" i="4"/>
  <c r="CC194" i="4"/>
  <c r="BU194" i="4"/>
  <c r="BM194" i="4"/>
  <c r="BE194" i="4"/>
  <c r="AW194" i="4"/>
  <c r="AO194" i="4"/>
  <c r="AG194" i="4"/>
  <c r="Y194" i="4"/>
  <c r="Q194" i="4"/>
  <c r="I194" i="4"/>
  <c r="ES193" i="4"/>
  <c r="EK193" i="4"/>
  <c r="EC193" i="4"/>
  <c r="DU193" i="4"/>
  <c r="DM193" i="4"/>
  <c r="DE193" i="4"/>
  <c r="CW193" i="4"/>
  <c r="CO193" i="4"/>
  <c r="CG193" i="4"/>
  <c r="BY193" i="4"/>
  <c r="BQ193" i="4"/>
  <c r="BI193" i="4"/>
  <c r="BA193" i="4"/>
  <c r="AS193" i="4"/>
  <c r="AK193" i="4"/>
  <c r="AC193" i="4"/>
  <c r="U193" i="4"/>
  <c r="M193" i="4"/>
  <c r="E193" i="4"/>
  <c r="EO192" i="4"/>
  <c r="EG192" i="4"/>
  <c r="DY192" i="4"/>
  <c r="DQ192" i="4"/>
  <c r="DI192" i="4"/>
  <c r="DA192" i="4"/>
  <c r="CS192" i="4"/>
  <c r="CK192" i="4"/>
  <c r="CC192" i="4"/>
  <c r="BU192" i="4"/>
  <c r="BM192" i="4"/>
  <c r="BE192" i="4"/>
  <c r="AW192" i="4"/>
  <c r="AO192" i="4"/>
  <c r="AG192" i="4"/>
  <c r="Y192" i="4"/>
  <c r="Q192" i="4"/>
  <c r="I192" i="4"/>
  <c r="ES191" i="4"/>
  <c r="EK191" i="4"/>
  <c r="EC191" i="4"/>
  <c r="DU191" i="4"/>
  <c r="DM191" i="4"/>
  <c r="DE191" i="4"/>
  <c r="CW191" i="4"/>
  <c r="CO191" i="4"/>
  <c r="CG191" i="4"/>
  <c r="BY191" i="4"/>
  <c r="BQ191" i="4"/>
  <c r="BI191" i="4"/>
  <c r="BA191" i="4"/>
  <c r="AS191" i="4"/>
  <c r="AK191" i="4"/>
  <c r="CE208" i="4"/>
  <c r="BI207" i="4"/>
  <c r="AM206" i="4"/>
  <c r="O205" i="4"/>
  <c r="CA204" i="4"/>
  <c r="I204" i="4"/>
  <c r="CO203" i="4"/>
  <c r="AC203" i="4"/>
  <c r="DM202" i="4"/>
  <c r="BO202" i="4"/>
  <c r="O202" i="4"/>
  <c r="DH201" i="4"/>
  <c r="BP201" i="4"/>
  <c r="AF201" i="4"/>
  <c r="EM200" i="4"/>
  <c r="DC200" i="4"/>
  <c r="BR200" i="4"/>
  <c r="AH200" i="4"/>
  <c r="B200" i="4"/>
  <c r="DN199" i="4"/>
  <c r="CH199" i="4"/>
  <c r="BB199" i="4"/>
  <c r="AA199" i="4"/>
  <c r="F199" i="4"/>
  <c r="ED198" i="4"/>
  <c r="DG198" i="4"/>
  <c r="CP198" i="4"/>
  <c r="BZ198" i="4"/>
  <c r="BJ198" i="4"/>
  <c r="AT198" i="4"/>
  <c r="AD198" i="4"/>
  <c r="N198" i="4"/>
  <c r="EP197" i="4"/>
  <c r="DZ197" i="4"/>
  <c r="DJ197" i="4"/>
  <c r="CT197" i="4"/>
  <c r="CG197" i="4"/>
  <c r="BV197" i="4"/>
  <c r="BK197" i="4"/>
  <c r="BA197" i="4"/>
  <c r="AP197" i="4"/>
  <c r="AF197" i="4"/>
  <c r="W197" i="4"/>
  <c r="N197" i="4"/>
  <c r="E197" i="4"/>
  <c r="EM196" i="4"/>
  <c r="ED196" i="4"/>
  <c r="DU196" i="4"/>
  <c r="DL196" i="4"/>
  <c r="DC196" i="4"/>
  <c r="CT196" i="4"/>
  <c r="CK196" i="4"/>
  <c r="CA196" i="4"/>
  <c r="BR196" i="4"/>
  <c r="BI196" i="4"/>
  <c r="AZ196" i="4"/>
  <c r="AQ196" i="4"/>
  <c r="AH196" i="4"/>
  <c r="Y196" i="4"/>
  <c r="O196" i="4"/>
  <c r="F196" i="4"/>
  <c r="EO195" i="4"/>
  <c r="EF195" i="4"/>
  <c r="DW195" i="4"/>
  <c r="DN195" i="4"/>
  <c r="DE195" i="4"/>
  <c r="CV195" i="4"/>
  <c r="CN195" i="4"/>
  <c r="CF195" i="4"/>
  <c r="BX195" i="4"/>
  <c r="BP195" i="4"/>
  <c r="BH195" i="4"/>
  <c r="AZ195" i="4"/>
  <c r="AR195" i="4"/>
  <c r="AJ195" i="4"/>
  <c r="AB195" i="4"/>
  <c r="T195" i="4"/>
  <c r="L195" i="4"/>
  <c r="D195" i="4"/>
  <c r="EN194" i="4"/>
  <c r="EF194" i="4"/>
  <c r="DX194" i="4"/>
  <c r="DP194" i="4"/>
  <c r="DH194" i="4"/>
  <c r="CZ194" i="4"/>
  <c r="CR194" i="4"/>
  <c r="CJ194" i="4"/>
  <c r="CB194" i="4"/>
  <c r="BT194" i="4"/>
  <c r="BL194" i="4"/>
  <c r="BD194" i="4"/>
  <c r="AV194" i="4"/>
  <c r="AN194" i="4"/>
  <c r="AF194" i="4"/>
  <c r="X194" i="4"/>
  <c r="P194" i="4"/>
  <c r="H194" i="4"/>
  <c r="ER193" i="4"/>
  <c r="EJ193" i="4"/>
  <c r="EB193" i="4"/>
  <c r="DT193" i="4"/>
  <c r="DL193" i="4"/>
  <c r="DD193" i="4"/>
  <c r="CV193" i="4"/>
  <c r="CN193" i="4"/>
  <c r="CF193" i="4"/>
  <c r="BX193" i="4"/>
  <c r="BP193" i="4"/>
  <c r="BH193" i="4"/>
  <c r="AZ193" i="4"/>
  <c r="AR193" i="4"/>
  <c r="AJ193" i="4"/>
  <c r="AB193" i="4"/>
  <c r="T193" i="4"/>
  <c r="L193" i="4"/>
  <c r="D193" i="4"/>
  <c r="EN192" i="4"/>
  <c r="EF192" i="4"/>
  <c r="DX192" i="4"/>
  <c r="DP192" i="4"/>
  <c r="DH192" i="4"/>
  <c r="CZ192" i="4"/>
  <c r="CR192" i="4"/>
  <c r="CJ192" i="4"/>
  <c r="CB192" i="4"/>
  <c r="BT192" i="4"/>
  <c r="BL192" i="4"/>
  <c r="BD192" i="4"/>
  <c r="AV192" i="4"/>
  <c r="AN192" i="4"/>
  <c r="AF192" i="4"/>
  <c r="X192" i="4"/>
  <c r="P192" i="4"/>
  <c r="H192" i="4"/>
  <c r="ER191" i="4"/>
  <c r="EJ191" i="4"/>
  <c r="EB191" i="4"/>
  <c r="DT191" i="4"/>
  <c r="DL191" i="4"/>
  <c r="DD191" i="4"/>
  <c r="CV191" i="4"/>
  <c r="CN191" i="4"/>
  <c r="CF191" i="4"/>
  <c r="BX191" i="4"/>
  <c r="BP191" i="4"/>
  <c r="BH191" i="4"/>
  <c r="AZ191" i="4"/>
  <c r="AR191" i="4"/>
  <c r="AJ191" i="4"/>
  <c r="AB191" i="4"/>
  <c r="T191" i="4"/>
  <c r="L191" i="4"/>
  <c r="D191" i="4"/>
  <c r="EN190" i="4"/>
  <c r="EF190" i="4"/>
  <c r="DX190" i="4"/>
  <c r="DP190" i="4"/>
  <c r="DH190" i="4"/>
  <c r="CZ190" i="4"/>
  <c r="CR190" i="4"/>
  <c r="CJ190" i="4"/>
  <c r="CB190" i="4"/>
  <c r="BT190" i="4"/>
  <c r="BL190" i="4"/>
  <c r="BD190" i="4"/>
  <c r="AV190" i="4"/>
  <c r="AN190" i="4"/>
  <c r="AF190" i="4"/>
  <c r="X190" i="4"/>
  <c r="P190" i="4"/>
  <c r="DW208" i="4"/>
  <c r="EM205" i="4"/>
  <c r="C204" i="4"/>
  <c r="EA202" i="4"/>
  <c r="C202" i="4"/>
  <c r="AB201" i="4"/>
  <c r="CA200" i="4"/>
  <c r="EL199" i="4"/>
  <c r="AY199" i="4"/>
  <c r="EH198" i="4"/>
  <c r="CK198" i="4"/>
  <c r="AP198" i="4"/>
  <c r="ES197" i="4"/>
  <c r="DE197" i="4"/>
  <c r="BT197" i="4"/>
  <c r="AS197" i="4"/>
  <c r="U197" i="4"/>
  <c r="EL196" i="4"/>
  <c r="DN196" i="4"/>
  <c r="CQ196" i="4"/>
  <c r="BQ196" i="4"/>
  <c r="AS196" i="4"/>
  <c r="V196" i="4"/>
  <c r="EN195" i="4"/>
  <c r="DP195" i="4"/>
  <c r="CT195" i="4"/>
  <c r="BW195" i="4"/>
  <c r="BB195" i="4"/>
  <c r="AH195" i="4"/>
  <c r="K195" i="4"/>
  <c r="EH194" i="4"/>
  <c r="DN194" i="4"/>
  <c r="CQ194" i="4"/>
  <c r="BV194" i="4"/>
  <c r="BB194" i="4"/>
  <c r="AE194" i="4"/>
  <c r="J194" i="4"/>
  <c r="EH193" i="4"/>
  <c r="DK193" i="4"/>
  <c r="CP193" i="4"/>
  <c r="BV193" i="4"/>
  <c r="AY193" i="4"/>
  <c r="AD193" i="4"/>
  <c r="J193" i="4"/>
  <c r="EE192" i="4"/>
  <c r="DJ192" i="4"/>
  <c r="CP192" i="4"/>
  <c r="BS192" i="4"/>
  <c r="AX192" i="4"/>
  <c r="AD192" i="4"/>
  <c r="G192" i="4"/>
  <c r="ED191" i="4"/>
  <c r="DJ191" i="4"/>
  <c r="CM191" i="4"/>
  <c r="BR191" i="4"/>
  <c r="AX191" i="4"/>
  <c r="AC191" i="4"/>
  <c r="M191" i="4"/>
  <c r="EO190" i="4"/>
  <c r="DY190" i="4"/>
  <c r="DI190" i="4"/>
  <c r="CS190" i="4"/>
  <c r="CC190" i="4"/>
  <c r="BM190" i="4"/>
  <c r="AW190" i="4"/>
  <c r="AG190" i="4"/>
  <c r="Q190" i="4"/>
  <c r="F190" i="4"/>
  <c r="BK208" i="4"/>
  <c r="BG205" i="4"/>
  <c r="EK203" i="4"/>
  <c r="DI202" i="4"/>
  <c r="DU201" i="4"/>
  <c r="W201" i="4"/>
  <c r="BO200" i="4"/>
  <c r="DV199" i="4"/>
  <c r="AT199" i="4"/>
  <c r="DZ198" i="4"/>
  <c r="CC198" i="4"/>
  <c r="AO198" i="4"/>
  <c r="EL197" i="4"/>
  <c r="CW197" i="4"/>
  <c r="BS197" i="4"/>
  <c r="AN197" i="4"/>
  <c r="P197" i="4"/>
  <c r="EK196" i="4"/>
  <c r="DK196" i="4"/>
  <c r="CM196" i="4"/>
  <c r="BP196" i="4"/>
  <c r="AP196" i="4"/>
  <c r="R196" i="4"/>
  <c r="EM195" i="4"/>
  <c r="DM195" i="4"/>
  <c r="CP195" i="4"/>
  <c r="BV195" i="4"/>
  <c r="AY195" i="4"/>
  <c r="AD195" i="4"/>
  <c r="J195" i="4"/>
  <c r="EE194" i="4"/>
  <c r="DJ194" i="4"/>
  <c r="CP194" i="4"/>
  <c r="BS194" i="4"/>
  <c r="AX194" i="4"/>
  <c r="AD194" i="4"/>
  <c r="G194" i="4"/>
  <c r="ED193" i="4"/>
  <c r="DJ193" i="4"/>
  <c r="CM193" i="4"/>
  <c r="BR193" i="4"/>
  <c r="AX193" i="4"/>
  <c r="AA193" i="4"/>
  <c r="F193" i="4"/>
  <c r="ED192" i="4"/>
  <c r="DG192" i="4"/>
  <c r="CL192" i="4"/>
  <c r="BR192" i="4"/>
  <c r="AU192" i="4"/>
  <c r="Z192" i="4"/>
  <c r="F192" i="4"/>
  <c r="EA191" i="4"/>
  <c r="DF191" i="4"/>
  <c r="CL191" i="4"/>
  <c r="BO191" i="4"/>
  <c r="AT191" i="4"/>
  <c r="AA191" i="4"/>
  <c r="K191" i="4"/>
  <c r="EM190" i="4"/>
  <c r="DW190" i="4"/>
  <c r="DG190" i="4"/>
  <c r="CQ190" i="4"/>
  <c r="CA190" i="4"/>
  <c r="BK190" i="4"/>
  <c r="AU190" i="4"/>
  <c r="AE190" i="4"/>
  <c r="O190" i="4"/>
  <c r="C190" i="4"/>
  <c r="AO208" i="4"/>
  <c r="G205" i="4"/>
  <c r="DE203" i="4"/>
  <c r="DA202" i="4"/>
  <c r="DC201" i="4"/>
  <c r="D201" i="4"/>
  <c r="BI200" i="4"/>
  <c r="DK199" i="4"/>
  <c r="AH199" i="4"/>
  <c r="DW198" i="4"/>
  <c r="BV198" i="4"/>
  <c r="AG198" i="4"/>
  <c r="EK197" i="4"/>
  <c r="CP197" i="4"/>
  <c r="BN197" i="4"/>
  <c r="AM197" i="4"/>
  <c r="M197" i="4"/>
  <c r="EG196" i="4"/>
  <c r="DJ196" i="4"/>
  <c r="CI196" i="4"/>
  <c r="BK196" i="4"/>
  <c r="AO196" i="4"/>
  <c r="N196" i="4"/>
  <c r="EH195" i="4"/>
  <c r="DK195" i="4"/>
  <c r="CM195" i="4"/>
  <c r="BR195" i="4"/>
  <c r="AX195" i="4"/>
  <c r="AA195" i="4"/>
  <c r="F195" i="4"/>
  <c r="ED194" i="4"/>
  <c r="DG194" i="4"/>
  <c r="CL194" i="4"/>
  <c r="BR194" i="4"/>
  <c r="AU194" i="4"/>
  <c r="Z194" i="4"/>
  <c r="F194" i="4"/>
  <c r="EA193" i="4"/>
  <c r="DF193" i="4"/>
  <c r="CL193" i="4"/>
  <c r="BO193" i="4"/>
  <c r="AT193" i="4"/>
  <c r="Z193" i="4"/>
  <c r="C193" i="4"/>
  <c r="DZ192" i="4"/>
  <c r="DF192" i="4"/>
  <c r="CI192" i="4"/>
  <c r="BN192" i="4"/>
  <c r="AT192" i="4"/>
  <c r="W192" i="4"/>
  <c r="B192" i="4"/>
  <c r="DZ191" i="4"/>
  <c r="DC191" i="4"/>
  <c r="CH191" i="4"/>
  <c r="BN191" i="4"/>
  <c r="AQ191" i="4"/>
  <c r="Z191" i="4"/>
  <c r="J191" i="4"/>
  <c r="EL190" i="4"/>
  <c r="DV190" i="4"/>
  <c r="DF190" i="4"/>
  <c r="CP190" i="4"/>
  <c r="BZ190" i="4"/>
  <c r="BJ190" i="4"/>
  <c r="AT190" i="4"/>
  <c r="AD190" i="4"/>
  <c r="N190" i="4"/>
  <c r="B190" i="4"/>
  <c r="CY207" i="4"/>
  <c r="EM204" i="4"/>
  <c r="CI203" i="4"/>
  <c r="CA202" i="4"/>
  <c r="CU201" i="4"/>
  <c r="EJ200" i="4"/>
  <c r="AQ200" i="4"/>
  <c r="DF199" i="4"/>
  <c r="Z199" i="4"/>
  <c r="DN198" i="4"/>
  <c r="BU198" i="4"/>
  <c r="Z198" i="4"/>
  <c r="EC197" i="4"/>
  <c r="CO197" i="4"/>
  <c r="BJ197" i="4"/>
  <c r="AH197" i="4"/>
  <c r="K197" i="4"/>
  <c r="EC196" i="4"/>
  <c r="DE196" i="4"/>
  <c r="CH196" i="4"/>
  <c r="BH196" i="4"/>
  <c r="AJ196" i="4"/>
  <c r="M196" i="4"/>
  <c r="EE195" i="4"/>
  <c r="DG195" i="4"/>
  <c r="CL195" i="4"/>
  <c r="BO195" i="4"/>
  <c r="AT195" i="4"/>
  <c r="Z195" i="4"/>
  <c r="C195" i="4"/>
  <c r="DZ194" i="4"/>
  <c r="DF194" i="4"/>
  <c r="CI194" i="4"/>
  <c r="BN194" i="4"/>
  <c r="AT194" i="4"/>
  <c r="W194" i="4"/>
  <c r="B194" i="4"/>
  <c r="DZ193" i="4"/>
  <c r="DC193" i="4"/>
  <c r="CH193" i="4"/>
  <c r="BN193" i="4"/>
  <c r="AQ193" i="4"/>
  <c r="V193" i="4"/>
  <c r="B193" i="4"/>
  <c r="DW192" i="4"/>
  <c r="DB192" i="4"/>
  <c r="CH192" i="4"/>
  <c r="BK192" i="4"/>
  <c r="AP192" i="4"/>
  <c r="V192" i="4"/>
  <c r="EQ191" i="4"/>
  <c r="DV191" i="4"/>
  <c r="DB191" i="4"/>
  <c r="CE191" i="4"/>
  <c r="BJ191" i="4"/>
  <c r="AP191" i="4"/>
  <c r="V191" i="4"/>
  <c r="F191" i="4"/>
  <c r="EH190" i="4"/>
  <c r="DR190" i="4"/>
  <c r="DB190" i="4"/>
  <c r="CL190" i="4"/>
  <c r="BV190" i="4"/>
  <c r="BF190" i="4"/>
  <c r="AP190" i="4"/>
  <c r="Z190" i="4"/>
  <c r="K190" i="4"/>
  <c r="AM207" i="4"/>
  <c r="CU204" i="4"/>
  <c r="BY203" i="4"/>
  <c r="BI202" i="4"/>
  <c r="BY201" i="4"/>
  <c r="ED200" i="4"/>
  <c r="AE200" i="4"/>
  <c r="CP199" i="4"/>
  <c r="V199" i="4"/>
  <c r="DF198" i="4"/>
  <c r="BM198" i="4"/>
  <c r="Y198" i="4"/>
  <c r="DV197" i="4"/>
  <c r="CI197" i="4"/>
  <c r="BI197" i="4"/>
  <c r="AE197" i="4"/>
  <c r="G197" i="4"/>
  <c r="EB196" i="4"/>
  <c r="DB196" i="4"/>
  <c r="CD196" i="4"/>
  <c r="BG196" i="4"/>
  <c r="AG196" i="4"/>
  <c r="I196" i="4"/>
  <c r="ED195" i="4"/>
  <c r="DC195" i="4"/>
  <c r="CH195" i="4"/>
  <c r="BN195" i="4"/>
  <c r="AQ195" i="4"/>
  <c r="V195" i="4"/>
  <c r="B195" i="4"/>
  <c r="DW194" i="4"/>
  <c r="DB194" i="4"/>
  <c r="CH194" i="4"/>
  <c r="BK194" i="4"/>
  <c r="AP194" i="4"/>
  <c r="V194" i="4"/>
  <c r="EQ193" i="4"/>
  <c r="DV193" i="4"/>
  <c r="DB193" i="4"/>
  <c r="CE193" i="4"/>
  <c r="BJ193" i="4"/>
  <c r="AP193" i="4"/>
  <c r="S193" i="4"/>
  <c r="EP192" i="4"/>
  <c r="DV192" i="4"/>
  <c r="CY192" i="4"/>
  <c r="CD192" i="4"/>
  <c r="BJ192" i="4"/>
  <c r="AM192" i="4"/>
  <c r="R192" i="4"/>
  <c r="EP191" i="4"/>
  <c r="DS191" i="4"/>
  <c r="CX191" i="4"/>
  <c r="CD191" i="4"/>
  <c r="BG191" i="4"/>
  <c r="AL191" i="4"/>
  <c r="U191" i="4"/>
  <c r="E191" i="4"/>
  <c r="EG190" i="4"/>
  <c r="DQ190" i="4"/>
  <c r="DA190" i="4"/>
  <c r="CK190" i="4"/>
  <c r="BU190" i="4"/>
  <c r="BE190" i="4"/>
  <c r="AO190" i="4"/>
  <c r="Y190" i="4"/>
  <c r="J190" i="4"/>
  <c r="S207" i="4"/>
  <c r="BS204" i="4"/>
  <c r="AS203" i="4"/>
  <c r="BA202" i="4"/>
  <c r="BM201" i="4"/>
  <c r="DL200" i="4"/>
  <c r="Z200" i="4"/>
  <c r="CE199" i="4"/>
  <c r="K199" i="4"/>
  <c r="DB198" i="4"/>
  <c r="BF198" i="4"/>
  <c r="Q198" i="4"/>
  <c r="DU197" i="4"/>
  <c r="CE197" i="4"/>
  <c r="BC197" i="4"/>
  <c r="AD197" i="4"/>
  <c r="C197" i="4"/>
  <c r="DW196" i="4"/>
  <c r="DA196" i="4"/>
  <c r="BZ196" i="4"/>
  <c r="BB196" i="4"/>
  <c r="AE196" i="4"/>
  <c r="E196" i="4"/>
  <c r="DY195" i="4"/>
  <c r="DB195" i="4"/>
  <c r="CE195" i="4"/>
  <c r="BJ195" i="4"/>
  <c r="AP195" i="4"/>
  <c r="S195" i="4"/>
  <c r="EP194" i="4"/>
  <c r="DV194" i="4"/>
  <c r="CY194" i="4"/>
  <c r="CD194" i="4"/>
  <c r="BJ194" i="4"/>
  <c r="AM194" i="4"/>
  <c r="R194" i="4"/>
  <c r="EP193" i="4"/>
  <c r="DS193" i="4"/>
  <c r="CX193" i="4"/>
  <c r="CD193" i="4"/>
  <c r="BG193" i="4"/>
  <c r="AL193" i="4"/>
  <c r="R193" i="4"/>
  <c r="EM192" i="4"/>
  <c r="DR192" i="4"/>
  <c r="CX192" i="4"/>
  <c r="CA192" i="4"/>
  <c r="BF192" i="4"/>
  <c r="AL192" i="4"/>
  <c r="O192" i="4"/>
  <c r="EL191" i="4"/>
  <c r="DR191" i="4"/>
  <c r="CU191" i="4"/>
  <c r="BZ191" i="4"/>
  <c r="BF191" i="4"/>
  <c r="AI191" i="4"/>
  <c r="S191" i="4"/>
  <c r="C191" i="4"/>
  <c r="EE190" i="4"/>
  <c r="DO190" i="4"/>
  <c r="CY190" i="4"/>
  <c r="CI190" i="4"/>
  <c r="BS190" i="4"/>
  <c r="BC190" i="4"/>
  <c r="AM190" i="4"/>
  <c r="W190" i="4"/>
  <c r="I190" i="4"/>
  <c r="Q206" i="4"/>
  <c r="Y204" i="4"/>
  <c r="M203" i="4"/>
  <c r="K202" i="4"/>
  <c r="AO201" i="4"/>
  <c r="CS200" i="4"/>
  <c r="EQ199" i="4"/>
  <c r="BJ199" i="4"/>
  <c r="B199" i="4"/>
  <c r="CL198" i="4"/>
  <c r="AW198" i="4"/>
  <c r="I198" i="4"/>
  <c r="DF197" i="4"/>
  <c r="BY197" i="4"/>
  <c r="AX197" i="4"/>
  <c r="V197" i="4"/>
  <c r="EP196" i="4"/>
  <c r="DS196" i="4"/>
  <c r="CS196" i="4"/>
  <c r="BU196" i="4"/>
  <c r="AX196" i="4"/>
  <c r="W196" i="4"/>
  <c r="EQ195" i="4"/>
  <c r="DU195" i="4"/>
  <c r="CU195" i="4"/>
  <c r="BZ195" i="4"/>
  <c r="BF195" i="4"/>
  <c r="AI195" i="4"/>
  <c r="N195" i="4"/>
  <c r="EL194" i="4"/>
  <c r="DO194" i="4"/>
  <c r="CT194" i="4"/>
  <c r="BZ194" i="4"/>
  <c r="BC194" i="4"/>
  <c r="AH194" i="4"/>
  <c r="N194" i="4"/>
  <c r="EI193" i="4"/>
  <c r="DN193" i="4"/>
  <c r="CT193" i="4"/>
  <c r="BW193" i="4"/>
  <c r="BB193" i="4"/>
  <c r="AH193" i="4"/>
  <c r="K193" i="4"/>
  <c r="EH192" i="4"/>
  <c r="DN192" i="4"/>
  <c r="CQ192" i="4"/>
  <c r="BV192" i="4"/>
  <c r="BB192" i="4"/>
  <c r="AE192" i="4"/>
  <c r="J192" i="4"/>
  <c r="EH191" i="4"/>
  <c r="DK191" i="4"/>
  <c r="CP191" i="4"/>
  <c r="BV191" i="4"/>
  <c r="AY191" i="4"/>
  <c r="AD191" i="4"/>
  <c r="N191" i="4"/>
  <c r="EP190" i="4"/>
  <c r="DZ190" i="4"/>
  <c r="DJ190" i="4"/>
  <c r="CT190" i="4"/>
  <c r="CD190" i="4"/>
  <c r="BN190" i="4"/>
  <c r="AX190" i="4"/>
  <c r="AH190" i="4"/>
  <c r="R190" i="4"/>
  <c r="G190" i="4"/>
  <c r="CC206" i="4"/>
  <c r="C199" i="4"/>
  <c r="B197" i="4"/>
  <c r="CX195" i="4"/>
  <c r="CA194" i="4"/>
  <c r="BF193" i="4"/>
  <c r="AH192" i="4"/>
  <c r="R191" i="4"/>
  <c r="AL190" i="4"/>
  <c r="BE204" i="4"/>
  <c r="CS198" i="4"/>
  <c r="DT196" i="4"/>
  <c r="CD195" i="4"/>
  <c r="BF194" i="4"/>
  <c r="AI193" i="4"/>
  <c r="N192" i="4"/>
  <c r="B191" i="4"/>
  <c r="V190" i="4"/>
  <c r="W203" i="4"/>
  <c r="BE198" i="4"/>
  <c r="CV196" i="4"/>
  <c r="BG195" i="4"/>
  <c r="AL194" i="4"/>
  <c r="N193" i="4"/>
  <c r="EI191" i="4"/>
  <c r="ED190" i="4"/>
  <c r="H190" i="4"/>
  <c r="AB202" i="4"/>
  <c r="J198" i="4"/>
  <c r="BY196" i="4"/>
  <c r="AL195" i="4"/>
  <c r="O194" i="4"/>
  <c r="EL192" i="4"/>
  <c r="DN191" i="4"/>
  <c r="DN190" i="4"/>
  <c r="BG201" i="4"/>
  <c r="DM197" i="4"/>
  <c r="AY196" i="4"/>
  <c r="R195" i="4"/>
  <c r="EL193" i="4"/>
  <c r="DO192" i="4"/>
  <c r="CT191" i="4"/>
  <c r="CX190" i="4"/>
  <c r="CY200" i="4"/>
  <c r="CD197" i="4"/>
  <c r="AA196" i="4"/>
  <c r="EM194" i="4"/>
  <c r="DR193" i="4"/>
  <c r="CT192" i="4"/>
  <c r="BW191" i="4"/>
  <c r="CH190" i="4"/>
  <c r="BZ199" i="4"/>
  <c r="Y197" i="4"/>
  <c r="DV195" i="4"/>
  <c r="CX194" i="4"/>
  <c r="BZ193" i="4"/>
  <c r="BC192" i="4"/>
  <c r="AH191" i="4"/>
  <c r="BB190" i="4"/>
  <c r="J200" i="4"/>
  <c r="AY197" i="4"/>
  <c r="D196" i="4"/>
  <c r="DR194" i="4"/>
  <c r="CU193" i="4"/>
  <c r="BZ192" i="4"/>
  <c r="BR190" i="4"/>
  <c r="BB191" i="4"/>
  <c r="B133" i="4"/>
  <c r="ES185" i="4" l="1"/>
  <c r="ES187" i="4" s="1"/>
  <c r="DZ186" i="4"/>
  <c r="DZ187" i="4" s="1"/>
  <c r="CG185" i="4"/>
  <c r="CG187" i="4" s="1"/>
  <c r="AX184" i="4"/>
  <c r="AX186" i="4"/>
  <c r="BY183" i="4"/>
  <c r="BY187" i="4" s="1"/>
  <c r="CX185" i="4"/>
  <c r="CX187" i="4" s="1"/>
  <c r="U179" i="4"/>
  <c r="U187" i="4" s="1"/>
  <c r="D185" i="4"/>
  <c r="CO183" i="4"/>
  <c r="CO187" i="4" s="1"/>
  <c r="DF185" i="4"/>
  <c r="CJ184" i="4"/>
  <c r="CJ187" i="4" s="1"/>
  <c r="BO186" i="4"/>
  <c r="AA186" i="4"/>
  <c r="AA187" i="4" s="1"/>
  <c r="AW185" i="4"/>
  <c r="AW187" i="4" s="1"/>
  <c r="EK185" i="4"/>
  <c r="EK187" i="4" s="1"/>
  <c r="M184" i="4"/>
  <c r="DT184" i="4"/>
  <c r="DT187" i="4" s="1"/>
  <c r="CU186" i="4"/>
  <c r="CU187" i="4" s="1"/>
  <c r="DS186" i="4"/>
  <c r="DS187" i="4" s="1"/>
  <c r="BF186" i="4"/>
  <c r="EN182" i="4"/>
  <c r="EN187" i="4" s="1"/>
  <c r="EL185" i="4"/>
  <c r="EL187" i="4" s="1"/>
  <c r="BF185" i="4"/>
  <c r="B165" i="4"/>
  <c r="BH184" i="4"/>
  <c r="BH187" i="4" s="1"/>
  <c r="AQ186" i="4"/>
  <c r="AQ187" i="4" s="1"/>
  <c r="CB182" i="4"/>
  <c r="BP185" i="4"/>
  <c r="BP187" i="4" s="1"/>
  <c r="BO174" i="4"/>
  <c r="DB184" i="4"/>
  <c r="DB187" i="4" s="1"/>
  <c r="CE186" i="4"/>
  <c r="CE187" i="4" s="1"/>
  <c r="D184" i="4"/>
  <c r="D187" i="4" s="1"/>
  <c r="N176" i="4"/>
  <c r="N187" i="4" s="1"/>
  <c r="DK184" i="4"/>
  <c r="DK187" i="4" s="1"/>
  <c r="M183" i="4"/>
  <c r="CH185" i="4"/>
  <c r="CI184" i="4"/>
  <c r="CI187" i="4" s="1"/>
  <c r="AH186" i="4"/>
  <c r="AH187" i="4" s="1"/>
  <c r="P182" i="4"/>
  <c r="P187" i="4" s="1"/>
  <c r="B185" i="4"/>
  <c r="E5" i="4"/>
  <c r="EW107" i="4"/>
  <c r="DJ213" i="4"/>
  <c r="FB107" i="4"/>
  <c r="B5" i="4" s="1"/>
  <c r="G213" i="4"/>
  <c r="DZ213" i="4"/>
  <c r="CI213" i="4"/>
  <c r="CB213" i="4"/>
  <c r="DF187" i="4"/>
  <c r="DJ187" i="4"/>
  <c r="AL213" i="4"/>
  <c r="BS213" i="4"/>
  <c r="R187" i="4"/>
  <c r="EH187" i="4"/>
  <c r="DR187" i="4"/>
  <c r="CD187" i="4"/>
  <c r="J187" i="4"/>
  <c r="AF213" i="4"/>
  <c r="CR213" i="4"/>
  <c r="ET133" i="4"/>
  <c r="B6" i="4" s="1"/>
  <c r="EP187" i="4"/>
  <c r="BV187" i="4"/>
  <c r="AX213" i="4"/>
  <c r="I213" i="4"/>
  <c r="EE213" i="4"/>
  <c r="CK213" i="4"/>
  <c r="AU213" i="4"/>
  <c r="CZ213" i="4"/>
  <c r="AP187" i="4"/>
  <c r="BN187" i="4"/>
  <c r="BN213" i="4"/>
  <c r="W213" i="4"/>
  <c r="AV213" i="4"/>
  <c r="DH213" i="4"/>
  <c r="CT187" i="4"/>
  <c r="CH213" i="4"/>
  <c r="H213" i="4"/>
  <c r="DQ213" i="4"/>
  <c r="EO213" i="4"/>
  <c r="CL187" i="4"/>
  <c r="Z187" i="4"/>
  <c r="AT187" i="4"/>
  <c r="BR213" i="4"/>
  <c r="ED213" i="4"/>
  <c r="V213" i="4"/>
  <c r="EG213" i="4"/>
  <c r="BL213" i="4"/>
  <c r="DX213" i="4"/>
  <c r="CB187" i="4"/>
  <c r="W187" i="4"/>
  <c r="DV187" i="4"/>
  <c r="BB187" i="4"/>
  <c r="CW187" i="4"/>
  <c r="AK187" i="4"/>
  <c r="AH213" i="4"/>
  <c r="DO213" i="4"/>
  <c r="BU213" i="4"/>
  <c r="Z213" i="4"/>
  <c r="CP213" i="4"/>
  <c r="AE213" i="4"/>
  <c r="CS213" i="4"/>
  <c r="AQ213" i="4"/>
  <c r="DC213" i="4"/>
  <c r="L213" i="4"/>
  <c r="BX213" i="4"/>
  <c r="EJ213" i="4"/>
  <c r="AS213" i="4"/>
  <c r="DE213" i="4"/>
  <c r="CV187" i="4"/>
  <c r="AJ187" i="4"/>
  <c r="EQ187" i="4"/>
  <c r="S187" i="4"/>
  <c r="DA187" i="4"/>
  <c r="AO187" i="4"/>
  <c r="EF187" i="4"/>
  <c r="BT187" i="4"/>
  <c r="H187" i="4"/>
  <c r="EM187" i="4"/>
  <c r="CA187" i="4"/>
  <c r="O187" i="4"/>
  <c r="DN187" i="4"/>
  <c r="AL187" i="4"/>
  <c r="AC187" i="4"/>
  <c r="AP213" i="4"/>
  <c r="DF213" i="4"/>
  <c r="DI213" i="4"/>
  <c r="AN213" i="4"/>
  <c r="AY213" i="4"/>
  <c r="DK213" i="4"/>
  <c r="T213" i="4"/>
  <c r="CF213" i="4"/>
  <c r="ER213" i="4"/>
  <c r="BA213" i="4"/>
  <c r="DM213" i="4"/>
  <c r="CN187" i="4"/>
  <c r="AB187" i="4"/>
  <c r="EI187" i="4"/>
  <c r="BW187" i="4"/>
  <c r="K187" i="4"/>
  <c r="CS187" i="4"/>
  <c r="AG187" i="4"/>
  <c r="DX187" i="4"/>
  <c r="BL187" i="4"/>
  <c r="EE187" i="4"/>
  <c r="BS187" i="4"/>
  <c r="G187" i="4"/>
  <c r="AD187" i="4"/>
  <c r="DA213" i="4"/>
  <c r="BF213" i="4"/>
  <c r="B213" i="4"/>
  <c r="DV213" i="4"/>
  <c r="BK213" i="4"/>
  <c r="F213" i="4"/>
  <c r="DY213" i="4"/>
  <c r="BG213" i="4"/>
  <c r="DS213" i="4"/>
  <c r="AB213" i="4"/>
  <c r="CN213" i="4"/>
  <c r="BI213" i="4"/>
  <c r="DU213" i="4"/>
  <c r="ER187" i="4"/>
  <c r="CF187" i="4"/>
  <c r="T187" i="4"/>
  <c r="EA187" i="4"/>
  <c r="C187" i="4"/>
  <c r="CK187" i="4"/>
  <c r="Y187" i="4"/>
  <c r="DP187" i="4"/>
  <c r="BD187" i="4"/>
  <c r="DW187" i="4"/>
  <c r="BK187" i="4"/>
  <c r="CP187" i="4"/>
  <c r="V187" i="4"/>
  <c r="BB213" i="4"/>
  <c r="CX213" i="4"/>
  <c r="DN213" i="4"/>
  <c r="CD213" i="4"/>
  <c r="AM213" i="4"/>
  <c r="BV213" i="4"/>
  <c r="N213" i="4"/>
  <c r="EL213" i="4"/>
  <c r="CA213" i="4"/>
  <c r="Q213" i="4"/>
  <c r="BD213" i="4"/>
  <c r="DP213" i="4"/>
  <c r="BO213" i="4"/>
  <c r="EA213" i="4"/>
  <c r="AJ213" i="4"/>
  <c r="CV213" i="4"/>
  <c r="E213" i="4"/>
  <c r="BQ213" i="4"/>
  <c r="EC213" i="4"/>
  <c r="EJ187" i="4"/>
  <c r="BX187" i="4"/>
  <c r="L187" i="4"/>
  <c r="BG187" i="4"/>
  <c r="EO187" i="4"/>
  <c r="CC187" i="4"/>
  <c r="Q187" i="4"/>
  <c r="DH187" i="4"/>
  <c r="AV187" i="4"/>
  <c r="DO187" i="4"/>
  <c r="BC187" i="4"/>
  <c r="CH187" i="4"/>
  <c r="EC187" i="4"/>
  <c r="BQ187" i="4"/>
  <c r="E187" i="4"/>
  <c r="CT213" i="4"/>
  <c r="BC213" i="4"/>
  <c r="J213" i="4"/>
  <c r="CL213" i="4"/>
  <c r="AD213" i="4"/>
  <c r="CQ213" i="4"/>
  <c r="AG213" i="4"/>
  <c r="BW213" i="4"/>
  <c r="EI213" i="4"/>
  <c r="AR213" i="4"/>
  <c r="DD213" i="4"/>
  <c r="M213" i="4"/>
  <c r="BY213" i="4"/>
  <c r="EK213" i="4"/>
  <c r="EB187" i="4"/>
  <c r="AY187" i="4"/>
  <c r="EG187" i="4"/>
  <c r="BU187" i="4"/>
  <c r="I187" i="4"/>
  <c r="CZ187" i="4"/>
  <c r="AN187" i="4"/>
  <c r="DG187" i="4"/>
  <c r="AU187" i="4"/>
  <c r="BZ187" i="4"/>
  <c r="F187" i="4"/>
  <c r="DU187" i="4"/>
  <c r="BI187" i="4"/>
  <c r="Y213" i="4"/>
  <c r="DB213" i="4"/>
  <c r="AT213" i="4"/>
  <c r="DG213" i="4"/>
  <c r="AW213" i="4"/>
  <c r="BT213" i="4"/>
  <c r="EF213" i="4"/>
  <c r="S213" i="4"/>
  <c r="CE213" i="4"/>
  <c r="EQ213" i="4"/>
  <c r="AZ213" i="4"/>
  <c r="DL213" i="4"/>
  <c r="U213" i="4"/>
  <c r="CG213" i="4"/>
  <c r="ES213" i="4"/>
  <c r="DC187" i="4"/>
  <c r="DY187" i="4"/>
  <c r="BM187" i="4"/>
  <c r="EY107" i="4"/>
  <c r="B4" i="4" s="1"/>
  <c r="CR187" i="4"/>
  <c r="AF187" i="4"/>
  <c r="CY187" i="4"/>
  <c r="AM187" i="4"/>
  <c r="BR187" i="4"/>
  <c r="DM187" i="4"/>
  <c r="BA187" i="4"/>
  <c r="AO213" i="4"/>
  <c r="DR213" i="4"/>
  <c r="BJ213" i="4"/>
  <c r="C213" i="4"/>
  <c r="DW213" i="4"/>
  <c r="BM213" i="4"/>
  <c r="P213" i="4"/>
  <c r="EN213" i="4"/>
  <c r="AA213" i="4"/>
  <c r="CM213" i="4"/>
  <c r="BH213" i="4"/>
  <c r="DT213" i="4"/>
  <c r="AC213" i="4"/>
  <c r="CO213" i="4"/>
  <c r="DL187" i="4"/>
  <c r="AZ187" i="4"/>
  <c r="AI187" i="4"/>
  <c r="DQ187" i="4"/>
  <c r="BE187" i="4"/>
  <c r="EX107" i="4"/>
  <c r="X187" i="4"/>
  <c r="CQ187" i="4"/>
  <c r="AE187" i="4"/>
  <c r="ED187" i="4"/>
  <c r="BJ187" i="4"/>
  <c r="DE187" i="4"/>
  <c r="AS187" i="4"/>
  <c r="R213" i="4"/>
  <c r="EP213" i="4"/>
  <c r="CY213" i="4"/>
  <c r="BE213" i="4"/>
  <c r="K213" i="4"/>
  <c r="EH213" i="4"/>
  <c r="BZ213" i="4"/>
  <c r="O213" i="4"/>
  <c r="EM213" i="4"/>
  <c r="CC213" i="4"/>
  <c r="X213" i="4"/>
  <c r="CJ213" i="4"/>
  <c r="AI213" i="4"/>
  <c r="CU213" i="4"/>
  <c r="D213" i="4"/>
  <c r="BP213" i="4"/>
  <c r="EB213" i="4"/>
  <c r="AK213" i="4"/>
  <c r="CW213" i="4"/>
  <c r="DD187" i="4"/>
  <c r="AR187" i="4"/>
  <c r="CM187" i="4"/>
  <c r="DI187" i="4"/>
  <c r="B2" i="4" l="1"/>
  <c r="BF187" i="4"/>
  <c r="BO187" i="4"/>
  <c r="AX187" i="4"/>
  <c r="M187" i="4"/>
  <c r="B187" i="4"/>
  <c r="ET213" i="4"/>
  <c r="ET187" i="4" l="1"/>
</calcChain>
</file>

<file path=xl/sharedStrings.xml><?xml version="1.0" encoding="utf-8"?>
<sst xmlns="http://schemas.openxmlformats.org/spreadsheetml/2006/main" count="2029" uniqueCount="219">
  <si>
    <t>Chg Wt</t>
  </si>
  <si>
    <t>From / To</t>
  </si>
  <si>
    <t>Demand</t>
  </si>
  <si>
    <t>Unit Cost</t>
  </si>
  <si>
    <t>Baddi</t>
  </si>
  <si>
    <t>Cuttack</t>
  </si>
  <si>
    <t>Ahmedabad</t>
  </si>
  <si>
    <t>Indore</t>
  </si>
  <si>
    <t>Raipur</t>
  </si>
  <si>
    <t>Qty</t>
  </si>
  <si>
    <t>Total Cost</t>
  </si>
  <si>
    <t>Outbound</t>
  </si>
  <si>
    <t>Parwanoo</t>
  </si>
  <si>
    <t>Roorkee</t>
  </si>
  <si>
    <t>Zirakpur</t>
  </si>
  <si>
    <t>Ambala</t>
  </si>
  <si>
    <t>Delhi</t>
  </si>
  <si>
    <t>Ghaziabad</t>
  </si>
  <si>
    <t>Jaipur</t>
  </si>
  <si>
    <t>Lucknow</t>
  </si>
  <si>
    <t>Bangalore</t>
  </si>
  <si>
    <t>Coimbatore</t>
  </si>
  <si>
    <t>Hyderabad</t>
  </si>
  <si>
    <t>Vijayawada</t>
  </si>
  <si>
    <t>Cochin</t>
  </si>
  <si>
    <t>Pune</t>
  </si>
  <si>
    <t>Kolkata</t>
  </si>
  <si>
    <t>Patna</t>
  </si>
  <si>
    <t>Ranchi</t>
  </si>
  <si>
    <t>Guwahati</t>
  </si>
  <si>
    <t>Agra</t>
  </si>
  <si>
    <t>Ahmednagar</t>
  </si>
  <si>
    <t>Akola</t>
  </si>
  <si>
    <t>Aligarh</t>
  </si>
  <si>
    <t>Allahabad</t>
  </si>
  <si>
    <t>Amritsar</t>
  </si>
  <si>
    <t>Anand</t>
  </si>
  <si>
    <t>Aurangabad</t>
  </si>
  <si>
    <t>Balasore</t>
  </si>
  <si>
    <t>Ballia</t>
  </si>
  <si>
    <t>Baramati</t>
  </si>
  <si>
    <t>Bareilly</t>
  </si>
  <si>
    <t>Barpeta</t>
  </si>
  <si>
    <t>Basti</t>
  </si>
  <si>
    <t>Begusarai</t>
  </si>
  <si>
    <t>Behrampur</t>
  </si>
  <si>
    <t>Belgaum</t>
  </si>
  <si>
    <t>Bhagalpur</t>
  </si>
  <si>
    <t>Bhatinda</t>
  </si>
  <si>
    <t>Bhavnagar</t>
  </si>
  <si>
    <t>Bhiwani</t>
  </si>
  <si>
    <t>Bhubaneshwar</t>
  </si>
  <si>
    <t>Bikaner</t>
  </si>
  <si>
    <t>Bongaigaon</t>
  </si>
  <si>
    <t>Burdwan</t>
  </si>
  <si>
    <t>Calicut</t>
  </si>
  <si>
    <t>Chandigarh</t>
  </si>
  <si>
    <t>Chapra</t>
  </si>
  <si>
    <t>Chennai</t>
  </si>
  <si>
    <t xml:space="preserve">Chintamani </t>
  </si>
  <si>
    <t>Chittoor</t>
  </si>
  <si>
    <t>Cuddalore</t>
  </si>
  <si>
    <t>Darbhanga</t>
  </si>
  <si>
    <t>Davangere</t>
  </si>
  <si>
    <t>Deoghar</t>
  </si>
  <si>
    <t>Deoria</t>
  </si>
  <si>
    <t>Dhanbad</t>
  </si>
  <si>
    <t>Ernakulam</t>
  </si>
  <si>
    <t>Erode</t>
  </si>
  <si>
    <t>Etawah</t>
  </si>
  <si>
    <t>Faizabad</t>
  </si>
  <si>
    <t>Faridkot</t>
  </si>
  <si>
    <t>Gaya</t>
  </si>
  <si>
    <t>Godavari</t>
  </si>
  <si>
    <t>Gorakpur</t>
  </si>
  <si>
    <t>Gulbarga</t>
  </si>
  <si>
    <t>Guntur</t>
  </si>
  <si>
    <t>Gurudaspur</t>
  </si>
  <si>
    <t>Gwalior</t>
  </si>
  <si>
    <t>Hajipur</t>
  </si>
  <si>
    <t>Hanumangarh</t>
  </si>
  <si>
    <t>Haridwar</t>
  </si>
  <si>
    <t>Himmatnagar</t>
  </si>
  <si>
    <t>Hisar</t>
  </si>
  <si>
    <t>Hoshangabad</t>
  </si>
  <si>
    <t>Hubli</t>
  </si>
  <si>
    <t>Jabalpur</t>
  </si>
  <si>
    <t>Jalandhar</t>
  </si>
  <si>
    <t>Jalgaon</t>
  </si>
  <si>
    <t>Jhunjhunu</t>
  </si>
  <si>
    <t>Jind</t>
  </si>
  <si>
    <t>Jodhpur</t>
  </si>
  <si>
    <t>Jorhat</t>
  </si>
  <si>
    <t>Junagadh</t>
  </si>
  <si>
    <t>Kangra</t>
  </si>
  <si>
    <t>Kannur</t>
  </si>
  <si>
    <t>Kanpur</t>
  </si>
  <si>
    <t>Karimnagar</t>
  </si>
  <si>
    <t>Karnal</t>
  </si>
  <si>
    <t>Khanna</t>
  </si>
  <si>
    <t>Kolhapur</t>
  </si>
  <si>
    <t>Kota</t>
  </si>
  <si>
    <t>Kotayyam</t>
  </si>
  <si>
    <t>Kotputaly</t>
  </si>
  <si>
    <t>Krishnagiri</t>
  </si>
  <si>
    <t>Kuchaman</t>
  </si>
  <si>
    <t>Lakhimpur</t>
  </si>
  <si>
    <t>Ludhiana</t>
  </si>
  <si>
    <t>Madurai</t>
  </si>
  <si>
    <t>Mahbubnagar</t>
  </si>
  <si>
    <t>Malegaon</t>
  </si>
  <si>
    <t>Meerut</t>
  </si>
  <si>
    <t>Mehsana</t>
  </si>
  <si>
    <t>Midnapur</t>
  </si>
  <si>
    <t>Moga</t>
  </si>
  <si>
    <t>Moradabad</t>
  </si>
  <si>
    <t>Motihari</t>
  </si>
  <si>
    <t>Mumbai</t>
  </si>
  <si>
    <t>Muzaffarnagar</t>
  </si>
  <si>
    <t>Muzaffarpur</t>
  </si>
  <si>
    <t>Mysore</t>
  </si>
  <si>
    <t>Nagaon</t>
  </si>
  <si>
    <t>Namakkal</t>
  </si>
  <si>
    <t>Nanded</t>
  </si>
  <si>
    <t>Nashik</t>
  </si>
  <si>
    <t>Nasik</t>
  </si>
  <si>
    <t>Navsari</t>
  </si>
  <si>
    <t>Palsana</t>
  </si>
  <si>
    <t>Palwal</t>
  </si>
  <si>
    <t>Purnia</t>
  </si>
  <si>
    <t>Purulia</t>
  </si>
  <si>
    <t>Rajkot</t>
  </si>
  <si>
    <t>Rewari</t>
  </si>
  <si>
    <t>Rohtak</t>
  </si>
  <si>
    <t>Rudrapur</t>
  </si>
  <si>
    <t>Saharsa</t>
  </si>
  <si>
    <t>Salem</t>
  </si>
  <si>
    <t>Samastipur</t>
  </si>
  <si>
    <t>Sangamner</t>
  </si>
  <si>
    <t>Sangli</t>
  </si>
  <si>
    <t>Sangrur</t>
  </si>
  <si>
    <t>Satara</t>
  </si>
  <si>
    <t>Shimoga</t>
  </si>
  <si>
    <t>Siliguri</t>
  </si>
  <si>
    <t>Sitamarhi</t>
  </si>
  <si>
    <t>Siwan</t>
  </si>
  <si>
    <t>Solapur</t>
  </si>
  <si>
    <t>Sonipat</t>
  </si>
  <si>
    <t>Sriganganagar</t>
  </si>
  <si>
    <t>Srinagar</t>
  </si>
  <si>
    <t>Sujalpur</t>
  </si>
  <si>
    <t>Tanuku</t>
  </si>
  <si>
    <t>Trichy</t>
  </si>
  <si>
    <t>Trissur</t>
  </si>
  <si>
    <t>Trivandrum</t>
  </si>
  <si>
    <t>Udaipur</t>
  </si>
  <si>
    <t>Ujjain</t>
  </si>
  <si>
    <t>Varanasi</t>
  </si>
  <si>
    <t>Vellore</t>
  </si>
  <si>
    <t>Vishakhapatnam</t>
  </si>
  <si>
    <t>Total</t>
  </si>
  <si>
    <t xml:space="preserve">Delhi   </t>
  </si>
  <si>
    <t xml:space="preserve">Jaipur </t>
  </si>
  <si>
    <t xml:space="preserve">Pune </t>
  </si>
  <si>
    <t xml:space="preserve">Roorkee </t>
  </si>
  <si>
    <t>Inbound Cost</t>
  </si>
  <si>
    <t>DC Cost-Fixed</t>
  </si>
  <si>
    <t>DC Handling</t>
  </si>
  <si>
    <t>Outbound Cost</t>
  </si>
  <si>
    <t>Yi</t>
  </si>
  <si>
    <t>FC</t>
  </si>
  <si>
    <t>HC</t>
  </si>
  <si>
    <t>M*Yi</t>
  </si>
  <si>
    <t>Total HC</t>
  </si>
  <si>
    <t>Zirakhpur</t>
  </si>
  <si>
    <t>Number</t>
  </si>
  <si>
    <t>Min</t>
  </si>
  <si>
    <t>Max</t>
  </si>
  <si>
    <t xml:space="preserve"># DCs to Open </t>
  </si>
  <si>
    <t>LOS - Maximum Avg Distance</t>
  </si>
  <si>
    <t>Midnapore</t>
  </si>
  <si>
    <t>Less than 500Km</t>
  </si>
  <si>
    <t>Max Avg Distance</t>
  </si>
  <si>
    <t>%SLA</t>
  </si>
  <si>
    <t>SLA</t>
  </si>
  <si>
    <t>Space</t>
  </si>
  <si>
    <t>Distance</t>
  </si>
  <si>
    <t>Plant to DC</t>
  </si>
  <si>
    <t>They have a wide distribution network with presence in 148 cities across India</t>
  </si>
  <si>
    <t>They  have estimated the demand across these 148 cities over next 5 years</t>
  </si>
  <si>
    <t xml:space="preserve"> 90% of the demand should be catered within 24 hours</t>
  </si>
  <si>
    <t>to cater to any demand within 24 hours</t>
  </si>
  <si>
    <t>Their Logistics department has also estimated the transportation cost from Plant to these 23 warehouses</t>
  </si>
  <si>
    <t>And Transportation cost from these 23 warehouses to 148 cities where they have their distribution presence</t>
  </si>
  <si>
    <t>a. How many warehouses would be required to deliver a Service Level of 90%</t>
  </si>
  <si>
    <t>As a Supply Chain Planner, you are assigned the task to Optimize the Overall Supply Chain Costs</t>
  </si>
  <si>
    <t>For the optimized solution,</t>
  </si>
  <si>
    <t>b. Where would these warehouses be located?</t>
  </si>
  <si>
    <t>c. What will be the most optimized Overall Supply Chain Cost</t>
  </si>
  <si>
    <t>Wt (MT)</t>
  </si>
  <si>
    <t>Transportation Cost from Plant to DC</t>
  </si>
  <si>
    <t>Unit Cost (INR/Kg)</t>
  </si>
  <si>
    <t>Transportation Cost from DC to Distributors</t>
  </si>
  <si>
    <t>They have also identified a co-relation between warehouse throughput and space requirement</t>
  </si>
  <si>
    <t>Warehouse Fixed Cost is estimated to be INR 50 per Sq ft</t>
  </si>
  <si>
    <t>Space requirement (in Sq ft) = Throughput * (0.005)</t>
  </si>
  <si>
    <t>Warehouse</t>
  </si>
  <si>
    <t>Cost (INR/Kg)</t>
  </si>
  <si>
    <t>Handling Cost</t>
  </si>
  <si>
    <t>Distance Matrix (Kms)</t>
  </si>
  <si>
    <t>Warehouse Handling cost is a variable cost basis the annual throughput and varies for each location</t>
  </si>
  <si>
    <t>Case Study: Location Planning</t>
  </si>
  <si>
    <t>Nutrivets is an Animal nutrition company with its processing unit at Baddi, Himachal Pradesh</t>
  </si>
  <si>
    <t>Nutrivets's Management has advised their Supply Chain Department for the following SLA</t>
  </si>
  <si>
    <t xml:space="preserve">Nutrivets's Supply Chain Planning has identified 23 probable locations to setup their warehouses </t>
  </si>
  <si>
    <t>Nutrivets has also identified the warehouse Fixed cost as well as Handling costs at these 23 locations</t>
  </si>
  <si>
    <t>d. Sensitivity analysis of Max Distance from Warehouse Vs Service Levels</t>
  </si>
  <si>
    <t>LOS - Minimum PctInKm</t>
  </si>
  <si>
    <t>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</si>
</sst>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43" fontId="0" fillId="0" borderId="1" xfId="0" applyNumberFormat="1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2" fillId="0" borderId="10" xfId="0" applyFont="1" applyBorder="1"/>
    <xf numFmtId="2" fontId="0" fillId="0" borderId="1" xfId="0" applyNumberFormat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21" xfId="0" applyBorder="1"/>
    <xf numFmtId="0" fontId="2" fillId="0" borderId="11" xfId="0" applyFont="1" applyBorder="1"/>
    <xf numFmtId="0" fontId="0" fillId="0" borderId="5" xfId="0" applyBorder="1"/>
    <xf numFmtId="0" fontId="0" fillId="0" borderId="7" xfId="0" applyBorder="1"/>
    <xf numFmtId="43" fontId="0" fillId="0" borderId="5" xfId="1" applyFont="1" applyBorder="1"/>
    <xf numFmtId="43" fontId="0" fillId="0" borderId="7" xfId="1" applyFont="1" applyBorder="1"/>
    <xf numFmtId="0" fontId="0" fillId="0" borderId="0" xfId="0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7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22" xfId="0" applyBorder="1"/>
    <xf numFmtId="0" fontId="0" fillId="0" borderId="9" xfId="0" applyBorder="1"/>
    <xf numFmtId="0" fontId="2" fillId="0" borderId="20" xfId="0" applyFont="1" applyBorder="1"/>
    <xf numFmtId="43" fontId="0" fillId="0" borderId="9" xfId="1" applyFont="1" applyBorder="1"/>
    <xf numFmtId="43" fontId="0" fillId="0" borderId="5" xfId="0" applyNumberFormat="1" applyBorder="1"/>
    <xf numFmtId="43" fontId="0" fillId="0" borderId="22" xfId="0" applyNumberFormat="1" applyBorder="1"/>
    <xf numFmtId="43" fontId="0" fillId="0" borderId="7" xfId="0" applyNumberFormat="1" applyBorder="1"/>
    <xf numFmtId="43" fontId="0" fillId="0" borderId="21" xfId="0" applyNumberFormat="1" applyBorder="1"/>
    <xf numFmtId="43" fontId="0" fillId="0" borderId="9" xfId="0" applyNumberFormat="1" applyBorder="1"/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4" borderId="11" xfId="1" applyNumberFormat="1" applyFont="1" applyFill="1" applyBorder="1" applyAlignment="1">
      <alignment vertical="center"/>
    </xf>
    <xf numFmtId="0" fontId="3" fillId="0" borderId="0" xfId="2" applyAlignment="1">
      <alignment horizontal="right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0" fillId="0" borderId="8" xfId="0" applyBorder="1" applyAlignment="1">
      <alignment vertical="center"/>
    </xf>
    <xf numFmtId="164" fontId="0" fillId="0" borderId="9" xfId="1" applyNumberFormat="1" applyFont="1" applyBorder="1" applyAlignment="1">
      <alignment vertical="center"/>
    </xf>
    <xf numFmtId="0" fontId="3" fillId="0" borderId="2" xfId="2" applyBorder="1" applyAlignment="1">
      <alignment horizontal="right" vertical="center"/>
    </xf>
    <xf numFmtId="1" fontId="3" fillId="0" borderId="14" xfId="2" applyNumberFormat="1" applyBorder="1" applyAlignment="1">
      <alignment horizontal="center" vertical="center"/>
    </xf>
    <xf numFmtId="0" fontId="3" fillId="5" borderId="2" xfId="2" applyFill="1" applyBorder="1" applyAlignment="1">
      <alignment horizontal="center" vertical="center"/>
    </xf>
    <xf numFmtId="0" fontId="3" fillId="5" borderId="3" xfId="2" applyFill="1" applyBorder="1" applyAlignment="1">
      <alignment horizontal="center" vertical="center"/>
    </xf>
    <xf numFmtId="0" fontId="3" fillId="0" borderId="4" xfId="2" applyBorder="1" applyAlignment="1">
      <alignment horizontal="right" vertical="center"/>
    </xf>
    <xf numFmtId="165" fontId="3" fillId="0" borderId="13" xfId="3" applyNumberFormat="1" applyFont="1" applyBorder="1" applyAlignment="1">
      <alignment horizontal="center" vertical="center"/>
    </xf>
    <xf numFmtId="0" fontId="3" fillId="2" borderId="4" xfId="2" applyFill="1" applyBorder="1" applyAlignment="1">
      <alignment horizontal="center" vertical="center"/>
    </xf>
    <xf numFmtId="0" fontId="3" fillId="5" borderId="5" xfId="2" applyFill="1" applyBorder="1" applyAlignment="1">
      <alignment horizontal="center" vertical="center"/>
    </xf>
    <xf numFmtId="0" fontId="3" fillId="0" borderId="6" xfId="2" applyBorder="1" applyAlignment="1">
      <alignment horizontal="right" vertical="center"/>
    </xf>
    <xf numFmtId="165" fontId="3" fillId="0" borderId="15" xfId="3" applyFont="1" applyBorder="1" applyAlignment="1">
      <alignment horizontal="center" vertical="center"/>
    </xf>
    <xf numFmtId="0" fontId="3" fillId="2" borderId="7" xfId="2" applyFill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5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vertical="center"/>
    </xf>
    <xf numFmtId="9" fontId="0" fillId="0" borderId="0" xfId="5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164" fontId="0" fillId="3" borderId="0" xfId="0" applyNumberFormat="1" applyFill="1" applyAlignment="1">
      <alignment vertical="center"/>
    </xf>
    <xf numFmtId="43" fontId="0" fillId="0" borderId="1" xfId="0" applyNumberFormat="1" applyBorder="1" applyAlignment="1">
      <alignment vertical="center"/>
    </xf>
    <xf numFmtId="43" fontId="0" fillId="0" borderId="12" xfId="0" applyNumberFormat="1" applyBorder="1" applyAlignment="1">
      <alignment vertical="center"/>
    </xf>
    <xf numFmtId="10" fontId="0" fillId="0" borderId="0" xfId="5" applyNumberFormat="1" applyFont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43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164" fontId="0" fillId="3" borderId="12" xfId="1" applyNumberFormat="1" applyFont="1" applyFill="1" applyBorder="1" applyAlignment="1">
      <alignment vertical="center"/>
    </xf>
    <xf numFmtId="164" fontId="0" fillId="3" borderId="0" xfId="1" applyNumberFormat="1" applyFont="1" applyFill="1" applyAlignment="1">
      <alignment vertical="center"/>
    </xf>
    <xf numFmtId="164" fontId="0" fillId="0" borderId="0" xfId="1" applyNumberFormat="1" applyFont="1" applyFill="1" applyAlignment="1">
      <alignment vertical="center"/>
    </xf>
    <xf numFmtId="164" fontId="0" fillId="3" borderId="1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3" fontId="2" fillId="0" borderId="10" xfId="0" applyNumberFormat="1" applyFont="1" applyBorder="1" applyAlignment="1">
      <alignment vertical="center"/>
    </xf>
    <xf numFmtId="43" fontId="2" fillId="0" borderId="20" xfId="0" applyNumberFormat="1" applyFont="1" applyBorder="1" applyAlignment="1">
      <alignment vertical="center"/>
    </xf>
    <xf numFmtId="43" fontId="2" fillId="0" borderId="11" xfId="0" applyNumberFormat="1" applyFont="1" applyBorder="1" applyAlignment="1">
      <alignment vertical="center"/>
    </xf>
    <xf numFmtId="43" fontId="2" fillId="3" borderId="19" xfId="0" applyNumberFormat="1" applyFont="1" applyFill="1" applyBorder="1" applyAlignment="1">
      <alignment vertical="center"/>
    </xf>
    <xf numFmtId="43" fontId="0" fillId="3" borderId="0" xfId="0" applyNumberFormat="1" applyFill="1" applyAlignment="1">
      <alignment vertical="center"/>
    </xf>
    <xf numFmtId="0" fontId="2" fillId="6" borderId="16" xfId="0" applyFont="1" applyFill="1" applyBorder="1" applyAlignment="1">
      <alignment vertical="center"/>
    </xf>
    <xf numFmtId="9" fontId="2" fillId="6" borderId="17" xfId="0" applyNumberFormat="1" applyFont="1" applyFill="1" applyBorder="1" applyAlignment="1">
      <alignment vertical="center"/>
    </xf>
    <xf numFmtId="0" fontId="2" fillId="6" borderId="18" xfId="0" applyFont="1" applyFill="1" applyBorder="1" applyAlignment="1">
      <alignment vertical="center"/>
    </xf>
    <xf numFmtId="10" fontId="0" fillId="0" borderId="1" xfId="5" applyNumberFormat="1" applyFont="1" applyBorder="1" applyAlignment="1">
      <alignment vertical="center"/>
    </xf>
    <xf numFmtId="2" fontId="3" fillId="0" borderId="15" xfId="5" applyNumberFormat="1" applyFont="1" applyBorder="1" applyAlignment="1">
      <alignment horizontal="center" vertical="center"/>
    </xf>
    <xf numFmtId="10" fontId="0" fillId="0" borderId="1" xfId="5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2" fontId="0" fillId="0" borderId="0" xfId="5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</cellXfs>
  <cellStyles count="6">
    <cellStyle name="Comma" xfId="1" builtinId="3"/>
    <cellStyle name="Comma 3" xfId="3" xr:uid="{00000000-0005-0000-0000-000001000000}"/>
    <cellStyle name="Normal" xfId="0" builtinId="0"/>
    <cellStyle name="Normal 3" xfId="2" xr:uid="{00000000-0005-0000-0000-000003000000}"/>
    <cellStyle name="Percent" xfId="5" builtinId="5"/>
    <cellStyle name="Percent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1</xdr:row>
      <xdr:rowOff>19050</xdr:rowOff>
    </xdr:from>
    <xdr:to>
      <xdr:col>2</xdr:col>
      <xdr:colOff>238185</xdr:colOff>
      <xdr:row>2</xdr:row>
      <xdr:rowOff>181163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3F840-18BC-48E7-9FCA-4F80E8E7B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217170"/>
          <a:ext cx="1998404" cy="360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529589</xdr:colOff>
      <xdr:row>36</xdr:row>
      <xdr:rowOff>147320</xdr:rowOff>
    </xdr:from>
    <xdr:to>
      <xdr:col>77</xdr:col>
      <xdr:colOff>217169</xdr:colOff>
      <xdr:row>38</xdr:row>
      <xdr:rowOff>35560</xdr:rowOff>
    </xdr:to>
    <xdr:sp macro="" textlink="">
      <xdr:nvSpPr>
        <xdr:cNvPr id="2" name="OpenSolver9">
          <a:extLst>
            <a:ext uri="{FF2B5EF4-FFF2-40B4-BE49-F238E27FC236}">
              <a16:creationId xmlns:a16="http://schemas.microsoft.com/office/drawing/2014/main" id="{64F9D35E-168C-49CC-8E5B-2DB7BBCB8EBC}"/>
            </a:ext>
          </a:extLst>
        </xdr:cNvPr>
        <xdr:cNvSpPr/>
      </xdr:nvSpPr>
      <xdr:spPr>
        <a:xfrm>
          <a:off x="52246529" y="110286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89</xdr:col>
      <xdr:colOff>102870</xdr:colOff>
      <xdr:row>48</xdr:row>
      <xdr:rowOff>59055</xdr:rowOff>
    </xdr:from>
    <xdr:to>
      <xdr:col>89</xdr:col>
      <xdr:colOff>483870</xdr:colOff>
      <xdr:row>49</xdr:row>
      <xdr:rowOff>130175</xdr:rowOff>
    </xdr:to>
    <xdr:sp macro="" textlink="">
      <xdr:nvSpPr>
        <xdr:cNvPr id="3" name="OpenSolver13">
          <a:extLst>
            <a:ext uri="{FF2B5EF4-FFF2-40B4-BE49-F238E27FC236}">
              <a16:creationId xmlns:a16="http://schemas.microsoft.com/office/drawing/2014/main" id="{67003826-4FA8-47E4-BFAB-3A0111B1E880}"/>
            </a:ext>
          </a:extLst>
        </xdr:cNvPr>
        <xdr:cNvSpPr/>
      </xdr:nvSpPr>
      <xdr:spPr>
        <a:xfrm>
          <a:off x="60674250" y="13134975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49</xdr:row>
      <xdr:rowOff>0</xdr:rowOff>
    </xdr:from>
    <xdr:to>
      <xdr:col>24</xdr:col>
      <xdr:colOff>1</xdr:colOff>
      <xdr:row>50</xdr:row>
      <xdr:rowOff>0</xdr:rowOff>
    </xdr:to>
    <xdr:sp macro="" textlink="">
      <xdr:nvSpPr>
        <xdr:cNvPr id="336" name="OpenSolver1">
          <a:extLst>
            <a:ext uri="{FF2B5EF4-FFF2-40B4-BE49-F238E27FC236}">
              <a16:creationId xmlns:a16="http://schemas.microsoft.com/office/drawing/2014/main" id="{A0881714-5809-F1D6-E911-5584AB85F329}"/>
            </a:ext>
          </a:extLst>
        </xdr:cNvPr>
        <xdr:cNvSpPr/>
      </xdr:nvSpPr>
      <xdr:spPr>
        <a:xfrm>
          <a:off x="990600" y="9067800"/>
          <a:ext cx="17815561" cy="18288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149</xdr:col>
      <xdr:colOff>0</xdr:colOff>
      <xdr:row>105</xdr:row>
      <xdr:rowOff>182879</xdr:rowOff>
    </xdr:to>
    <xdr:sp macro="" textlink="">
      <xdr:nvSpPr>
        <xdr:cNvPr id="337" name="OpenSolver2">
          <a:extLst>
            <a:ext uri="{FF2B5EF4-FFF2-40B4-BE49-F238E27FC236}">
              <a16:creationId xmlns:a16="http://schemas.microsoft.com/office/drawing/2014/main" id="{5E812C24-13C8-518A-9D45-A2B3EB7ECFFC}"/>
            </a:ext>
          </a:extLst>
        </xdr:cNvPr>
        <xdr:cNvSpPr/>
      </xdr:nvSpPr>
      <xdr:spPr>
        <a:xfrm>
          <a:off x="990600" y="15285720"/>
          <a:ext cx="103898700" cy="420623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151</xdr:col>
      <xdr:colOff>5</xdr:colOff>
      <xdr:row>83</xdr:row>
      <xdr:rowOff>0</xdr:rowOff>
    </xdr:from>
    <xdr:to>
      <xdr:col>152</xdr:col>
      <xdr:colOff>5</xdr:colOff>
      <xdr:row>105</xdr:row>
      <xdr:rowOff>182879</xdr:rowOff>
    </xdr:to>
    <xdr:sp macro="" textlink="">
      <xdr:nvSpPr>
        <xdr:cNvPr id="338" name="OpenSolver3">
          <a:extLst>
            <a:ext uri="{FF2B5EF4-FFF2-40B4-BE49-F238E27FC236}">
              <a16:creationId xmlns:a16="http://schemas.microsoft.com/office/drawing/2014/main" id="{3888CD96-10C8-1D04-ED33-05C94488E7F9}"/>
            </a:ext>
          </a:extLst>
        </xdr:cNvPr>
        <xdr:cNvSpPr/>
      </xdr:nvSpPr>
      <xdr:spPr>
        <a:xfrm>
          <a:off x="106367585" y="15285720"/>
          <a:ext cx="609600" cy="420623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sp macro="" textlink="">
      <xdr:nvSpPr>
        <xdr:cNvPr id="339" name="OpenSolver4">
          <a:extLst>
            <a:ext uri="{FF2B5EF4-FFF2-40B4-BE49-F238E27FC236}">
              <a16:creationId xmlns:a16="http://schemas.microsoft.com/office/drawing/2014/main" id="{1DA64FEE-5505-8022-E244-E1062C6FD34D}"/>
            </a:ext>
          </a:extLst>
        </xdr:cNvPr>
        <xdr:cNvSpPr/>
      </xdr:nvSpPr>
      <xdr:spPr>
        <a:xfrm>
          <a:off x="990600" y="190500"/>
          <a:ext cx="94488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977900</xdr:colOff>
      <xdr:row>0</xdr:row>
      <xdr:rowOff>114300</xdr:rowOff>
    </xdr:from>
    <xdr:to>
      <xdr:col>1</xdr:col>
      <xdr:colOff>218389</xdr:colOff>
      <xdr:row>1</xdr:row>
      <xdr:rowOff>50800</xdr:rowOff>
    </xdr:to>
    <xdr:sp macro="" textlink="">
      <xdr:nvSpPr>
        <xdr:cNvPr id="340" name="OpenSolver5">
          <a:extLst>
            <a:ext uri="{FF2B5EF4-FFF2-40B4-BE49-F238E27FC236}">
              <a16:creationId xmlns:a16="http://schemas.microsoft.com/office/drawing/2014/main" id="{5567B9E8-B3C4-E618-58D8-1B51CCE4C385}"/>
            </a:ext>
          </a:extLst>
        </xdr:cNvPr>
        <xdr:cNvSpPr/>
      </xdr:nvSpPr>
      <xdr:spPr>
        <a:xfrm>
          <a:off x="977900" y="114300"/>
          <a:ext cx="231089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IN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341" name="OpenSolver6">
          <a:extLst>
            <a:ext uri="{FF2B5EF4-FFF2-40B4-BE49-F238E27FC236}">
              <a16:creationId xmlns:a16="http://schemas.microsoft.com/office/drawing/2014/main" id="{FEDE1F77-A852-2171-CB06-1819B726F1BF}"/>
            </a:ext>
          </a:extLst>
        </xdr:cNvPr>
        <xdr:cNvSpPr/>
      </xdr:nvSpPr>
      <xdr:spPr>
        <a:xfrm>
          <a:off x="3878580" y="396240"/>
          <a:ext cx="1158240" cy="19812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342" name="OpenSolver7">
          <a:extLst>
            <a:ext uri="{FF2B5EF4-FFF2-40B4-BE49-F238E27FC236}">
              <a16:creationId xmlns:a16="http://schemas.microsoft.com/office/drawing/2014/main" id="{12572718-B4C4-B962-4DCC-EAABC6C85754}"/>
            </a:ext>
          </a:extLst>
        </xdr:cNvPr>
        <xdr:cNvSpPr/>
      </xdr:nvSpPr>
      <xdr:spPr>
        <a:xfrm>
          <a:off x="5737860" y="396240"/>
          <a:ext cx="792480" cy="19812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5</xdr:col>
      <xdr:colOff>0</xdr:colOff>
      <xdr:row>2</xdr:row>
      <xdr:rowOff>99060</xdr:rowOff>
    </xdr:from>
    <xdr:to>
      <xdr:col>6</xdr:col>
      <xdr:colOff>0</xdr:colOff>
      <xdr:row>2</xdr:row>
      <xdr:rowOff>99060</xdr:rowOff>
    </xdr:to>
    <xdr:cxnSp macro="">
      <xdr:nvCxnSpPr>
        <xdr:cNvPr id="343" name="OpenSolver8">
          <a:extLst>
            <a:ext uri="{FF2B5EF4-FFF2-40B4-BE49-F238E27FC236}">
              <a16:creationId xmlns:a16="http://schemas.microsoft.com/office/drawing/2014/main" id="{E9A731F7-083F-0F60-4542-0E3C9910ACEF}"/>
            </a:ext>
          </a:extLst>
        </xdr:cNvPr>
        <xdr:cNvCxnSpPr>
          <a:stCxn id="341" idx="3"/>
          <a:endCxn id="342" idx="1"/>
        </xdr:cNvCxnSpPr>
      </xdr:nvCxnSpPr>
      <xdr:spPr>
        <a:xfrm>
          <a:off x="5036820" y="495300"/>
          <a:ext cx="70104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1</xdr:row>
      <xdr:rowOff>177800</xdr:rowOff>
    </xdr:from>
    <xdr:to>
      <xdr:col>5</xdr:col>
      <xdr:colOff>541020</xdr:colOff>
      <xdr:row>3</xdr:row>
      <xdr:rowOff>27940</xdr:rowOff>
    </xdr:to>
    <xdr:sp macro="" textlink="">
      <xdr:nvSpPr>
        <xdr:cNvPr id="344" name="OpenSolver9">
          <a:extLst>
            <a:ext uri="{FF2B5EF4-FFF2-40B4-BE49-F238E27FC236}">
              <a16:creationId xmlns:a16="http://schemas.microsoft.com/office/drawing/2014/main" id="{F2D07247-2BA6-EFC5-C028-DB8F656647F1}"/>
            </a:ext>
          </a:extLst>
        </xdr:cNvPr>
        <xdr:cNvSpPr/>
      </xdr:nvSpPr>
      <xdr:spPr>
        <a:xfrm>
          <a:off x="5196840" y="3683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12700</xdr:colOff>
      <xdr:row>49</xdr:row>
      <xdr:rowOff>12700</xdr:rowOff>
    </xdr:from>
    <xdr:to>
      <xdr:col>24</xdr:col>
      <xdr:colOff>1</xdr:colOff>
      <xdr:row>50</xdr:row>
      <xdr:rowOff>0</xdr:rowOff>
    </xdr:to>
    <xdr:sp macro="" textlink="">
      <xdr:nvSpPr>
        <xdr:cNvPr id="345" name="OpenSolverB50:X50">
          <a:extLst>
            <a:ext uri="{FF2B5EF4-FFF2-40B4-BE49-F238E27FC236}">
              <a16:creationId xmlns:a16="http://schemas.microsoft.com/office/drawing/2014/main" id="{0C64D970-5383-E2A3-7E33-1BF4B253CEF0}"/>
            </a:ext>
          </a:extLst>
        </xdr:cNvPr>
        <xdr:cNvSpPr/>
      </xdr:nvSpPr>
      <xdr:spPr>
        <a:xfrm>
          <a:off x="1003300" y="9080500"/>
          <a:ext cx="17802861" cy="17018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008000"/>
              </a:solidFill>
            </a:rPr>
            <a:t>0≤</a:t>
          </a:r>
        </a:p>
      </xdr:txBody>
    </xdr:sp>
    <xdr:clientData/>
  </xdr:twoCellAnchor>
  <xdr:twoCellAnchor>
    <xdr:from>
      <xdr:col>1</xdr:col>
      <xdr:colOff>25400</xdr:colOff>
      <xdr:row>49</xdr:row>
      <xdr:rowOff>25400</xdr:rowOff>
    </xdr:from>
    <xdr:to>
      <xdr:col>24</xdr:col>
      <xdr:colOff>1</xdr:colOff>
      <xdr:row>50</xdr:row>
      <xdr:rowOff>0</xdr:rowOff>
    </xdr:to>
    <xdr:sp macro="" textlink="">
      <xdr:nvSpPr>
        <xdr:cNvPr id="346" name="OpenSolver11">
          <a:extLst>
            <a:ext uri="{FF2B5EF4-FFF2-40B4-BE49-F238E27FC236}">
              <a16:creationId xmlns:a16="http://schemas.microsoft.com/office/drawing/2014/main" id="{F9AB10F6-7343-1B99-8F77-A6AA066B932B}"/>
            </a:ext>
          </a:extLst>
        </xdr:cNvPr>
        <xdr:cNvSpPr/>
      </xdr:nvSpPr>
      <xdr:spPr>
        <a:xfrm>
          <a:off x="1016000" y="9093200"/>
          <a:ext cx="17790161" cy="15748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149</xdr:col>
      <xdr:colOff>0</xdr:colOff>
      <xdr:row>83</xdr:row>
      <xdr:rowOff>0</xdr:rowOff>
    </xdr:from>
    <xdr:to>
      <xdr:col>150</xdr:col>
      <xdr:colOff>5</xdr:colOff>
      <xdr:row>105</xdr:row>
      <xdr:rowOff>182879</xdr:rowOff>
    </xdr:to>
    <xdr:sp macro="" textlink="">
      <xdr:nvSpPr>
        <xdr:cNvPr id="347" name="OpenSolver12">
          <a:extLst>
            <a:ext uri="{FF2B5EF4-FFF2-40B4-BE49-F238E27FC236}">
              <a16:creationId xmlns:a16="http://schemas.microsoft.com/office/drawing/2014/main" id="{A5618516-9A4C-3ADE-78C1-3666B85BB9C9}"/>
            </a:ext>
          </a:extLst>
        </xdr:cNvPr>
        <xdr:cNvSpPr/>
      </xdr:nvSpPr>
      <xdr:spPr>
        <a:xfrm>
          <a:off x="104889300" y="15285720"/>
          <a:ext cx="868685" cy="4206239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9900CC"/>
              </a:solidFill>
            </a:rPr>
            <a:t>=</a:t>
          </a:r>
        </a:p>
      </xdr:txBody>
    </xdr:sp>
    <xdr:clientData/>
  </xdr:twoCellAnchor>
  <xdr:twoCellAnchor>
    <xdr:from>
      <xdr:col>24</xdr:col>
      <xdr:colOff>1</xdr:colOff>
      <xdr:row>49</xdr:row>
      <xdr:rowOff>104140</xdr:rowOff>
    </xdr:from>
    <xdr:to>
      <xdr:col>149</xdr:col>
      <xdr:colOff>0</xdr:colOff>
      <xdr:row>94</xdr:row>
      <xdr:rowOff>91440</xdr:rowOff>
    </xdr:to>
    <xdr:cxnSp macro="">
      <xdr:nvCxnSpPr>
        <xdr:cNvPr id="348" name="OpenSolver13">
          <a:extLst>
            <a:ext uri="{FF2B5EF4-FFF2-40B4-BE49-F238E27FC236}">
              <a16:creationId xmlns:a16="http://schemas.microsoft.com/office/drawing/2014/main" id="{491E855A-E0F0-02DA-A691-CF3CDBC02345}"/>
            </a:ext>
          </a:extLst>
        </xdr:cNvPr>
        <xdr:cNvCxnSpPr>
          <a:stCxn id="346" idx="3"/>
          <a:endCxn id="347" idx="1"/>
        </xdr:cNvCxnSpPr>
      </xdr:nvCxnSpPr>
      <xdr:spPr>
        <a:xfrm>
          <a:off x="18806161" y="9171940"/>
          <a:ext cx="86083139" cy="821690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80009</xdr:colOff>
      <xdr:row>71</xdr:row>
      <xdr:rowOff>62229</xdr:rowOff>
    </xdr:from>
    <xdr:to>
      <xdr:col>86</xdr:col>
      <xdr:colOff>461009</xdr:colOff>
      <xdr:row>72</xdr:row>
      <xdr:rowOff>133349</xdr:rowOff>
    </xdr:to>
    <xdr:sp macro="" textlink="">
      <xdr:nvSpPr>
        <xdr:cNvPr id="349" name="OpenSolver14">
          <a:extLst>
            <a:ext uri="{FF2B5EF4-FFF2-40B4-BE49-F238E27FC236}">
              <a16:creationId xmlns:a16="http://schemas.microsoft.com/office/drawing/2014/main" id="{B59062FE-B3A3-7020-5596-A08ABBC8F5FA}"/>
            </a:ext>
          </a:extLst>
        </xdr:cNvPr>
        <xdr:cNvSpPr/>
      </xdr:nvSpPr>
      <xdr:spPr>
        <a:xfrm>
          <a:off x="61657229" y="13153389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149</xdr:col>
      <xdr:colOff>12700</xdr:colOff>
      <xdr:row>83</xdr:row>
      <xdr:rowOff>12700</xdr:rowOff>
    </xdr:from>
    <xdr:to>
      <xdr:col>150</xdr:col>
      <xdr:colOff>5</xdr:colOff>
      <xdr:row>105</xdr:row>
      <xdr:rowOff>182879</xdr:rowOff>
    </xdr:to>
    <xdr:sp macro="" textlink="">
      <xdr:nvSpPr>
        <xdr:cNvPr id="350" name="OpenSolver15">
          <a:extLst>
            <a:ext uri="{FF2B5EF4-FFF2-40B4-BE49-F238E27FC236}">
              <a16:creationId xmlns:a16="http://schemas.microsoft.com/office/drawing/2014/main" id="{D8C801FB-9DB0-E1E4-79D5-6307A3D20A9F}"/>
            </a:ext>
          </a:extLst>
        </xdr:cNvPr>
        <xdr:cNvSpPr/>
      </xdr:nvSpPr>
      <xdr:spPr>
        <a:xfrm>
          <a:off x="104902000" y="15298420"/>
          <a:ext cx="855985" cy="4193539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156</xdr:col>
      <xdr:colOff>2</xdr:colOff>
      <xdr:row>83</xdr:row>
      <xdr:rowOff>0</xdr:rowOff>
    </xdr:from>
    <xdr:to>
      <xdr:col>157</xdr:col>
      <xdr:colOff>2</xdr:colOff>
      <xdr:row>105</xdr:row>
      <xdr:rowOff>182879</xdr:rowOff>
    </xdr:to>
    <xdr:sp macro="" textlink="">
      <xdr:nvSpPr>
        <xdr:cNvPr id="351" name="OpenSolver16">
          <a:extLst>
            <a:ext uri="{FF2B5EF4-FFF2-40B4-BE49-F238E27FC236}">
              <a16:creationId xmlns:a16="http://schemas.microsoft.com/office/drawing/2014/main" id="{2FE3F44C-A505-DDC9-B259-A2E598D049ED}"/>
            </a:ext>
          </a:extLst>
        </xdr:cNvPr>
        <xdr:cNvSpPr/>
      </xdr:nvSpPr>
      <xdr:spPr>
        <a:xfrm>
          <a:off x="109857542" y="15285720"/>
          <a:ext cx="609600" cy="4206239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150</xdr:col>
      <xdr:colOff>5</xdr:colOff>
      <xdr:row>94</xdr:row>
      <xdr:rowOff>91440</xdr:rowOff>
    </xdr:from>
    <xdr:to>
      <xdr:col>156</xdr:col>
      <xdr:colOff>2</xdr:colOff>
      <xdr:row>94</xdr:row>
      <xdr:rowOff>97790</xdr:rowOff>
    </xdr:to>
    <xdr:cxnSp macro="">
      <xdr:nvCxnSpPr>
        <xdr:cNvPr id="352" name="OpenSolver17">
          <a:extLst>
            <a:ext uri="{FF2B5EF4-FFF2-40B4-BE49-F238E27FC236}">
              <a16:creationId xmlns:a16="http://schemas.microsoft.com/office/drawing/2014/main" id="{AD17F863-429C-DA30-411A-A56C71C5035A}"/>
            </a:ext>
          </a:extLst>
        </xdr:cNvPr>
        <xdr:cNvCxnSpPr>
          <a:stCxn id="350" idx="3"/>
          <a:endCxn id="351" idx="1"/>
        </xdr:cNvCxnSpPr>
      </xdr:nvCxnSpPr>
      <xdr:spPr>
        <a:xfrm flipV="1">
          <a:off x="105757985" y="17388840"/>
          <a:ext cx="4099557" cy="635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152</xdr:col>
      <xdr:colOff>640078</xdr:colOff>
      <xdr:row>93</xdr:row>
      <xdr:rowOff>150494</xdr:rowOff>
    </xdr:from>
    <xdr:to>
      <xdr:col>153</xdr:col>
      <xdr:colOff>335278</xdr:colOff>
      <xdr:row>95</xdr:row>
      <xdr:rowOff>38734</xdr:rowOff>
    </xdr:to>
    <xdr:sp macro="" textlink="">
      <xdr:nvSpPr>
        <xdr:cNvPr id="353" name="OpenSolver18">
          <a:extLst>
            <a:ext uri="{FF2B5EF4-FFF2-40B4-BE49-F238E27FC236}">
              <a16:creationId xmlns:a16="http://schemas.microsoft.com/office/drawing/2014/main" id="{3F74C17A-565A-2052-7C94-D1A19112FB32}"/>
            </a:ext>
          </a:extLst>
        </xdr:cNvPr>
        <xdr:cNvSpPr/>
      </xdr:nvSpPr>
      <xdr:spPr>
        <a:xfrm>
          <a:off x="107617258" y="17265014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149</xdr:col>
      <xdr:colOff>0</xdr:colOff>
      <xdr:row>106</xdr:row>
      <xdr:rowOff>182879</xdr:rowOff>
    </xdr:to>
    <xdr:sp macro="" textlink="">
      <xdr:nvSpPr>
        <xdr:cNvPr id="354" name="OpenSolverB84:ES107">
          <a:extLst>
            <a:ext uri="{FF2B5EF4-FFF2-40B4-BE49-F238E27FC236}">
              <a16:creationId xmlns:a16="http://schemas.microsoft.com/office/drawing/2014/main" id="{D15BB8BA-8D50-2B95-EEC9-3C72C7562EAF}"/>
            </a:ext>
          </a:extLst>
        </xdr:cNvPr>
        <xdr:cNvSpPr/>
      </xdr:nvSpPr>
      <xdr:spPr>
        <a:xfrm>
          <a:off x="990600" y="15285720"/>
          <a:ext cx="103898700" cy="438911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00CC33"/>
              </a:solidFill>
            </a:rPr>
            <a:t>0≤</a:t>
          </a:r>
        </a:p>
      </xdr:txBody>
    </xdr:sp>
    <xdr:clientData/>
  </xdr:twoCellAnchor>
  <xdr:twoCellAnchor>
    <xdr:from>
      <xdr:col>4</xdr:col>
      <xdr:colOff>12700</xdr:colOff>
      <xdr:row>2</xdr:row>
      <xdr:rowOff>12700</xdr:rowOff>
    </xdr:from>
    <xdr:to>
      <xdr:col>5</xdr:col>
      <xdr:colOff>0</xdr:colOff>
      <xdr:row>3</xdr:row>
      <xdr:rowOff>0</xdr:rowOff>
    </xdr:to>
    <xdr:sp macro="" textlink="">
      <xdr:nvSpPr>
        <xdr:cNvPr id="355" name="OpenSolver20">
          <a:extLst>
            <a:ext uri="{FF2B5EF4-FFF2-40B4-BE49-F238E27FC236}">
              <a16:creationId xmlns:a16="http://schemas.microsoft.com/office/drawing/2014/main" id="{619B7119-9838-0667-FA0E-888F32582C3A}"/>
            </a:ext>
          </a:extLst>
        </xdr:cNvPr>
        <xdr:cNvSpPr/>
      </xdr:nvSpPr>
      <xdr:spPr>
        <a:xfrm>
          <a:off x="3891280" y="408940"/>
          <a:ext cx="1145540" cy="18542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sp macro="" textlink="">
      <xdr:nvSpPr>
        <xdr:cNvPr id="356" name="OpenSolver21">
          <a:extLst>
            <a:ext uri="{FF2B5EF4-FFF2-40B4-BE49-F238E27FC236}">
              <a16:creationId xmlns:a16="http://schemas.microsoft.com/office/drawing/2014/main" id="{703D76C8-EFE2-9F59-F7E5-29E20B06012C}"/>
            </a:ext>
          </a:extLst>
        </xdr:cNvPr>
        <xdr:cNvSpPr/>
      </xdr:nvSpPr>
      <xdr:spPr>
        <a:xfrm>
          <a:off x="5036820" y="396240"/>
          <a:ext cx="701040" cy="19812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FF6600"/>
              </a:solidFill>
            </a:rPr>
            <a:t>≥</a:t>
          </a:r>
        </a:p>
      </xdr:txBody>
    </xdr:sp>
    <xdr:clientData/>
  </xdr:twoCellAnchor>
  <xdr:twoCellAnchor>
    <xdr:from>
      <xdr:col>5</xdr:col>
      <xdr:colOff>0</xdr:colOff>
      <xdr:row>2</xdr:row>
      <xdr:rowOff>99060</xdr:rowOff>
    </xdr:from>
    <xdr:to>
      <xdr:col>5</xdr:col>
      <xdr:colOff>0</xdr:colOff>
      <xdr:row>2</xdr:row>
      <xdr:rowOff>105410</xdr:rowOff>
    </xdr:to>
    <xdr:cxnSp macro="">
      <xdr:nvCxnSpPr>
        <xdr:cNvPr id="357" name="OpenSolver22">
          <a:extLst>
            <a:ext uri="{FF2B5EF4-FFF2-40B4-BE49-F238E27FC236}">
              <a16:creationId xmlns:a16="http://schemas.microsoft.com/office/drawing/2014/main" id="{C9894E19-FB07-3E7F-CFDE-D980162E6BBD}"/>
            </a:ext>
          </a:extLst>
        </xdr:cNvPr>
        <xdr:cNvCxnSpPr>
          <a:stCxn id="355" idx="3"/>
          <a:endCxn id="356" idx="1"/>
        </xdr:cNvCxnSpPr>
      </xdr:nvCxnSpPr>
      <xdr:spPr>
        <a:xfrm flipV="1">
          <a:off x="5036820" y="495300"/>
          <a:ext cx="0" cy="635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967740</xdr:colOff>
      <xdr:row>1</xdr:row>
      <xdr:rowOff>180975</xdr:rowOff>
    </xdr:from>
    <xdr:to>
      <xdr:col>5</xdr:col>
      <xdr:colOff>190500</xdr:colOff>
      <xdr:row>3</xdr:row>
      <xdr:rowOff>31115</xdr:rowOff>
    </xdr:to>
    <xdr:sp macro="" textlink="">
      <xdr:nvSpPr>
        <xdr:cNvPr id="358" name="OpenSolver23">
          <a:extLst>
            <a:ext uri="{FF2B5EF4-FFF2-40B4-BE49-F238E27FC236}">
              <a16:creationId xmlns:a16="http://schemas.microsoft.com/office/drawing/2014/main" id="{F67CAC61-0A90-92FA-0AF9-FF38F9D8C104}"/>
            </a:ext>
          </a:extLst>
        </xdr:cNvPr>
        <xdr:cNvSpPr/>
      </xdr:nvSpPr>
      <xdr:spPr>
        <a:xfrm>
          <a:off x="4846320" y="371475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359" name="OpenSolver24">
          <a:extLst>
            <a:ext uri="{FF2B5EF4-FFF2-40B4-BE49-F238E27FC236}">
              <a16:creationId xmlns:a16="http://schemas.microsoft.com/office/drawing/2014/main" id="{6C78B117-800B-07B0-AE4F-98143B4F82D9}"/>
            </a:ext>
          </a:extLst>
        </xdr:cNvPr>
        <xdr:cNvSpPr/>
      </xdr:nvSpPr>
      <xdr:spPr>
        <a:xfrm>
          <a:off x="3878580" y="594360"/>
          <a:ext cx="1158240" cy="19812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sp macro="" textlink="">
      <xdr:nvSpPr>
        <xdr:cNvPr id="360" name="OpenSolver25">
          <a:extLst>
            <a:ext uri="{FF2B5EF4-FFF2-40B4-BE49-F238E27FC236}">
              <a16:creationId xmlns:a16="http://schemas.microsoft.com/office/drawing/2014/main" id="{4CDE4844-8D0F-AE19-D8FD-4AF3BCBD86A3}"/>
            </a:ext>
          </a:extLst>
        </xdr:cNvPr>
        <xdr:cNvSpPr/>
      </xdr:nvSpPr>
      <xdr:spPr>
        <a:xfrm>
          <a:off x="5737860" y="594360"/>
          <a:ext cx="792480" cy="19812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CC0099"/>
              </a:solidFill>
            </a:rPr>
            <a:t>≤</a:t>
          </a:r>
        </a:p>
      </xdr:txBody>
    </xdr:sp>
    <xdr:clientData/>
  </xdr:twoCellAnchor>
  <xdr:twoCellAnchor>
    <xdr:from>
      <xdr:col>5</xdr:col>
      <xdr:colOff>0</xdr:colOff>
      <xdr:row>3</xdr:row>
      <xdr:rowOff>99060</xdr:rowOff>
    </xdr:from>
    <xdr:to>
      <xdr:col>6</xdr:col>
      <xdr:colOff>0</xdr:colOff>
      <xdr:row>3</xdr:row>
      <xdr:rowOff>99060</xdr:rowOff>
    </xdr:to>
    <xdr:cxnSp macro="">
      <xdr:nvCxnSpPr>
        <xdr:cNvPr id="361" name="OpenSolver26">
          <a:extLst>
            <a:ext uri="{FF2B5EF4-FFF2-40B4-BE49-F238E27FC236}">
              <a16:creationId xmlns:a16="http://schemas.microsoft.com/office/drawing/2014/main" id="{61580DBA-C62B-C1DE-700F-324F84612FAC}"/>
            </a:ext>
          </a:extLst>
        </xdr:cNvPr>
        <xdr:cNvCxnSpPr>
          <a:stCxn id="359" idx="3"/>
          <a:endCxn id="360" idx="1"/>
        </xdr:cNvCxnSpPr>
      </xdr:nvCxnSpPr>
      <xdr:spPr>
        <a:xfrm>
          <a:off x="5036820" y="693420"/>
          <a:ext cx="70104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2</xdr:row>
      <xdr:rowOff>170180</xdr:rowOff>
    </xdr:from>
    <xdr:to>
      <xdr:col>5</xdr:col>
      <xdr:colOff>541020</xdr:colOff>
      <xdr:row>4</xdr:row>
      <xdr:rowOff>27940</xdr:rowOff>
    </xdr:to>
    <xdr:sp macro="" textlink="">
      <xdr:nvSpPr>
        <xdr:cNvPr id="362" name="OpenSolver27">
          <a:extLst>
            <a:ext uri="{FF2B5EF4-FFF2-40B4-BE49-F238E27FC236}">
              <a16:creationId xmlns:a16="http://schemas.microsoft.com/office/drawing/2014/main" id="{8F1A3193-BB8C-A1E0-5337-5777F0A8F93F}"/>
            </a:ext>
          </a:extLst>
        </xdr:cNvPr>
        <xdr:cNvSpPr/>
      </xdr:nvSpPr>
      <xdr:spPr>
        <a:xfrm>
          <a:off x="5196840" y="5664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sp macro="" textlink="">
      <xdr:nvSpPr>
        <xdr:cNvPr id="363" name="OpenSolver28">
          <a:extLst>
            <a:ext uri="{FF2B5EF4-FFF2-40B4-BE49-F238E27FC236}">
              <a16:creationId xmlns:a16="http://schemas.microsoft.com/office/drawing/2014/main" id="{54DFB620-68A7-05B0-1E29-052062FD0C15}"/>
            </a:ext>
          </a:extLst>
        </xdr:cNvPr>
        <xdr:cNvSpPr/>
      </xdr:nvSpPr>
      <xdr:spPr>
        <a:xfrm>
          <a:off x="3878580" y="792480"/>
          <a:ext cx="1158240" cy="2057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sp macro="" textlink="">
      <xdr:nvSpPr>
        <xdr:cNvPr id="364" name="OpenSolver29">
          <a:extLst>
            <a:ext uri="{FF2B5EF4-FFF2-40B4-BE49-F238E27FC236}">
              <a16:creationId xmlns:a16="http://schemas.microsoft.com/office/drawing/2014/main" id="{0A3953B4-D549-DBD1-63CE-74F1267010A6}"/>
            </a:ext>
          </a:extLst>
        </xdr:cNvPr>
        <xdr:cNvSpPr/>
      </xdr:nvSpPr>
      <xdr:spPr>
        <a:xfrm>
          <a:off x="5036820" y="792480"/>
          <a:ext cx="701040" cy="2057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0000FF"/>
              </a:solidFill>
            </a:rPr>
            <a:t>≥</a:t>
          </a:r>
        </a:p>
      </xdr:txBody>
    </xdr:sp>
    <xdr:clientData/>
  </xdr:twoCellAnchor>
  <xdr:twoCellAnchor>
    <xdr:from>
      <xdr:col>5</xdr:col>
      <xdr:colOff>0</xdr:colOff>
      <xdr:row>4</xdr:row>
      <xdr:rowOff>102870</xdr:rowOff>
    </xdr:from>
    <xdr:to>
      <xdr:col>5</xdr:col>
      <xdr:colOff>0</xdr:colOff>
      <xdr:row>4</xdr:row>
      <xdr:rowOff>102870</xdr:rowOff>
    </xdr:to>
    <xdr:cxnSp macro="">
      <xdr:nvCxnSpPr>
        <xdr:cNvPr id="365" name="OpenSolver30">
          <a:extLst>
            <a:ext uri="{FF2B5EF4-FFF2-40B4-BE49-F238E27FC236}">
              <a16:creationId xmlns:a16="http://schemas.microsoft.com/office/drawing/2014/main" id="{C8255CAB-9526-4712-EEC2-CB3964862B31}"/>
            </a:ext>
          </a:extLst>
        </xdr:cNvPr>
        <xdr:cNvCxnSpPr>
          <a:stCxn id="363" idx="3"/>
          <a:endCxn id="364" idx="1"/>
        </xdr:cNvCxnSpPr>
      </xdr:nvCxnSpPr>
      <xdr:spPr>
        <a:xfrm>
          <a:off x="5036820" y="895350"/>
          <a:ext cx="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967740</xdr:colOff>
      <xdr:row>3</xdr:row>
      <xdr:rowOff>173990</xdr:rowOff>
    </xdr:from>
    <xdr:to>
      <xdr:col>5</xdr:col>
      <xdr:colOff>190500</xdr:colOff>
      <xdr:row>5</xdr:row>
      <xdr:rowOff>24130</xdr:rowOff>
    </xdr:to>
    <xdr:sp macro="" textlink="">
      <xdr:nvSpPr>
        <xdr:cNvPr id="366" name="OpenSolver31">
          <a:extLst>
            <a:ext uri="{FF2B5EF4-FFF2-40B4-BE49-F238E27FC236}">
              <a16:creationId xmlns:a16="http://schemas.microsoft.com/office/drawing/2014/main" id="{B7013A79-0994-39FB-3B8C-95D773BA61F8}"/>
            </a:ext>
          </a:extLst>
        </xdr:cNvPr>
        <xdr:cNvSpPr/>
      </xdr:nvSpPr>
      <xdr:spPr>
        <a:xfrm>
          <a:off x="4846320" y="7683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149</xdr:col>
      <xdr:colOff>0</xdr:colOff>
      <xdr:row>15</xdr:row>
      <xdr:rowOff>0</xdr:rowOff>
    </xdr:to>
    <xdr:sp macro="" textlink="">
      <xdr:nvSpPr>
        <xdr:cNvPr id="367" name="OpenSolver32">
          <a:extLst>
            <a:ext uri="{FF2B5EF4-FFF2-40B4-BE49-F238E27FC236}">
              <a16:creationId xmlns:a16="http://schemas.microsoft.com/office/drawing/2014/main" id="{9F99F0A8-FE43-6417-7386-D037E2169EE8}"/>
            </a:ext>
          </a:extLst>
        </xdr:cNvPr>
        <xdr:cNvSpPr/>
      </xdr:nvSpPr>
      <xdr:spPr>
        <a:xfrm>
          <a:off x="990600" y="2667000"/>
          <a:ext cx="103898700" cy="18288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1</xdr:col>
      <xdr:colOff>0</xdr:colOff>
      <xdr:row>106</xdr:row>
      <xdr:rowOff>1</xdr:rowOff>
    </xdr:from>
    <xdr:to>
      <xdr:col>149</xdr:col>
      <xdr:colOff>0</xdr:colOff>
      <xdr:row>107</xdr:row>
      <xdr:rowOff>1</xdr:rowOff>
    </xdr:to>
    <xdr:sp macro="" textlink="">
      <xdr:nvSpPr>
        <xdr:cNvPr id="368" name="OpenSolver33">
          <a:extLst>
            <a:ext uri="{FF2B5EF4-FFF2-40B4-BE49-F238E27FC236}">
              <a16:creationId xmlns:a16="http://schemas.microsoft.com/office/drawing/2014/main" id="{5276B37C-85FF-4AC1-B8B3-C8E910A5483F}"/>
            </a:ext>
          </a:extLst>
        </xdr:cNvPr>
        <xdr:cNvSpPr/>
      </xdr:nvSpPr>
      <xdr:spPr>
        <a:xfrm>
          <a:off x="990600" y="19491961"/>
          <a:ext cx="103898700" cy="18288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IN" sz="1100" b="1">
              <a:solidFill>
                <a:srgbClr val="008000"/>
              </a:solidFill>
            </a:rPr>
            <a:t>≤</a:t>
          </a:r>
        </a:p>
      </xdr:txBody>
    </xdr:sp>
    <xdr:clientData/>
  </xdr:twoCellAnchor>
  <xdr:twoCellAnchor>
    <xdr:from>
      <xdr:col>73</xdr:col>
      <xdr:colOff>217170</xdr:colOff>
      <xdr:row>15</xdr:row>
      <xdr:rowOff>0</xdr:rowOff>
    </xdr:from>
    <xdr:to>
      <xdr:col>73</xdr:col>
      <xdr:colOff>217170</xdr:colOff>
      <xdr:row>106</xdr:row>
      <xdr:rowOff>1</xdr:rowOff>
    </xdr:to>
    <xdr:cxnSp macro="">
      <xdr:nvCxnSpPr>
        <xdr:cNvPr id="369" name="OpenSolver34">
          <a:extLst>
            <a:ext uri="{FF2B5EF4-FFF2-40B4-BE49-F238E27FC236}">
              <a16:creationId xmlns:a16="http://schemas.microsoft.com/office/drawing/2014/main" id="{50724ABD-8BA3-C2CB-98DC-829689012A27}"/>
            </a:ext>
          </a:extLst>
        </xdr:cNvPr>
        <xdr:cNvCxnSpPr>
          <a:stCxn id="367" idx="2"/>
          <a:endCxn id="368" idx="0"/>
        </xdr:cNvCxnSpPr>
      </xdr:nvCxnSpPr>
      <xdr:spPr>
        <a:xfrm>
          <a:off x="52939950" y="2849880"/>
          <a:ext cx="0" cy="16642081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26670</xdr:colOff>
      <xdr:row>59</xdr:row>
      <xdr:rowOff>147320</xdr:rowOff>
    </xdr:from>
    <xdr:to>
      <xdr:col>73</xdr:col>
      <xdr:colOff>407670</xdr:colOff>
      <xdr:row>61</xdr:row>
      <xdr:rowOff>35560</xdr:rowOff>
    </xdr:to>
    <xdr:sp macro="" textlink="">
      <xdr:nvSpPr>
        <xdr:cNvPr id="370" name="OpenSolver35">
          <a:extLst>
            <a:ext uri="{FF2B5EF4-FFF2-40B4-BE49-F238E27FC236}">
              <a16:creationId xmlns:a16="http://schemas.microsoft.com/office/drawing/2014/main" id="{9ED0308C-3058-1EFE-9404-D52FEDC70E9B}"/>
            </a:ext>
          </a:extLst>
        </xdr:cNvPr>
        <xdr:cNvSpPr/>
      </xdr:nvSpPr>
      <xdr:spPr>
        <a:xfrm>
          <a:off x="52749450" y="110439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151</xdr:col>
      <xdr:colOff>12705</xdr:colOff>
      <xdr:row>83</xdr:row>
      <xdr:rowOff>12700</xdr:rowOff>
    </xdr:from>
    <xdr:to>
      <xdr:col>152</xdr:col>
      <xdr:colOff>5</xdr:colOff>
      <xdr:row>105</xdr:row>
      <xdr:rowOff>182879</xdr:rowOff>
    </xdr:to>
    <xdr:sp macro="" textlink="">
      <xdr:nvSpPr>
        <xdr:cNvPr id="371" name="OpenSolver36">
          <a:extLst>
            <a:ext uri="{FF2B5EF4-FFF2-40B4-BE49-F238E27FC236}">
              <a16:creationId xmlns:a16="http://schemas.microsoft.com/office/drawing/2014/main" id="{F194CF46-0C45-3974-7546-225E80033953}"/>
            </a:ext>
          </a:extLst>
        </xdr:cNvPr>
        <xdr:cNvSpPr/>
      </xdr:nvSpPr>
      <xdr:spPr>
        <a:xfrm>
          <a:off x="106380285" y="15298420"/>
          <a:ext cx="596900" cy="419353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IN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150</xdr:col>
      <xdr:colOff>604520</xdr:colOff>
      <xdr:row>82</xdr:row>
      <xdr:rowOff>124460</xdr:rowOff>
    </xdr:from>
    <xdr:to>
      <xdr:col>151</xdr:col>
      <xdr:colOff>316162</xdr:colOff>
      <xdr:row>83</xdr:row>
      <xdr:rowOff>68580</xdr:rowOff>
    </xdr:to>
    <xdr:sp macro="" textlink="">
      <xdr:nvSpPr>
        <xdr:cNvPr id="372" name="OpenSolver37">
          <a:extLst>
            <a:ext uri="{FF2B5EF4-FFF2-40B4-BE49-F238E27FC236}">
              <a16:creationId xmlns:a16="http://schemas.microsoft.com/office/drawing/2014/main" id="{ED21E276-1FCB-D844-7101-C2C38ACBFAC0}"/>
            </a:ext>
          </a:extLst>
        </xdr:cNvPr>
        <xdr:cNvSpPr/>
      </xdr:nvSpPr>
      <xdr:spPr>
        <a:xfrm>
          <a:off x="106362500" y="152273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IN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B8C311-B639-477B-9626-1D1C595EEA9F}">
  <we:reference id="wa104381181" version="5.0.0.3" store="en-US" storeType="OMEX"/>
  <we:alternateReferences>
    <we:reference id="WA104381181" version="5.0.0.3" store="" storeType="OMEX"/>
  </we:alternateReferences>
  <we:properties>
    <we:property name="35_2distanceMatrixForwardData" value="&quot;816eac90-17bec2b2-def47959&quot;"/>
    <we:property name="35_2distanceDuration" value="&quot;cd376bf3-5e3477ec-522142d0&quot;"/>
    <we:property name="35_2distanceMatrix" value="&quot;8434949b-b05f4e42-f4672cff&quot;"/>
    <we:property name="35_2durationMatrix" value="&quot;0ec5b779-0bbdc357-cbcad71b&quot;"/>
    <we:property name="35_2parameters" value="&quot;9a660873-503c6911-2af25297&quot;"/>
  </we:properties>
  <we:bindings>
    <we:binding id="816eac90-17bec2b2-def47959" type="table" appref="{26C1513E-9599-4AB8-8290-3DD17C67EBDC}"/>
    <we:binding id="cd376bf3-5e3477ec-522142d0" type="table" appref="{9EF2F258-4641-4888-BA25-64C823FB7DF7}"/>
    <we:binding id="8434949b-b05f4e42-f4672cff" type="table" appref="{08C7A75F-CD45-403C-967C-3C7213ADE53D}"/>
    <we:binding id="0ec5b779-0bbdc357-cbcad71b" type="table" appref="{3EBF8202-289B-4FE4-BFEE-2861A8664D1A}"/>
    <we:binding id="9a660873-503c6911-2af25297" type="table" appref="{5851CA03-6473-40A8-8BF0-954B467C7BA5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9F88-1486-420D-91E7-249A1508D576}">
  <dimension ref="A6:A39"/>
  <sheetViews>
    <sheetView zoomScale="130" zoomScaleNormal="130" workbookViewId="0">
      <selection activeCell="A32" sqref="A32"/>
    </sheetView>
  </sheetViews>
  <sheetFormatPr defaultRowHeight="15.6" x14ac:dyDescent="0.3"/>
  <cols>
    <col min="1" max="1" width="10.21875" style="9" customWidth="1"/>
    <col min="2" max="2" width="16.21875" style="9" customWidth="1"/>
    <col min="3" max="3" width="13.5546875" style="9" customWidth="1"/>
    <col min="4" max="8" width="11.5546875" style="9" customWidth="1"/>
    <col min="9" max="9" width="15.21875" style="9" customWidth="1"/>
    <col min="10" max="10" width="8.88671875" style="9"/>
    <col min="11" max="11" width="10" style="9" bestFit="1" customWidth="1"/>
    <col min="12" max="16384" width="8.88671875" style="9"/>
  </cols>
  <sheetData>
    <row r="6" spans="1:1" x14ac:dyDescent="0.3">
      <c r="A6" s="8" t="s">
        <v>211</v>
      </c>
    </row>
    <row r="7" spans="1:1" x14ac:dyDescent="0.3">
      <c r="A7" s="8"/>
    </row>
    <row r="8" spans="1:1" x14ac:dyDescent="0.3">
      <c r="A8" s="9" t="s">
        <v>212</v>
      </c>
    </row>
    <row r="9" spans="1:1" x14ac:dyDescent="0.3">
      <c r="A9" s="9" t="s">
        <v>188</v>
      </c>
    </row>
    <row r="10" spans="1:1" x14ac:dyDescent="0.3">
      <c r="A10" s="8" t="s">
        <v>189</v>
      </c>
    </row>
    <row r="12" spans="1:1" x14ac:dyDescent="0.3">
      <c r="A12" s="9" t="s">
        <v>213</v>
      </c>
    </row>
    <row r="13" spans="1:1" x14ac:dyDescent="0.3">
      <c r="A13" s="8" t="s">
        <v>190</v>
      </c>
    </row>
    <row r="15" spans="1:1" x14ac:dyDescent="0.3">
      <c r="A15" s="9" t="s">
        <v>214</v>
      </c>
    </row>
    <row r="16" spans="1:1" x14ac:dyDescent="0.3">
      <c r="A16" s="9" t="s">
        <v>191</v>
      </c>
    </row>
    <row r="17" spans="1:1" x14ac:dyDescent="0.3">
      <c r="A17" s="9" t="s">
        <v>192</v>
      </c>
    </row>
    <row r="18" spans="1:1" x14ac:dyDescent="0.3">
      <c r="A18" s="9" t="s">
        <v>193</v>
      </c>
    </row>
    <row r="20" spans="1:1" x14ac:dyDescent="0.3">
      <c r="A20" s="9" t="s">
        <v>215</v>
      </c>
    </row>
    <row r="21" spans="1:1" x14ac:dyDescent="0.3">
      <c r="A21" s="9" t="s">
        <v>203</v>
      </c>
    </row>
    <row r="22" spans="1:1" x14ac:dyDescent="0.3">
      <c r="A22" s="9" t="s">
        <v>205</v>
      </c>
    </row>
    <row r="24" spans="1:1" x14ac:dyDescent="0.3">
      <c r="A24" s="9" t="s">
        <v>204</v>
      </c>
    </row>
    <row r="25" spans="1:1" x14ac:dyDescent="0.3">
      <c r="A25" s="9" t="s">
        <v>210</v>
      </c>
    </row>
    <row r="27" spans="1:1" x14ac:dyDescent="0.3">
      <c r="A27" s="9" t="s">
        <v>195</v>
      </c>
    </row>
    <row r="28" spans="1:1" x14ac:dyDescent="0.3">
      <c r="A28" s="9" t="s">
        <v>196</v>
      </c>
    </row>
    <row r="29" spans="1:1" x14ac:dyDescent="0.3">
      <c r="A29" s="8" t="s">
        <v>194</v>
      </c>
    </row>
    <row r="30" spans="1:1" x14ac:dyDescent="0.3">
      <c r="A30" s="8" t="s">
        <v>197</v>
      </c>
    </row>
    <row r="31" spans="1:1" x14ac:dyDescent="0.3">
      <c r="A31" s="8" t="s">
        <v>198</v>
      </c>
    </row>
    <row r="32" spans="1:1" x14ac:dyDescent="0.3">
      <c r="A32" s="8" t="s">
        <v>216</v>
      </c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8" spans="1:1" x14ac:dyDescent="0.3">
      <c r="A38" s="10"/>
    </row>
    <row r="39" spans="1:1" x14ac:dyDescent="0.3">
      <c r="A39" s="10"/>
    </row>
  </sheetData>
  <pageMargins left="0.7" right="0.7" top="0.75" bottom="0.75" header="0.3" footer="0.3"/>
  <pageSetup scale="80"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9EF2F258-4641-4888-BA25-64C823FB7DF7}">
          <xm:f>#REF!</xm:f>
        </x15:webExtension>
        <x15:webExtension appRef="{08C7A75F-CD45-403C-967C-3C7213ADE53D}">
          <xm:f>#REF!</xm:f>
        </x15:webExtension>
        <x15:webExtension appRef="{3EBF8202-289B-4FE4-BFEE-2861A8664D1A}">
          <xm:f>#REF!</xm:f>
        </x15:webExtension>
        <x15:webExtension appRef="{5851CA03-6473-40A8-8BF0-954B467C7BA5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E319-7396-4020-9E29-00A061B23E9B}">
  <dimension ref="A2:EV151"/>
  <sheetViews>
    <sheetView zoomScale="160" zoomScaleNormal="160" workbookViewId="0">
      <selection activeCell="B4" sqref="B4"/>
    </sheetView>
  </sheetViews>
  <sheetFormatPr defaultRowHeight="14.4" x14ac:dyDescent="0.3"/>
  <cols>
    <col min="1" max="1" width="15.109375" style="17" customWidth="1"/>
    <col min="2" max="2" width="11.33203125" style="17" bestFit="1" customWidth="1"/>
    <col min="3" max="3" width="8.88671875" style="17"/>
    <col min="4" max="4" width="14.44140625" style="17" customWidth="1"/>
    <col min="5" max="16384" width="8.88671875" style="17"/>
  </cols>
  <sheetData>
    <row r="2" spans="1:152" ht="15" thickBot="1" x14ac:dyDescent="0.35">
      <c r="D2" s="26" t="s">
        <v>209</v>
      </c>
    </row>
    <row r="3" spans="1:152" ht="15" thickBot="1" x14ac:dyDescent="0.35">
      <c r="A3" s="18" t="s">
        <v>2</v>
      </c>
      <c r="B3" s="19" t="s">
        <v>199</v>
      </c>
      <c r="D3" s="6" t="s">
        <v>1</v>
      </c>
      <c r="E3" s="29" t="s">
        <v>30</v>
      </c>
      <c r="F3" s="29" t="s">
        <v>6</v>
      </c>
      <c r="G3" s="29" t="s">
        <v>31</v>
      </c>
      <c r="H3" s="29" t="s">
        <v>32</v>
      </c>
      <c r="I3" s="29" t="s">
        <v>33</v>
      </c>
      <c r="J3" s="29" t="s">
        <v>34</v>
      </c>
      <c r="K3" s="29" t="s">
        <v>15</v>
      </c>
      <c r="L3" s="29" t="s">
        <v>35</v>
      </c>
      <c r="M3" s="29" t="s">
        <v>36</v>
      </c>
      <c r="N3" s="29" t="s">
        <v>37</v>
      </c>
      <c r="O3" s="29" t="s">
        <v>38</v>
      </c>
      <c r="P3" s="29" t="s">
        <v>39</v>
      </c>
      <c r="Q3" s="29" t="s">
        <v>20</v>
      </c>
      <c r="R3" s="29" t="s">
        <v>40</v>
      </c>
      <c r="S3" s="29" t="s">
        <v>41</v>
      </c>
      <c r="T3" s="29" t="s">
        <v>42</v>
      </c>
      <c r="U3" s="29" t="s">
        <v>43</v>
      </c>
      <c r="V3" s="29" t="s">
        <v>44</v>
      </c>
      <c r="W3" s="29" t="s">
        <v>45</v>
      </c>
      <c r="X3" s="29" t="s">
        <v>46</v>
      </c>
      <c r="Y3" s="29" t="s">
        <v>47</v>
      </c>
      <c r="Z3" s="29" t="s">
        <v>48</v>
      </c>
      <c r="AA3" s="29" t="s">
        <v>49</v>
      </c>
      <c r="AB3" s="29" t="s">
        <v>50</v>
      </c>
      <c r="AC3" s="29" t="s">
        <v>51</v>
      </c>
      <c r="AD3" s="29" t="s">
        <v>52</v>
      </c>
      <c r="AE3" s="29" t="s">
        <v>53</v>
      </c>
      <c r="AF3" s="29" t="s">
        <v>54</v>
      </c>
      <c r="AG3" s="29" t="s">
        <v>55</v>
      </c>
      <c r="AH3" s="29" t="s">
        <v>56</v>
      </c>
      <c r="AI3" s="29" t="s">
        <v>57</v>
      </c>
      <c r="AJ3" s="29" t="s">
        <v>58</v>
      </c>
      <c r="AK3" s="29" t="s">
        <v>59</v>
      </c>
      <c r="AL3" s="29" t="s">
        <v>60</v>
      </c>
      <c r="AM3" s="29" t="s">
        <v>21</v>
      </c>
      <c r="AN3" s="29" t="s">
        <v>61</v>
      </c>
      <c r="AO3" s="29" t="s">
        <v>5</v>
      </c>
      <c r="AP3" s="29" t="s">
        <v>62</v>
      </c>
      <c r="AQ3" s="29" t="s">
        <v>63</v>
      </c>
      <c r="AR3" s="29" t="s">
        <v>16</v>
      </c>
      <c r="AS3" s="29" t="s">
        <v>64</v>
      </c>
      <c r="AT3" s="29" t="s">
        <v>65</v>
      </c>
      <c r="AU3" s="29" t="s">
        <v>66</v>
      </c>
      <c r="AV3" s="29" t="s">
        <v>67</v>
      </c>
      <c r="AW3" s="29" t="s">
        <v>68</v>
      </c>
      <c r="AX3" s="29" t="s">
        <v>69</v>
      </c>
      <c r="AY3" s="29" t="s">
        <v>70</v>
      </c>
      <c r="AZ3" s="29" t="s">
        <v>71</v>
      </c>
      <c r="BA3" s="29" t="s">
        <v>72</v>
      </c>
      <c r="BB3" s="29" t="s">
        <v>17</v>
      </c>
      <c r="BC3" s="29" t="s">
        <v>73</v>
      </c>
      <c r="BD3" s="29" t="s">
        <v>74</v>
      </c>
      <c r="BE3" s="29" t="s">
        <v>75</v>
      </c>
      <c r="BF3" s="29" t="s">
        <v>76</v>
      </c>
      <c r="BG3" s="29" t="s">
        <v>77</v>
      </c>
      <c r="BH3" s="29" t="s">
        <v>29</v>
      </c>
      <c r="BI3" s="29" t="s">
        <v>78</v>
      </c>
      <c r="BJ3" s="29" t="s">
        <v>79</v>
      </c>
      <c r="BK3" s="29" t="s">
        <v>80</v>
      </c>
      <c r="BL3" s="29" t="s">
        <v>81</v>
      </c>
      <c r="BM3" s="29" t="s">
        <v>82</v>
      </c>
      <c r="BN3" s="29" t="s">
        <v>83</v>
      </c>
      <c r="BO3" s="29" t="s">
        <v>84</v>
      </c>
      <c r="BP3" s="29" t="s">
        <v>85</v>
      </c>
      <c r="BQ3" s="29" t="s">
        <v>22</v>
      </c>
      <c r="BR3" s="29" t="s">
        <v>7</v>
      </c>
      <c r="BS3" s="29" t="s">
        <v>86</v>
      </c>
      <c r="BT3" s="29" t="s">
        <v>18</v>
      </c>
      <c r="BU3" s="29" t="s">
        <v>87</v>
      </c>
      <c r="BV3" s="29" t="s">
        <v>88</v>
      </c>
      <c r="BW3" s="29" t="s">
        <v>89</v>
      </c>
      <c r="BX3" s="29" t="s">
        <v>90</v>
      </c>
      <c r="BY3" s="29" t="s">
        <v>91</v>
      </c>
      <c r="BZ3" s="29" t="s">
        <v>92</v>
      </c>
      <c r="CA3" s="29" t="s">
        <v>93</v>
      </c>
      <c r="CB3" s="29" t="s">
        <v>94</v>
      </c>
      <c r="CC3" s="29" t="s">
        <v>95</v>
      </c>
      <c r="CD3" s="29" t="s">
        <v>96</v>
      </c>
      <c r="CE3" s="29" t="s">
        <v>97</v>
      </c>
      <c r="CF3" s="29" t="s">
        <v>98</v>
      </c>
      <c r="CG3" s="29" t="s">
        <v>99</v>
      </c>
      <c r="CH3" s="29" t="s">
        <v>100</v>
      </c>
      <c r="CI3" s="29" t="s">
        <v>26</v>
      </c>
      <c r="CJ3" s="29" t="s">
        <v>101</v>
      </c>
      <c r="CK3" s="29" t="s">
        <v>102</v>
      </c>
      <c r="CL3" s="29" t="s">
        <v>103</v>
      </c>
      <c r="CM3" s="29" t="s">
        <v>104</v>
      </c>
      <c r="CN3" s="29" t="s">
        <v>105</v>
      </c>
      <c r="CO3" s="29" t="s">
        <v>106</v>
      </c>
      <c r="CP3" s="29" t="s">
        <v>19</v>
      </c>
      <c r="CQ3" s="29" t="s">
        <v>107</v>
      </c>
      <c r="CR3" s="29" t="s">
        <v>108</v>
      </c>
      <c r="CS3" s="29" t="s">
        <v>109</v>
      </c>
      <c r="CT3" s="29" t="s">
        <v>110</v>
      </c>
      <c r="CU3" s="29" t="s">
        <v>111</v>
      </c>
      <c r="CV3" s="29" t="s">
        <v>112</v>
      </c>
      <c r="CW3" s="29" t="s">
        <v>180</v>
      </c>
      <c r="CX3" s="29" t="s">
        <v>114</v>
      </c>
      <c r="CY3" s="29" t="s">
        <v>115</v>
      </c>
      <c r="CZ3" s="29" t="s">
        <v>116</v>
      </c>
      <c r="DA3" s="29" t="s">
        <v>117</v>
      </c>
      <c r="DB3" s="29" t="s">
        <v>118</v>
      </c>
      <c r="DC3" s="29" t="s">
        <v>119</v>
      </c>
      <c r="DD3" s="29" t="s">
        <v>120</v>
      </c>
      <c r="DE3" s="29" t="s">
        <v>121</v>
      </c>
      <c r="DF3" s="29" t="s">
        <v>122</v>
      </c>
      <c r="DG3" s="29" t="s">
        <v>123</v>
      </c>
      <c r="DH3" s="29" t="s">
        <v>124</v>
      </c>
      <c r="DI3" s="29" t="s">
        <v>125</v>
      </c>
      <c r="DJ3" s="29" t="s">
        <v>126</v>
      </c>
      <c r="DK3" s="29" t="s">
        <v>127</v>
      </c>
      <c r="DL3" s="29" t="s">
        <v>128</v>
      </c>
      <c r="DM3" s="29" t="s">
        <v>27</v>
      </c>
      <c r="DN3" s="29" t="s">
        <v>25</v>
      </c>
      <c r="DO3" s="29" t="s">
        <v>129</v>
      </c>
      <c r="DP3" s="29" t="s">
        <v>130</v>
      </c>
      <c r="DQ3" s="29" t="s">
        <v>8</v>
      </c>
      <c r="DR3" s="29" t="s">
        <v>131</v>
      </c>
      <c r="DS3" s="29" t="s">
        <v>28</v>
      </c>
      <c r="DT3" s="29" t="s">
        <v>132</v>
      </c>
      <c r="DU3" s="29" t="s">
        <v>133</v>
      </c>
      <c r="DV3" s="29" t="s">
        <v>134</v>
      </c>
      <c r="DW3" s="29" t="s">
        <v>135</v>
      </c>
      <c r="DX3" s="29" t="s">
        <v>136</v>
      </c>
      <c r="DY3" s="29" t="s">
        <v>137</v>
      </c>
      <c r="DZ3" s="29" t="s">
        <v>138</v>
      </c>
      <c r="EA3" s="29" t="s">
        <v>139</v>
      </c>
      <c r="EB3" s="29" t="s">
        <v>140</v>
      </c>
      <c r="EC3" s="29" t="s">
        <v>141</v>
      </c>
      <c r="ED3" s="29" t="s">
        <v>142</v>
      </c>
      <c r="EE3" s="29" t="s">
        <v>143</v>
      </c>
      <c r="EF3" s="29" t="s">
        <v>144</v>
      </c>
      <c r="EG3" s="29" t="s">
        <v>145</v>
      </c>
      <c r="EH3" s="29" t="s">
        <v>146</v>
      </c>
      <c r="EI3" s="29" t="s">
        <v>147</v>
      </c>
      <c r="EJ3" s="29" t="s">
        <v>148</v>
      </c>
      <c r="EK3" s="29" t="s">
        <v>149</v>
      </c>
      <c r="EL3" s="29" t="s">
        <v>150</v>
      </c>
      <c r="EM3" s="29" t="s">
        <v>151</v>
      </c>
      <c r="EN3" s="29" t="s">
        <v>152</v>
      </c>
      <c r="EO3" s="29" t="s">
        <v>153</v>
      </c>
      <c r="EP3" s="29" t="s">
        <v>154</v>
      </c>
      <c r="EQ3" s="29" t="s">
        <v>155</v>
      </c>
      <c r="ER3" s="29" t="s">
        <v>156</v>
      </c>
      <c r="ES3" s="29" t="s">
        <v>157</v>
      </c>
      <c r="ET3" s="29" t="s">
        <v>158</v>
      </c>
      <c r="EU3" s="29" t="s">
        <v>23</v>
      </c>
      <c r="EV3" s="12" t="s">
        <v>159</v>
      </c>
    </row>
    <row r="4" spans="1:152" x14ac:dyDescent="0.3">
      <c r="A4" s="20" t="s">
        <v>30</v>
      </c>
      <c r="B4" s="21">
        <v>26000</v>
      </c>
      <c r="D4" s="5" t="s">
        <v>6</v>
      </c>
      <c r="E4" s="11">
        <v>917</v>
      </c>
      <c r="F4" s="11">
        <v>25</v>
      </c>
      <c r="G4" s="11">
        <v>627</v>
      </c>
      <c r="H4" s="11">
        <v>648</v>
      </c>
      <c r="I4" s="11">
        <v>965</v>
      </c>
      <c r="J4" s="11">
        <v>1265</v>
      </c>
      <c r="K4" s="11">
        <v>1155</v>
      </c>
      <c r="L4" s="11">
        <v>1204</v>
      </c>
      <c r="M4" s="11">
        <v>77</v>
      </c>
      <c r="N4" s="11">
        <v>570</v>
      </c>
      <c r="O4" s="11">
        <v>1858</v>
      </c>
      <c r="P4" s="11">
        <v>1546</v>
      </c>
      <c r="Q4" s="11">
        <v>1496</v>
      </c>
      <c r="R4" s="11">
        <v>766</v>
      </c>
      <c r="S4" s="11">
        <v>1201</v>
      </c>
      <c r="T4" s="11">
        <v>2500</v>
      </c>
      <c r="U4" s="11">
        <v>1379</v>
      </c>
      <c r="V4" s="11">
        <v>1818</v>
      </c>
      <c r="W4" s="11">
        <v>1285</v>
      </c>
      <c r="X4" s="11">
        <v>996</v>
      </c>
      <c r="Y4" s="11">
        <v>1920</v>
      </c>
      <c r="Z4" s="11">
        <v>1023</v>
      </c>
      <c r="AA4" s="11">
        <v>171</v>
      </c>
      <c r="AB4" s="11">
        <v>904</v>
      </c>
      <c r="AC4" s="11">
        <v>1702</v>
      </c>
      <c r="AD4" s="11">
        <v>698</v>
      </c>
      <c r="AE4" s="11">
        <v>2430</v>
      </c>
      <c r="AF4" s="11">
        <v>1954</v>
      </c>
      <c r="AG4" s="11">
        <v>1656</v>
      </c>
      <c r="AH4" s="11">
        <v>1197</v>
      </c>
      <c r="AI4" s="11">
        <v>1667</v>
      </c>
      <c r="AJ4" s="11">
        <v>1848</v>
      </c>
      <c r="AK4" s="11">
        <v>1547</v>
      </c>
      <c r="AL4" s="11">
        <v>1672</v>
      </c>
      <c r="AM4" s="11">
        <v>1749</v>
      </c>
      <c r="AN4" s="11">
        <v>1812</v>
      </c>
      <c r="AO4" s="11">
        <v>1694</v>
      </c>
      <c r="AP4" s="11">
        <v>1765</v>
      </c>
      <c r="AQ4" s="11">
        <v>1236</v>
      </c>
      <c r="AR4" s="11">
        <v>947</v>
      </c>
      <c r="AS4" s="11">
        <v>1846</v>
      </c>
      <c r="AT4" s="11">
        <v>1493</v>
      </c>
      <c r="AU4" s="11">
        <v>1791</v>
      </c>
      <c r="AV4" s="11">
        <v>2041</v>
      </c>
      <c r="AW4" s="11">
        <v>1767</v>
      </c>
      <c r="AX4" s="11">
        <v>1038</v>
      </c>
      <c r="AY4" s="11">
        <v>1301</v>
      </c>
      <c r="AZ4" s="11">
        <v>1074</v>
      </c>
      <c r="BA4" s="11">
        <v>1638</v>
      </c>
      <c r="BB4" s="11">
        <v>968</v>
      </c>
      <c r="BC4" s="11">
        <v>1254</v>
      </c>
      <c r="BD4" s="11">
        <v>968</v>
      </c>
      <c r="BE4" s="11">
        <v>1035</v>
      </c>
      <c r="BF4" s="11">
        <v>1504</v>
      </c>
      <c r="BG4" s="11">
        <v>1272</v>
      </c>
      <c r="BH4" s="11">
        <v>2613</v>
      </c>
      <c r="BI4" s="11">
        <v>885</v>
      </c>
      <c r="BJ4" s="11">
        <v>1696</v>
      </c>
      <c r="BK4" s="11">
        <v>925</v>
      </c>
      <c r="BL4" s="11">
        <v>1149</v>
      </c>
      <c r="BM4" s="11">
        <v>85</v>
      </c>
      <c r="BN4" s="11">
        <v>931</v>
      </c>
      <c r="BO4" s="11">
        <v>655</v>
      </c>
      <c r="BP4" s="11">
        <v>1089</v>
      </c>
      <c r="BQ4" s="11">
        <v>1220</v>
      </c>
      <c r="BR4" s="11">
        <v>398</v>
      </c>
      <c r="BS4" s="11">
        <v>912</v>
      </c>
      <c r="BT4" s="11">
        <v>678</v>
      </c>
      <c r="BU4" s="11">
        <v>1203</v>
      </c>
      <c r="BV4" s="11">
        <v>479</v>
      </c>
      <c r="BW4" s="11">
        <v>792</v>
      </c>
      <c r="BX4" s="11">
        <v>1016</v>
      </c>
      <c r="BY4" s="11">
        <v>455</v>
      </c>
      <c r="BZ4" s="11">
        <v>2912</v>
      </c>
      <c r="CA4" s="11">
        <v>316</v>
      </c>
      <c r="CB4" s="11">
        <v>1407</v>
      </c>
      <c r="CC4" s="11">
        <v>1567</v>
      </c>
      <c r="CD4" s="11">
        <v>1086</v>
      </c>
      <c r="CE4" s="11">
        <v>1066</v>
      </c>
      <c r="CF4" s="11">
        <v>1071</v>
      </c>
      <c r="CG4" s="11">
        <v>1222</v>
      </c>
      <c r="CH4" s="11">
        <v>888</v>
      </c>
      <c r="CI4" s="11">
        <v>2056</v>
      </c>
      <c r="CJ4" s="11">
        <v>542</v>
      </c>
      <c r="CK4" s="11">
        <v>2098</v>
      </c>
      <c r="CL4" s="11">
        <v>784</v>
      </c>
      <c r="CM4" s="11">
        <v>1592</v>
      </c>
      <c r="CN4" s="11">
        <v>648</v>
      </c>
      <c r="CO4" s="11">
        <v>1317</v>
      </c>
      <c r="CP4" s="11">
        <v>1174</v>
      </c>
      <c r="CQ4" s="11">
        <v>1151</v>
      </c>
      <c r="CR4" s="11">
        <v>1937</v>
      </c>
      <c r="CS4" s="11">
        <v>1199</v>
      </c>
      <c r="CT4" s="11">
        <v>482</v>
      </c>
      <c r="CU4" s="11">
        <v>1009</v>
      </c>
      <c r="CV4" s="11">
        <v>76</v>
      </c>
      <c r="CW4" s="11">
        <v>1868</v>
      </c>
      <c r="CX4" s="11">
        <v>1110</v>
      </c>
      <c r="CY4" s="11">
        <v>1101</v>
      </c>
      <c r="CZ4" s="11">
        <v>1648</v>
      </c>
      <c r="DA4" s="11">
        <v>524</v>
      </c>
      <c r="DB4" s="11">
        <v>1065</v>
      </c>
      <c r="DC4" s="11">
        <v>1704</v>
      </c>
      <c r="DD4" s="11">
        <v>1556</v>
      </c>
      <c r="DE4" s="11">
        <v>2729</v>
      </c>
      <c r="DF4" s="11">
        <v>1755</v>
      </c>
      <c r="DG4" s="11">
        <v>828</v>
      </c>
      <c r="DH4" s="11">
        <v>476</v>
      </c>
      <c r="DI4" s="11">
        <v>476</v>
      </c>
      <c r="DJ4" s="11">
        <v>282</v>
      </c>
      <c r="DK4" s="11">
        <v>266</v>
      </c>
      <c r="DL4" s="11">
        <v>944</v>
      </c>
      <c r="DM4" s="11">
        <v>1708</v>
      </c>
      <c r="DN4" s="11">
        <v>659</v>
      </c>
      <c r="DO4" s="11">
        <v>1990</v>
      </c>
      <c r="DP4" s="11">
        <v>1847</v>
      </c>
      <c r="DQ4" s="11">
        <v>1151</v>
      </c>
      <c r="DR4" s="11">
        <v>215</v>
      </c>
      <c r="DS4" s="11">
        <v>1600</v>
      </c>
      <c r="DT4" s="11">
        <v>860</v>
      </c>
      <c r="DU4" s="11">
        <v>951</v>
      </c>
      <c r="DV4" s="11">
        <v>1176</v>
      </c>
      <c r="DW4" s="11">
        <v>1858</v>
      </c>
      <c r="DX4" s="11">
        <v>1704</v>
      </c>
      <c r="DY4" s="11">
        <v>1759</v>
      </c>
      <c r="DZ4" s="11">
        <v>544</v>
      </c>
      <c r="EA4" s="11">
        <v>887</v>
      </c>
      <c r="EB4" s="11">
        <v>1073</v>
      </c>
      <c r="EC4" s="11">
        <v>767</v>
      </c>
      <c r="ED4" s="11">
        <v>1296</v>
      </c>
      <c r="EE4" s="11">
        <v>2144</v>
      </c>
      <c r="EF4" s="11">
        <v>1719</v>
      </c>
      <c r="EG4" s="11">
        <v>1582</v>
      </c>
      <c r="EH4" s="11">
        <v>911</v>
      </c>
      <c r="EI4" s="11">
        <v>972</v>
      </c>
      <c r="EJ4" s="11">
        <v>946</v>
      </c>
      <c r="EK4" s="11">
        <v>1657</v>
      </c>
      <c r="EL4" s="11">
        <v>515</v>
      </c>
      <c r="EM4" s="11">
        <v>1639</v>
      </c>
      <c r="EN4" s="11">
        <v>1845</v>
      </c>
      <c r="EO4" s="11">
        <v>1975</v>
      </c>
      <c r="EP4" s="11">
        <v>2187</v>
      </c>
      <c r="EQ4" s="11">
        <v>260</v>
      </c>
      <c r="ER4" s="11">
        <v>396</v>
      </c>
      <c r="ES4" s="11">
        <v>1384</v>
      </c>
      <c r="ET4" s="11">
        <v>1714</v>
      </c>
      <c r="EU4" s="11">
        <v>1509</v>
      </c>
      <c r="EV4" s="28">
        <v>1645</v>
      </c>
    </row>
    <row r="5" spans="1:152" x14ac:dyDescent="0.3">
      <c r="A5" s="22" t="s">
        <v>6</v>
      </c>
      <c r="B5" s="23">
        <v>18000</v>
      </c>
      <c r="D5" s="3" t="s">
        <v>15</v>
      </c>
      <c r="E5" s="1">
        <v>419</v>
      </c>
      <c r="F5" s="1">
        <v>1153</v>
      </c>
      <c r="G5" s="1">
        <v>1555</v>
      </c>
      <c r="H5" s="1">
        <v>1446</v>
      </c>
      <c r="I5" s="1">
        <v>348</v>
      </c>
      <c r="J5" s="1">
        <v>900</v>
      </c>
      <c r="K5" s="1">
        <v>25</v>
      </c>
      <c r="L5" s="1">
        <v>251</v>
      </c>
      <c r="M5" s="1">
        <v>1190</v>
      </c>
      <c r="N5" s="1">
        <v>1475</v>
      </c>
      <c r="O5" s="1">
        <v>1782</v>
      </c>
      <c r="P5" s="1">
        <v>1128</v>
      </c>
      <c r="Q5" s="1">
        <v>2360</v>
      </c>
      <c r="R5" s="1">
        <v>1679</v>
      </c>
      <c r="S5" s="1">
        <v>409</v>
      </c>
      <c r="T5" s="1">
        <v>2069</v>
      </c>
      <c r="U5" s="1">
        <v>949</v>
      </c>
      <c r="V5" s="1">
        <v>1388</v>
      </c>
      <c r="W5" s="1">
        <v>277</v>
      </c>
      <c r="X5" s="1">
        <v>1978</v>
      </c>
      <c r="Y5" s="1">
        <v>1490</v>
      </c>
      <c r="Z5" s="1">
        <v>209</v>
      </c>
      <c r="AA5" s="1">
        <v>1321</v>
      </c>
      <c r="AB5" s="1">
        <v>275</v>
      </c>
      <c r="AC5" s="1">
        <v>1912</v>
      </c>
      <c r="AD5" s="1">
        <v>525</v>
      </c>
      <c r="AE5" s="1">
        <v>2000</v>
      </c>
      <c r="AF5" s="1">
        <v>1589</v>
      </c>
      <c r="AG5" s="1">
        <v>2723</v>
      </c>
      <c r="AH5" s="1">
        <v>46</v>
      </c>
      <c r="AI5" s="1">
        <v>1237</v>
      </c>
      <c r="AJ5" s="1">
        <v>2397</v>
      </c>
      <c r="AK5" s="1">
        <v>2322</v>
      </c>
      <c r="AL5" s="1">
        <v>2366</v>
      </c>
      <c r="AM5" s="1">
        <v>2724</v>
      </c>
      <c r="AN5" s="1">
        <v>2573</v>
      </c>
      <c r="AO5" s="1">
        <v>1892</v>
      </c>
      <c r="AP5" s="1">
        <v>1335</v>
      </c>
      <c r="AQ5" s="1">
        <v>2218</v>
      </c>
      <c r="AR5" s="1">
        <v>203</v>
      </c>
      <c r="AS5" s="1">
        <v>1470</v>
      </c>
      <c r="AT5" s="1">
        <v>1063</v>
      </c>
      <c r="AU5" s="1">
        <v>1414</v>
      </c>
      <c r="AV5" s="1">
        <v>2899</v>
      </c>
      <c r="AW5" s="1">
        <v>2624</v>
      </c>
      <c r="AX5" s="1">
        <v>536</v>
      </c>
      <c r="AY5" s="1">
        <v>871</v>
      </c>
      <c r="AZ5" s="1">
        <v>224</v>
      </c>
      <c r="BA5" s="1">
        <v>1273</v>
      </c>
      <c r="BB5" s="1">
        <v>230</v>
      </c>
      <c r="BC5" s="1">
        <v>1810</v>
      </c>
      <c r="BD5" s="1">
        <v>182</v>
      </c>
      <c r="BE5" s="1">
        <v>1915</v>
      </c>
      <c r="BF5" s="1">
        <v>2039</v>
      </c>
      <c r="BG5" s="1">
        <v>265</v>
      </c>
      <c r="BH5" s="1">
        <v>2183</v>
      </c>
      <c r="BI5" s="1">
        <v>549</v>
      </c>
      <c r="BJ5" s="1">
        <v>1266</v>
      </c>
      <c r="BK5" s="1">
        <v>304</v>
      </c>
      <c r="BL5" s="1">
        <v>159</v>
      </c>
      <c r="BM5" s="1">
        <v>1049</v>
      </c>
      <c r="BN5" s="1">
        <v>196</v>
      </c>
      <c r="BO5" s="1">
        <v>1058</v>
      </c>
      <c r="BP5" s="1">
        <v>2072</v>
      </c>
      <c r="BQ5" s="1">
        <v>1771</v>
      </c>
      <c r="BR5" s="1">
        <v>1111</v>
      </c>
      <c r="BS5" s="1">
        <v>1036</v>
      </c>
      <c r="BT5" s="1">
        <v>487</v>
      </c>
      <c r="BU5" s="1">
        <v>171</v>
      </c>
      <c r="BV5" s="1">
        <v>1362</v>
      </c>
      <c r="BW5" s="1">
        <v>363</v>
      </c>
      <c r="BX5" s="1">
        <v>137</v>
      </c>
      <c r="BY5" s="1">
        <v>681</v>
      </c>
      <c r="BZ5" s="1">
        <v>2482</v>
      </c>
      <c r="CA5" s="1">
        <v>1429</v>
      </c>
      <c r="CB5" s="1">
        <v>255</v>
      </c>
      <c r="CC5" s="1">
        <v>2682</v>
      </c>
      <c r="CD5" s="1">
        <v>695</v>
      </c>
      <c r="CE5" s="1">
        <v>1657</v>
      </c>
      <c r="CF5" s="1">
        <v>87</v>
      </c>
      <c r="CG5" s="1">
        <v>70</v>
      </c>
      <c r="CH5" s="1">
        <v>1870</v>
      </c>
      <c r="CI5" s="1">
        <v>1691</v>
      </c>
      <c r="CJ5" s="1">
        <v>725</v>
      </c>
      <c r="CK5" s="1">
        <v>2955</v>
      </c>
      <c r="CL5" s="1">
        <v>371</v>
      </c>
      <c r="CM5" s="1">
        <v>2450</v>
      </c>
      <c r="CN5" s="1">
        <v>493</v>
      </c>
      <c r="CO5" s="1">
        <v>576</v>
      </c>
      <c r="CP5" s="1">
        <v>740</v>
      </c>
      <c r="CQ5" s="1">
        <v>109</v>
      </c>
      <c r="CR5" s="1">
        <v>2794</v>
      </c>
      <c r="CS5" s="1">
        <v>1894</v>
      </c>
      <c r="CT5" s="1">
        <v>1379</v>
      </c>
      <c r="CU5" s="1">
        <v>193</v>
      </c>
      <c r="CV5" s="1">
        <v>1080</v>
      </c>
      <c r="CW5" s="1">
        <v>1647</v>
      </c>
      <c r="CX5" s="1">
        <v>178</v>
      </c>
      <c r="CY5" s="1">
        <v>309</v>
      </c>
      <c r="CZ5" s="1">
        <v>1218</v>
      </c>
      <c r="DA5" s="1">
        <v>1621</v>
      </c>
      <c r="DB5" s="1">
        <v>168</v>
      </c>
      <c r="DC5" s="1">
        <v>1274</v>
      </c>
      <c r="DD5" s="1">
        <v>2511</v>
      </c>
      <c r="DE5" s="1">
        <v>2298</v>
      </c>
      <c r="DF5" s="1">
        <v>2613</v>
      </c>
      <c r="DG5" s="1">
        <v>1615</v>
      </c>
      <c r="DH5" s="1">
        <v>1484</v>
      </c>
      <c r="DI5" s="1">
        <v>1484</v>
      </c>
      <c r="DJ5" s="1">
        <v>1379</v>
      </c>
      <c r="DK5" s="1">
        <v>1363</v>
      </c>
      <c r="DL5" s="1">
        <v>272</v>
      </c>
      <c r="DM5" s="1">
        <v>1278</v>
      </c>
      <c r="DN5" s="1">
        <v>1658</v>
      </c>
      <c r="DO5" s="1">
        <v>1560</v>
      </c>
      <c r="DP5" s="1">
        <v>1482</v>
      </c>
      <c r="DQ5" s="1">
        <v>1407</v>
      </c>
      <c r="DR5" s="1">
        <v>1327</v>
      </c>
      <c r="DS5" s="1">
        <v>1427</v>
      </c>
      <c r="DT5" s="1">
        <v>296</v>
      </c>
      <c r="DU5" s="1">
        <v>200</v>
      </c>
      <c r="DV5" s="1">
        <v>385</v>
      </c>
      <c r="DW5" s="1">
        <v>1425</v>
      </c>
      <c r="DX5" s="1">
        <v>2562</v>
      </c>
      <c r="DY5" s="1">
        <v>1329</v>
      </c>
      <c r="DZ5" s="1">
        <v>1516</v>
      </c>
      <c r="EA5" s="1">
        <v>1870</v>
      </c>
      <c r="EB5" s="1">
        <v>110</v>
      </c>
      <c r="EC5" s="1">
        <v>1749</v>
      </c>
      <c r="ED5" s="1">
        <v>2278</v>
      </c>
      <c r="EE5" s="1">
        <v>1714</v>
      </c>
      <c r="EF5" s="1">
        <v>1289</v>
      </c>
      <c r="EG5" s="1">
        <v>1155</v>
      </c>
      <c r="EH5" s="1">
        <v>1780</v>
      </c>
      <c r="EI5" s="1">
        <v>169</v>
      </c>
      <c r="EJ5" s="1">
        <v>332</v>
      </c>
      <c r="EK5" s="1">
        <v>610</v>
      </c>
      <c r="EL5" s="1">
        <v>931</v>
      </c>
      <c r="EM5" s="1">
        <v>2174</v>
      </c>
      <c r="EN5" s="1">
        <v>2702</v>
      </c>
      <c r="EO5" s="1">
        <v>2833</v>
      </c>
      <c r="EP5" s="1">
        <v>3045</v>
      </c>
      <c r="EQ5" s="1">
        <v>869</v>
      </c>
      <c r="ER5" s="1">
        <v>1053</v>
      </c>
      <c r="ES5" s="1">
        <v>1019</v>
      </c>
      <c r="ET5" s="1">
        <v>2409</v>
      </c>
      <c r="EU5" s="1">
        <v>2044</v>
      </c>
      <c r="EV5" s="13">
        <v>1965</v>
      </c>
    </row>
    <row r="6" spans="1:152" x14ac:dyDescent="0.3">
      <c r="A6" s="22" t="s">
        <v>31</v>
      </c>
      <c r="B6" s="23">
        <v>7000</v>
      </c>
      <c r="D6" s="3" t="s">
        <v>4</v>
      </c>
      <c r="E6" s="1">
        <v>494</v>
      </c>
      <c r="F6" s="1">
        <v>1228</v>
      </c>
      <c r="G6" s="1">
        <v>1631</v>
      </c>
      <c r="H6" s="1">
        <v>1522</v>
      </c>
      <c r="I6" s="1">
        <v>423</v>
      </c>
      <c r="J6" s="1">
        <v>964</v>
      </c>
      <c r="K6" s="1">
        <v>79</v>
      </c>
      <c r="L6" s="1">
        <v>217</v>
      </c>
      <c r="M6" s="1">
        <v>1265</v>
      </c>
      <c r="N6" s="1">
        <v>1555</v>
      </c>
      <c r="O6" s="1">
        <v>1854</v>
      </c>
      <c r="P6" s="1">
        <v>1206</v>
      </c>
      <c r="Q6" s="1">
        <v>2436</v>
      </c>
      <c r="R6" s="1">
        <v>1755</v>
      </c>
      <c r="S6" s="1">
        <v>485</v>
      </c>
      <c r="T6" s="1">
        <v>2147</v>
      </c>
      <c r="U6" s="1">
        <v>1027</v>
      </c>
      <c r="V6" s="1">
        <v>1466</v>
      </c>
      <c r="W6" s="1">
        <v>219</v>
      </c>
      <c r="X6" s="1">
        <v>2054</v>
      </c>
      <c r="Y6" s="1">
        <v>1568</v>
      </c>
      <c r="Z6" s="1">
        <v>237</v>
      </c>
      <c r="AA6" s="1">
        <v>1396</v>
      </c>
      <c r="AB6" s="1">
        <v>350</v>
      </c>
      <c r="AC6" s="1">
        <v>1961</v>
      </c>
      <c r="AD6" s="1">
        <v>572</v>
      </c>
      <c r="AE6" s="1">
        <v>2078</v>
      </c>
      <c r="AF6" s="1">
        <v>1653</v>
      </c>
      <c r="AG6" s="1">
        <v>2798</v>
      </c>
      <c r="AH6" s="1">
        <v>37</v>
      </c>
      <c r="AI6" s="1">
        <v>1315</v>
      </c>
      <c r="AJ6" s="1">
        <v>2473</v>
      </c>
      <c r="AK6" s="1">
        <v>2398</v>
      </c>
      <c r="AL6" s="1">
        <v>2442</v>
      </c>
      <c r="AM6" s="1">
        <v>2799</v>
      </c>
      <c r="AN6" s="1">
        <v>2649</v>
      </c>
      <c r="AO6" s="1">
        <v>1941</v>
      </c>
      <c r="AP6" s="1">
        <v>1413</v>
      </c>
      <c r="AQ6" s="1">
        <v>2294</v>
      </c>
      <c r="AR6" s="1">
        <v>279</v>
      </c>
      <c r="AS6" s="1">
        <v>1545</v>
      </c>
      <c r="AT6" s="1">
        <v>1141</v>
      </c>
      <c r="AU6" s="1">
        <v>1490</v>
      </c>
      <c r="AV6" s="1">
        <v>2974</v>
      </c>
      <c r="AW6" s="1">
        <v>2700</v>
      </c>
      <c r="AX6" s="1">
        <v>601</v>
      </c>
      <c r="AY6" s="1">
        <v>949</v>
      </c>
      <c r="AZ6" s="1">
        <v>224</v>
      </c>
      <c r="BA6" s="1">
        <v>1337</v>
      </c>
      <c r="BB6" s="1">
        <v>305</v>
      </c>
      <c r="BC6" s="1">
        <v>1884</v>
      </c>
      <c r="BD6" s="1">
        <v>238</v>
      </c>
      <c r="BE6" s="1">
        <v>1990</v>
      </c>
      <c r="BF6" s="1">
        <v>2115</v>
      </c>
      <c r="BG6" s="1">
        <v>207</v>
      </c>
      <c r="BH6" s="1">
        <v>2261</v>
      </c>
      <c r="BI6" s="1">
        <v>624</v>
      </c>
      <c r="BJ6" s="1">
        <v>1344</v>
      </c>
      <c r="BK6" s="1">
        <v>351</v>
      </c>
      <c r="BL6" s="1">
        <v>1482</v>
      </c>
      <c r="BM6" s="1">
        <v>1125</v>
      </c>
      <c r="BN6" s="1">
        <v>284</v>
      </c>
      <c r="BO6" s="1">
        <v>1133</v>
      </c>
      <c r="BP6" s="1">
        <v>2148</v>
      </c>
      <c r="BQ6" s="1">
        <v>1847</v>
      </c>
      <c r="BR6" s="1">
        <v>1187</v>
      </c>
      <c r="BS6" s="1">
        <v>1111</v>
      </c>
      <c r="BT6" s="1">
        <v>563</v>
      </c>
      <c r="BU6" s="1">
        <v>137</v>
      </c>
      <c r="BV6" s="1">
        <v>1438</v>
      </c>
      <c r="BW6" s="1">
        <v>439</v>
      </c>
      <c r="BX6" s="1">
        <v>230</v>
      </c>
      <c r="BY6" s="1">
        <v>760</v>
      </c>
      <c r="BZ6" s="1">
        <v>2560</v>
      </c>
      <c r="CA6" s="1">
        <v>1504</v>
      </c>
      <c r="CB6" s="1">
        <v>189</v>
      </c>
      <c r="CC6" s="1">
        <v>2757</v>
      </c>
      <c r="CD6" s="1">
        <v>759</v>
      </c>
      <c r="CE6" s="1">
        <v>1732</v>
      </c>
      <c r="CF6" s="1">
        <v>163</v>
      </c>
      <c r="CG6" s="1">
        <v>82</v>
      </c>
      <c r="CH6" s="1">
        <v>1946</v>
      </c>
      <c r="CI6" s="1">
        <v>1755</v>
      </c>
      <c r="CJ6" s="1">
        <v>801</v>
      </c>
      <c r="CK6" s="1">
        <v>3031</v>
      </c>
      <c r="CL6" s="1">
        <v>446</v>
      </c>
      <c r="CM6" s="1">
        <v>2526</v>
      </c>
      <c r="CN6" s="1">
        <v>573</v>
      </c>
      <c r="CO6" s="1">
        <v>652</v>
      </c>
      <c r="CP6" s="1">
        <v>815</v>
      </c>
      <c r="CQ6" s="1">
        <v>110</v>
      </c>
      <c r="CR6" s="1">
        <v>2870</v>
      </c>
      <c r="CS6" s="1">
        <v>1969</v>
      </c>
      <c r="CT6" s="1">
        <v>1455</v>
      </c>
      <c r="CU6" s="1">
        <v>269</v>
      </c>
      <c r="CV6" s="1">
        <v>1155</v>
      </c>
      <c r="CW6" s="1">
        <v>1718</v>
      </c>
      <c r="CX6" s="1">
        <v>179</v>
      </c>
      <c r="CY6" s="1">
        <v>385</v>
      </c>
      <c r="CZ6" s="1">
        <v>1296</v>
      </c>
      <c r="DA6" s="1">
        <v>1697</v>
      </c>
      <c r="DB6" s="1">
        <v>243</v>
      </c>
      <c r="DC6" s="1">
        <v>1352</v>
      </c>
      <c r="DD6" s="1">
        <v>2586</v>
      </c>
      <c r="DE6" s="1">
        <v>2376</v>
      </c>
      <c r="DF6" s="1">
        <v>2688</v>
      </c>
      <c r="DG6" s="1">
        <v>1691</v>
      </c>
      <c r="DH6" s="1">
        <v>1560</v>
      </c>
      <c r="DI6" s="1">
        <v>1560</v>
      </c>
      <c r="DJ6" s="1">
        <v>1859</v>
      </c>
      <c r="DK6" s="1">
        <v>1439</v>
      </c>
      <c r="DL6" s="1">
        <v>347</v>
      </c>
      <c r="DM6" s="1">
        <v>1356</v>
      </c>
      <c r="DN6" s="1">
        <v>1733</v>
      </c>
      <c r="DO6" s="1">
        <v>1638</v>
      </c>
      <c r="DP6" s="1">
        <v>1545</v>
      </c>
      <c r="DQ6" s="1">
        <v>1482</v>
      </c>
      <c r="DR6" s="1">
        <v>1403</v>
      </c>
      <c r="DS6" s="1">
        <v>1503</v>
      </c>
      <c r="DT6" s="1">
        <v>371</v>
      </c>
      <c r="DU6" s="1">
        <v>276</v>
      </c>
      <c r="DV6" s="1">
        <v>460</v>
      </c>
      <c r="DW6" s="1">
        <v>1506</v>
      </c>
      <c r="DX6" s="1">
        <v>2638</v>
      </c>
      <c r="DY6" s="1">
        <v>1406</v>
      </c>
      <c r="DZ6" s="1">
        <v>1591</v>
      </c>
      <c r="EA6" s="1">
        <v>1945</v>
      </c>
      <c r="EB6" s="1">
        <v>157</v>
      </c>
      <c r="EC6" s="1">
        <v>1825</v>
      </c>
      <c r="ED6" s="1">
        <v>2354</v>
      </c>
      <c r="EE6" s="1">
        <v>1792</v>
      </c>
      <c r="EF6" s="1">
        <v>1367</v>
      </c>
      <c r="EG6" s="1">
        <v>1230</v>
      </c>
      <c r="EH6" s="1">
        <v>1591</v>
      </c>
      <c r="EI6" s="1">
        <v>244</v>
      </c>
      <c r="EJ6" s="1">
        <v>359</v>
      </c>
      <c r="EK6" s="1">
        <v>552</v>
      </c>
      <c r="EL6" s="1">
        <v>1056</v>
      </c>
      <c r="EM6" s="1">
        <v>2250</v>
      </c>
      <c r="EN6" s="1">
        <v>2778</v>
      </c>
      <c r="EO6" s="1">
        <v>2908</v>
      </c>
      <c r="EP6" s="1">
        <v>3120</v>
      </c>
      <c r="EQ6" s="1">
        <v>945</v>
      </c>
      <c r="ER6" s="1">
        <v>1129</v>
      </c>
      <c r="ES6" s="1">
        <v>1083</v>
      </c>
      <c r="ET6" s="1">
        <v>2485</v>
      </c>
      <c r="EU6" s="1">
        <v>2120</v>
      </c>
      <c r="EV6" s="13">
        <v>2041</v>
      </c>
    </row>
    <row r="7" spans="1:152" x14ac:dyDescent="0.3">
      <c r="A7" s="22" t="s">
        <v>32</v>
      </c>
      <c r="B7" s="23">
        <v>9000</v>
      </c>
      <c r="D7" s="3" t="s">
        <v>20</v>
      </c>
      <c r="E7" s="1">
        <v>1923</v>
      </c>
      <c r="F7" s="1">
        <v>1494</v>
      </c>
      <c r="G7" s="1">
        <v>927</v>
      </c>
      <c r="H7" s="1">
        <v>1035</v>
      </c>
      <c r="I7" s="1">
        <v>2013</v>
      </c>
      <c r="J7" s="1">
        <v>1725</v>
      </c>
      <c r="K7" s="1">
        <v>2362</v>
      </c>
      <c r="L7" s="1">
        <v>2609</v>
      </c>
      <c r="M7" s="1">
        <v>1433</v>
      </c>
      <c r="N7" s="1">
        <v>1041</v>
      </c>
      <c r="O7" s="1">
        <v>1614</v>
      </c>
      <c r="P7" s="1">
        <v>1993</v>
      </c>
      <c r="Q7" s="1">
        <v>25</v>
      </c>
      <c r="R7" s="1">
        <v>824</v>
      </c>
      <c r="S7" s="1">
        <v>2204</v>
      </c>
      <c r="T7" s="1">
        <v>2746</v>
      </c>
      <c r="U7" s="1">
        <v>2084</v>
      </c>
      <c r="V7" s="1">
        <v>2287</v>
      </c>
      <c r="W7" s="1">
        <v>2626</v>
      </c>
      <c r="X7" s="1">
        <v>506</v>
      </c>
      <c r="Y7" s="1">
        <v>2144</v>
      </c>
      <c r="Z7" s="1">
        <v>2487</v>
      </c>
      <c r="AA7" s="1">
        <v>1562</v>
      </c>
      <c r="AB7" s="1">
        <v>2246</v>
      </c>
      <c r="AC7" s="1">
        <v>1418</v>
      </c>
      <c r="AD7" s="1">
        <v>2190</v>
      </c>
      <c r="AE7" s="1">
        <v>2677</v>
      </c>
      <c r="AF7" s="1">
        <v>1935</v>
      </c>
      <c r="AG7" s="1">
        <v>363</v>
      </c>
      <c r="AH7" s="1">
        <v>2404</v>
      </c>
      <c r="AI7" s="1">
        <v>2087</v>
      </c>
      <c r="AJ7" s="1">
        <v>346</v>
      </c>
      <c r="AK7" s="1">
        <v>74</v>
      </c>
      <c r="AL7" s="1">
        <v>180</v>
      </c>
      <c r="AM7" s="1">
        <v>364</v>
      </c>
      <c r="AN7" s="1">
        <v>310</v>
      </c>
      <c r="AO7" s="1">
        <v>1444</v>
      </c>
      <c r="AP7" s="1">
        <v>2224</v>
      </c>
      <c r="AQ7" s="1">
        <v>263</v>
      </c>
      <c r="AR7" s="1">
        <v>2167</v>
      </c>
      <c r="AS7" s="1">
        <v>2044</v>
      </c>
      <c r="AT7" s="1">
        <v>1983</v>
      </c>
      <c r="AU7" s="1">
        <v>1910</v>
      </c>
      <c r="AV7" s="1">
        <v>539</v>
      </c>
      <c r="AW7" s="1">
        <v>265</v>
      </c>
      <c r="AX7" s="1">
        <v>1889</v>
      </c>
      <c r="AY7" s="1">
        <v>2007</v>
      </c>
      <c r="AZ7" s="1">
        <v>2582</v>
      </c>
      <c r="BA7" s="1">
        <v>2128</v>
      </c>
      <c r="BB7" s="1">
        <v>2143</v>
      </c>
      <c r="BC7" s="1">
        <v>827</v>
      </c>
      <c r="BD7" s="1">
        <v>2364</v>
      </c>
      <c r="BE7" s="1">
        <v>636</v>
      </c>
      <c r="BF7" s="1">
        <v>609</v>
      </c>
      <c r="BG7" s="1">
        <v>2624</v>
      </c>
      <c r="BH7" s="1">
        <v>2859</v>
      </c>
      <c r="BI7" s="1">
        <v>1793</v>
      </c>
      <c r="BJ7" s="1">
        <v>2145</v>
      </c>
      <c r="BK7" s="1">
        <v>2310</v>
      </c>
      <c r="BL7" s="1">
        <v>2328</v>
      </c>
      <c r="BM7" s="1">
        <v>1565</v>
      </c>
      <c r="BN7" s="1">
        <v>2335</v>
      </c>
      <c r="BO7" s="1">
        <v>1367</v>
      </c>
      <c r="BP7" s="1">
        <v>411</v>
      </c>
      <c r="BQ7" s="1">
        <v>569</v>
      </c>
      <c r="BR7" s="1">
        <v>1412</v>
      </c>
      <c r="BS7" s="1">
        <v>1375</v>
      </c>
      <c r="BT7" s="1">
        <v>2001</v>
      </c>
      <c r="BU7" s="1">
        <v>2530</v>
      </c>
      <c r="BV7" s="1">
        <v>1195</v>
      </c>
      <c r="BW7" s="1">
        <v>2126</v>
      </c>
      <c r="BX7" s="1">
        <v>2289</v>
      </c>
      <c r="BY7" s="1">
        <v>1947</v>
      </c>
      <c r="BZ7" s="1">
        <v>3159</v>
      </c>
      <c r="CA7" s="1">
        <v>1777</v>
      </c>
      <c r="CB7" s="1">
        <v>2605</v>
      </c>
      <c r="CC7" s="1">
        <v>321</v>
      </c>
      <c r="CD7" s="1">
        <v>1927</v>
      </c>
      <c r="CE7" s="1">
        <v>756</v>
      </c>
      <c r="CF7" s="1">
        <v>2269</v>
      </c>
      <c r="CG7" s="1">
        <v>2429</v>
      </c>
      <c r="CH7" s="1">
        <v>613</v>
      </c>
      <c r="CI7" s="1">
        <v>1859</v>
      </c>
      <c r="CJ7" s="1">
        <v>1994</v>
      </c>
      <c r="CK7" s="1">
        <v>596</v>
      </c>
      <c r="CL7" s="1">
        <v>2107</v>
      </c>
      <c r="CM7" s="1">
        <v>90</v>
      </c>
      <c r="CN7" s="1">
        <v>1983</v>
      </c>
      <c r="CO7" s="1">
        <v>2146</v>
      </c>
      <c r="CP7" s="1">
        <v>2015</v>
      </c>
      <c r="CQ7" s="1">
        <v>2468</v>
      </c>
      <c r="CR7" s="1">
        <v>435</v>
      </c>
      <c r="CS7" s="1">
        <v>481</v>
      </c>
      <c r="CT7" s="1">
        <v>1101</v>
      </c>
      <c r="CU7" s="1">
        <v>2180</v>
      </c>
      <c r="CV7" s="1">
        <v>1568</v>
      </c>
      <c r="CW7" s="1">
        <v>1749</v>
      </c>
      <c r="CX7" s="1">
        <v>2528</v>
      </c>
      <c r="CY7" s="1">
        <v>2254</v>
      </c>
      <c r="CZ7" s="1">
        <v>2354</v>
      </c>
      <c r="DA7" s="1">
        <v>981</v>
      </c>
      <c r="DB7" s="1">
        <v>2245</v>
      </c>
      <c r="DC7" s="1">
        <v>2154</v>
      </c>
      <c r="DD7" s="1">
        <v>150</v>
      </c>
      <c r="DE7" s="1">
        <v>2975</v>
      </c>
      <c r="DF7" s="1">
        <v>253</v>
      </c>
      <c r="DG7" s="1">
        <v>822</v>
      </c>
      <c r="DH7" s="1">
        <v>1056</v>
      </c>
      <c r="DI7" s="1">
        <v>1056</v>
      </c>
      <c r="DJ7" s="1">
        <v>1214</v>
      </c>
      <c r="DK7" s="1">
        <v>1230</v>
      </c>
      <c r="DL7" s="1">
        <v>2063</v>
      </c>
      <c r="DM7" s="1">
        <v>2127</v>
      </c>
      <c r="DN7" s="1">
        <v>838</v>
      </c>
      <c r="DO7" s="1">
        <v>2214</v>
      </c>
      <c r="DP7" s="1">
        <v>1850</v>
      </c>
      <c r="DQ7" s="1">
        <v>1370</v>
      </c>
      <c r="DR7" s="1">
        <v>1675</v>
      </c>
      <c r="DS7" s="1">
        <v>1967</v>
      </c>
      <c r="DT7" s="1">
        <v>2147</v>
      </c>
      <c r="DU7" s="1">
        <v>2225</v>
      </c>
      <c r="DV7" s="1">
        <v>2248</v>
      </c>
      <c r="DW7" s="1">
        <v>2247</v>
      </c>
      <c r="DX7" s="1">
        <v>202</v>
      </c>
      <c r="DY7" s="1">
        <v>2211</v>
      </c>
      <c r="DZ7" s="1">
        <v>989</v>
      </c>
      <c r="EA7" s="1">
        <v>654</v>
      </c>
      <c r="EB7" s="1">
        <v>2435</v>
      </c>
      <c r="EC7" s="1">
        <v>729</v>
      </c>
      <c r="ED7" s="1">
        <v>311</v>
      </c>
      <c r="EE7" s="1">
        <v>2391</v>
      </c>
      <c r="EF7" s="1">
        <v>2424</v>
      </c>
      <c r="EG7" s="1">
        <v>2052</v>
      </c>
      <c r="EH7" s="1">
        <v>627</v>
      </c>
      <c r="EI7" s="1">
        <v>2196</v>
      </c>
      <c r="EJ7" s="1">
        <v>2438</v>
      </c>
      <c r="EK7" s="1">
        <v>2960</v>
      </c>
      <c r="EL7" s="1">
        <v>1533</v>
      </c>
      <c r="EM7" s="1">
        <v>777</v>
      </c>
      <c r="EN7" s="1">
        <v>343</v>
      </c>
      <c r="EO7" s="1">
        <v>473</v>
      </c>
      <c r="EP7" s="1">
        <v>685</v>
      </c>
      <c r="EQ7" s="1">
        <v>1723</v>
      </c>
      <c r="ER7" s="1">
        <v>1469</v>
      </c>
      <c r="ES7" s="1">
        <v>1831</v>
      </c>
      <c r="ET7" s="1">
        <v>212</v>
      </c>
      <c r="EU7" s="1">
        <v>642</v>
      </c>
      <c r="EV7" s="13">
        <v>993</v>
      </c>
    </row>
    <row r="8" spans="1:152" x14ac:dyDescent="0.3">
      <c r="A8" s="22" t="s">
        <v>33</v>
      </c>
      <c r="B8" s="23">
        <v>26000</v>
      </c>
      <c r="D8" s="3" t="s">
        <v>24</v>
      </c>
      <c r="E8" s="1">
        <v>2470</v>
      </c>
      <c r="F8" s="1">
        <v>2049</v>
      </c>
      <c r="G8" s="1">
        <v>1482</v>
      </c>
      <c r="H8" s="1">
        <v>1581</v>
      </c>
      <c r="I8" s="1">
        <v>2559</v>
      </c>
      <c r="J8" s="1">
        <v>2272</v>
      </c>
      <c r="K8" s="1">
        <v>2909</v>
      </c>
      <c r="L8" s="1">
        <v>3156</v>
      </c>
      <c r="M8" s="1">
        <v>1988</v>
      </c>
      <c r="N8" s="1">
        <v>1596</v>
      </c>
      <c r="O8" s="1">
        <v>2048</v>
      </c>
      <c r="P8" s="1">
        <v>2540</v>
      </c>
      <c r="Q8" s="1">
        <v>549</v>
      </c>
      <c r="R8" s="1">
        <v>1379</v>
      </c>
      <c r="S8" s="1">
        <v>2751</v>
      </c>
      <c r="T8" s="1">
        <v>3180</v>
      </c>
      <c r="U8" s="1">
        <v>2631</v>
      </c>
      <c r="V8" s="1">
        <v>2642</v>
      </c>
      <c r="W8" s="1">
        <v>3173</v>
      </c>
      <c r="X8" s="1">
        <v>1060</v>
      </c>
      <c r="Y8" s="1">
        <v>2578</v>
      </c>
      <c r="Z8" s="1">
        <v>3034</v>
      </c>
      <c r="AA8" s="1">
        <v>2117</v>
      </c>
      <c r="AB8" s="1">
        <v>2846</v>
      </c>
      <c r="AC8" s="1">
        <v>1852</v>
      </c>
      <c r="AD8" s="1">
        <v>2745</v>
      </c>
      <c r="AE8" s="1">
        <v>3111</v>
      </c>
      <c r="AF8" s="1">
        <v>2369</v>
      </c>
      <c r="AG8" s="1">
        <v>188</v>
      </c>
      <c r="AH8" s="1">
        <v>2951</v>
      </c>
      <c r="AI8" s="1">
        <v>2634</v>
      </c>
      <c r="AJ8" s="1">
        <v>694</v>
      </c>
      <c r="AK8" s="1">
        <v>583</v>
      </c>
      <c r="AL8" s="1">
        <v>596</v>
      </c>
      <c r="AM8" s="1">
        <v>190</v>
      </c>
      <c r="AN8" s="1">
        <v>550</v>
      </c>
      <c r="AO8" s="1">
        <v>1878</v>
      </c>
      <c r="AP8" s="1">
        <v>2733</v>
      </c>
      <c r="AQ8" s="1">
        <v>817</v>
      </c>
      <c r="AR8" s="1">
        <v>2723</v>
      </c>
      <c r="AS8" s="1">
        <v>2482</v>
      </c>
      <c r="AT8" s="1">
        <v>2530</v>
      </c>
      <c r="AU8" s="1">
        <v>2344</v>
      </c>
      <c r="AV8" s="1">
        <v>10</v>
      </c>
      <c r="AW8" s="1">
        <v>285</v>
      </c>
      <c r="AX8" s="1">
        <v>2436</v>
      </c>
      <c r="AY8" s="1">
        <v>2553</v>
      </c>
      <c r="AZ8" s="1">
        <v>3129</v>
      </c>
      <c r="BA8" s="1">
        <v>2674</v>
      </c>
      <c r="BB8" s="1">
        <v>2690</v>
      </c>
      <c r="BC8" s="1">
        <v>1263</v>
      </c>
      <c r="BD8" s="1">
        <v>2911</v>
      </c>
      <c r="BE8" s="1">
        <v>1183</v>
      </c>
      <c r="BF8" s="1">
        <v>1039</v>
      </c>
      <c r="BG8" s="1">
        <v>3171</v>
      </c>
      <c r="BH8" s="1">
        <v>3293</v>
      </c>
      <c r="BI8" s="1">
        <v>2339</v>
      </c>
      <c r="BJ8" s="1">
        <v>2692</v>
      </c>
      <c r="BK8" s="1">
        <v>2865</v>
      </c>
      <c r="BL8" s="1">
        <v>2875</v>
      </c>
      <c r="BM8" s="1">
        <v>2119</v>
      </c>
      <c r="BN8" s="1">
        <v>2882</v>
      </c>
      <c r="BO8" s="1">
        <v>1913</v>
      </c>
      <c r="BP8" s="1">
        <v>965</v>
      </c>
      <c r="BQ8" s="1">
        <v>1116</v>
      </c>
      <c r="BR8" s="1">
        <v>1967</v>
      </c>
      <c r="BS8" s="1">
        <v>1921</v>
      </c>
      <c r="BT8" s="1">
        <v>2556</v>
      </c>
      <c r="BU8" s="1">
        <v>3077</v>
      </c>
      <c r="BV8" s="1">
        <v>1750</v>
      </c>
      <c r="BW8" s="1">
        <v>2681</v>
      </c>
      <c r="BX8" s="1">
        <v>2844</v>
      </c>
      <c r="BY8" s="1">
        <v>2502</v>
      </c>
      <c r="BZ8" s="1">
        <v>3593</v>
      </c>
      <c r="CA8" s="1">
        <v>2331</v>
      </c>
      <c r="CB8" s="1">
        <v>3152</v>
      </c>
      <c r="CC8" s="1">
        <v>276</v>
      </c>
      <c r="CD8" s="1">
        <v>2474</v>
      </c>
      <c r="CE8" s="1">
        <v>1303</v>
      </c>
      <c r="CF8" s="1">
        <v>2824</v>
      </c>
      <c r="CG8" s="1">
        <v>2975</v>
      </c>
      <c r="CH8" s="1">
        <v>1167</v>
      </c>
      <c r="CI8" s="1">
        <v>2293</v>
      </c>
      <c r="CJ8" s="1">
        <v>2348</v>
      </c>
      <c r="CK8" s="1">
        <v>62</v>
      </c>
      <c r="CL8" s="1">
        <v>2662</v>
      </c>
      <c r="CM8" s="1">
        <v>461</v>
      </c>
      <c r="CN8" s="1">
        <v>2537</v>
      </c>
      <c r="CO8" s="1">
        <v>2693</v>
      </c>
      <c r="CP8" s="1">
        <v>2561</v>
      </c>
      <c r="CQ8" s="1">
        <v>3015</v>
      </c>
      <c r="CR8" s="1">
        <v>267</v>
      </c>
      <c r="CS8" s="1">
        <v>1028</v>
      </c>
      <c r="CT8" s="1">
        <v>1656</v>
      </c>
      <c r="CU8" s="1">
        <v>2727</v>
      </c>
      <c r="CV8" s="1">
        <v>2123</v>
      </c>
      <c r="CW8" s="1">
        <v>2183</v>
      </c>
      <c r="CX8" s="1">
        <v>3074</v>
      </c>
      <c r="CY8" s="1">
        <v>2800</v>
      </c>
      <c r="CZ8" s="1">
        <v>2901</v>
      </c>
      <c r="DA8" s="1">
        <v>1535</v>
      </c>
      <c r="DB8" s="1">
        <v>2792</v>
      </c>
      <c r="DC8" s="1">
        <v>2701</v>
      </c>
      <c r="DD8" s="1">
        <v>394</v>
      </c>
      <c r="DE8" s="1">
        <v>3409</v>
      </c>
      <c r="DF8" s="1">
        <v>333</v>
      </c>
      <c r="DG8" s="1">
        <v>1369</v>
      </c>
      <c r="DH8" s="1">
        <v>1610</v>
      </c>
      <c r="DI8" s="1">
        <v>1610</v>
      </c>
      <c r="DJ8" s="1">
        <v>1769</v>
      </c>
      <c r="DK8" s="1">
        <v>1785</v>
      </c>
      <c r="DL8" s="1">
        <v>2618</v>
      </c>
      <c r="DM8" s="1">
        <v>2673</v>
      </c>
      <c r="DN8" s="1">
        <v>1392</v>
      </c>
      <c r="DO8" s="1">
        <v>2648</v>
      </c>
      <c r="DP8" s="1">
        <v>2284</v>
      </c>
      <c r="DQ8" s="1">
        <v>1917</v>
      </c>
      <c r="DR8" s="1">
        <v>2230</v>
      </c>
      <c r="DS8" s="1">
        <v>2304</v>
      </c>
      <c r="DT8" s="1">
        <v>2703</v>
      </c>
      <c r="DU8" s="1">
        <v>2772</v>
      </c>
      <c r="DV8" s="1">
        <v>2795</v>
      </c>
      <c r="DW8" s="1">
        <v>2681</v>
      </c>
      <c r="DX8" s="1">
        <v>352</v>
      </c>
      <c r="DY8" s="1">
        <v>2694</v>
      </c>
      <c r="DZ8" s="1">
        <v>1544</v>
      </c>
      <c r="EA8" s="1">
        <v>1209</v>
      </c>
      <c r="EB8" s="1">
        <v>2982</v>
      </c>
      <c r="EC8" s="1">
        <v>1283</v>
      </c>
      <c r="ED8" s="1">
        <v>640</v>
      </c>
      <c r="EE8" s="1">
        <v>2825</v>
      </c>
      <c r="EF8" s="1">
        <v>2971</v>
      </c>
      <c r="EG8" s="1">
        <v>2599</v>
      </c>
      <c r="EH8" s="1">
        <v>1181</v>
      </c>
      <c r="EI8" s="1">
        <v>2752</v>
      </c>
      <c r="EJ8" s="1">
        <v>2993</v>
      </c>
      <c r="EK8" s="1">
        <v>3516</v>
      </c>
      <c r="EL8" s="1">
        <v>2080</v>
      </c>
      <c r="EM8" s="1">
        <v>1207</v>
      </c>
      <c r="EN8" s="1">
        <v>397</v>
      </c>
      <c r="EO8" s="1">
        <v>87</v>
      </c>
      <c r="EP8" s="1">
        <v>199</v>
      </c>
      <c r="EQ8" s="1">
        <v>2278</v>
      </c>
      <c r="ER8" s="1">
        <v>2023</v>
      </c>
      <c r="ES8" s="1">
        <v>2378</v>
      </c>
      <c r="ET8" s="1">
        <v>577</v>
      </c>
      <c r="EU8" s="1">
        <v>1076</v>
      </c>
      <c r="EV8" s="13">
        <v>1423</v>
      </c>
    </row>
    <row r="9" spans="1:152" x14ac:dyDescent="0.3">
      <c r="A9" s="22" t="s">
        <v>34</v>
      </c>
      <c r="B9" s="23">
        <v>8000</v>
      </c>
      <c r="D9" s="3" t="s">
        <v>21</v>
      </c>
      <c r="E9" s="1">
        <v>2287</v>
      </c>
      <c r="F9" s="1">
        <v>1744</v>
      </c>
      <c r="G9" s="1">
        <v>1177</v>
      </c>
      <c r="H9" s="1">
        <v>1398</v>
      </c>
      <c r="I9" s="1">
        <v>2376</v>
      </c>
      <c r="J9" s="1">
        <v>2088</v>
      </c>
      <c r="K9" s="1">
        <v>2726</v>
      </c>
      <c r="L9" s="1">
        <v>2964</v>
      </c>
      <c r="M9" s="1">
        <v>1683</v>
      </c>
      <c r="N9" s="1">
        <v>1291</v>
      </c>
      <c r="O9" s="1">
        <v>1864</v>
      </c>
      <c r="P9" s="1">
        <v>2356</v>
      </c>
      <c r="Q9" s="1">
        <v>365</v>
      </c>
      <c r="R9" s="1">
        <v>1074</v>
      </c>
      <c r="S9" s="1">
        <v>2568</v>
      </c>
      <c r="T9" s="1">
        <v>2996</v>
      </c>
      <c r="U9" s="1">
        <v>2448</v>
      </c>
      <c r="V9" s="1">
        <v>2459</v>
      </c>
      <c r="W9" s="1">
        <v>2990</v>
      </c>
      <c r="X9" s="1">
        <v>756</v>
      </c>
      <c r="Y9" s="1">
        <v>2395</v>
      </c>
      <c r="Z9" s="1">
        <v>2846</v>
      </c>
      <c r="AA9" s="1">
        <v>1812</v>
      </c>
      <c r="AB9" s="1">
        <v>2663</v>
      </c>
      <c r="AC9" s="1">
        <v>1669</v>
      </c>
      <c r="AD9" s="1">
        <v>2440</v>
      </c>
      <c r="AE9" s="1">
        <v>2927</v>
      </c>
      <c r="AF9" s="1">
        <v>2186</v>
      </c>
      <c r="AG9" s="1">
        <v>179</v>
      </c>
      <c r="AH9" s="1">
        <v>2759</v>
      </c>
      <c r="AI9" s="1">
        <v>2451</v>
      </c>
      <c r="AJ9" s="1">
        <v>511</v>
      </c>
      <c r="AK9" s="1">
        <v>400</v>
      </c>
      <c r="AL9" s="1">
        <v>412</v>
      </c>
      <c r="AM9" s="1">
        <v>25</v>
      </c>
      <c r="AN9" s="1">
        <v>367</v>
      </c>
      <c r="AO9" s="1">
        <v>1694</v>
      </c>
      <c r="AP9" s="1">
        <v>2550</v>
      </c>
      <c r="AQ9" s="1">
        <v>512</v>
      </c>
      <c r="AR9" s="1">
        <v>2540</v>
      </c>
      <c r="AS9" s="1">
        <v>2299</v>
      </c>
      <c r="AT9" s="1">
        <v>2347</v>
      </c>
      <c r="AU9" s="1">
        <v>2161</v>
      </c>
      <c r="AV9" s="1">
        <v>181</v>
      </c>
      <c r="AW9" s="1">
        <v>102</v>
      </c>
      <c r="AX9" s="1">
        <v>2253</v>
      </c>
      <c r="AY9" s="1">
        <v>2370</v>
      </c>
      <c r="AZ9" s="1">
        <v>2709</v>
      </c>
      <c r="BA9" s="1">
        <v>2492</v>
      </c>
      <c r="BB9" s="1">
        <v>2506</v>
      </c>
      <c r="BC9" s="1">
        <v>1080</v>
      </c>
      <c r="BD9" s="1">
        <v>2728</v>
      </c>
      <c r="BE9" s="1">
        <v>999</v>
      </c>
      <c r="BF9" s="1">
        <v>856</v>
      </c>
      <c r="BG9" s="1">
        <v>2987</v>
      </c>
      <c r="BH9" s="1">
        <v>3110</v>
      </c>
      <c r="BI9" s="1">
        <v>2156</v>
      </c>
      <c r="BJ9" s="1">
        <v>2509</v>
      </c>
      <c r="BK9" s="1">
        <v>2560</v>
      </c>
      <c r="BL9" s="1">
        <v>2691</v>
      </c>
      <c r="BM9" s="1">
        <v>1814</v>
      </c>
      <c r="BN9" s="1">
        <v>2699</v>
      </c>
      <c r="BO9" s="1">
        <v>1730</v>
      </c>
      <c r="BP9" s="1">
        <v>660</v>
      </c>
      <c r="BQ9" s="1">
        <v>933</v>
      </c>
      <c r="BR9" s="1">
        <v>1662</v>
      </c>
      <c r="BS9" s="1">
        <v>1738</v>
      </c>
      <c r="BT9" s="1">
        <v>2251</v>
      </c>
      <c r="BU9" s="1">
        <v>2893</v>
      </c>
      <c r="BV9" s="1">
        <v>1445</v>
      </c>
      <c r="BW9" s="1">
        <v>2376</v>
      </c>
      <c r="BX9" s="1">
        <v>2661</v>
      </c>
      <c r="BY9" s="1">
        <v>2197</v>
      </c>
      <c r="BZ9" s="1">
        <v>3409</v>
      </c>
      <c r="CA9" s="1">
        <v>2026</v>
      </c>
      <c r="CB9" s="1">
        <v>2969</v>
      </c>
      <c r="CC9" s="1">
        <v>267</v>
      </c>
      <c r="CD9" s="1">
        <v>2290</v>
      </c>
      <c r="CE9" s="1">
        <v>1120</v>
      </c>
      <c r="CF9" s="1">
        <v>2641</v>
      </c>
      <c r="CG9" s="1">
        <v>2792</v>
      </c>
      <c r="CH9" s="1">
        <v>862</v>
      </c>
      <c r="CI9" s="1">
        <v>2110</v>
      </c>
      <c r="CJ9" s="1">
        <v>2043</v>
      </c>
      <c r="CK9" s="1">
        <v>238</v>
      </c>
      <c r="CL9" s="1">
        <v>2357</v>
      </c>
      <c r="CM9" s="1">
        <v>278</v>
      </c>
      <c r="CN9" s="1">
        <v>2232</v>
      </c>
      <c r="CO9" s="1">
        <v>2509</v>
      </c>
      <c r="CP9" s="1">
        <v>2378</v>
      </c>
      <c r="CQ9" s="1">
        <v>2831</v>
      </c>
      <c r="CR9" s="1">
        <v>207</v>
      </c>
      <c r="CS9" s="1">
        <v>845</v>
      </c>
      <c r="CT9" s="1">
        <v>1351</v>
      </c>
      <c r="CU9" s="1">
        <v>2544</v>
      </c>
      <c r="CV9" s="1">
        <v>1818</v>
      </c>
      <c r="CW9" s="1">
        <v>2000</v>
      </c>
      <c r="CX9" s="1">
        <v>2891</v>
      </c>
      <c r="CY9" s="1">
        <v>2617</v>
      </c>
      <c r="CZ9" s="1">
        <v>2717</v>
      </c>
      <c r="DA9" s="1">
        <v>1230</v>
      </c>
      <c r="DB9" s="1">
        <v>2608</v>
      </c>
      <c r="DC9" s="1">
        <v>2518</v>
      </c>
      <c r="DD9" s="1">
        <v>196</v>
      </c>
      <c r="DE9" s="1">
        <v>3225</v>
      </c>
      <c r="DF9" s="1">
        <v>153</v>
      </c>
      <c r="DG9" s="1">
        <v>1185</v>
      </c>
      <c r="DH9" s="1">
        <v>1305</v>
      </c>
      <c r="DI9" s="1">
        <v>1305</v>
      </c>
      <c r="DJ9" s="1">
        <v>1464</v>
      </c>
      <c r="DK9" s="1">
        <v>1480</v>
      </c>
      <c r="DL9" s="1">
        <v>2435</v>
      </c>
      <c r="DM9" s="1">
        <v>2490</v>
      </c>
      <c r="DN9" s="1">
        <v>1087</v>
      </c>
      <c r="DO9" s="1">
        <v>2465</v>
      </c>
      <c r="DP9" s="1">
        <v>2101</v>
      </c>
      <c r="DQ9" s="1">
        <v>1734</v>
      </c>
      <c r="DR9" s="1">
        <v>1925</v>
      </c>
      <c r="DS9" s="1">
        <v>2121</v>
      </c>
      <c r="DT9" s="1">
        <v>2519</v>
      </c>
      <c r="DU9" s="1">
        <v>2598</v>
      </c>
      <c r="DV9" s="1">
        <v>2648</v>
      </c>
      <c r="DW9" s="1">
        <v>2498</v>
      </c>
      <c r="DX9" s="1">
        <v>168</v>
      </c>
      <c r="DY9" s="1">
        <v>2511</v>
      </c>
      <c r="DZ9" s="1">
        <v>1239</v>
      </c>
      <c r="EA9" s="1">
        <v>904</v>
      </c>
      <c r="EB9" s="1">
        <v>2799</v>
      </c>
      <c r="EC9" s="1">
        <v>978</v>
      </c>
      <c r="ED9" s="1">
        <v>443</v>
      </c>
      <c r="EE9" s="1">
        <v>2641</v>
      </c>
      <c r="EF9" s="1">
        <v>2788</v>
      </c>
      <c r="EG9" s="1">
        <v>2416</v>
      </c>
      <c r="EH9" s="1">
        <v>876</v>
      </c>
      <c r="EI9" s="1">
        <v>2568</v>
      </c>
      <c r="EJ9" s="1">
        <v>2688</v>
      </c>
      <c r="EK9" s="1">
        <v>3333</v>
      </c>
      <c r="EL9" s="1">
        <v>1897</v>
      </c>
      <c r="EM9" s="1">
        <v>1023</v>
      </c>
      <c r="EN9" s="1">
        <v>217</v>
      </c>
      <c r="EO9" s="1">
        <v>115</v>
      </c>
      <c r="EP9" s="1">
        <v>382</v>
      </c>
      <c r="EQ9" s="1">
        <v>1973</v>
      </c>
      <c r="ER9" s="1">
        <v>1718</v>
      </c>
      <c r="ES9" s="1">
        <v>2194</v>
      </c>
      <c r="ET9" s="1">
        <v>394</v>
      </c>
      <c r="EU9" s="1">
        <v>893</v>
      </c>
      <c r="EV9" s="13">
        <v>1239</v>
      </c>
    </row>
    <row r="10" spans="1:152" x14ac:dyDescent="0.3">
      <c r="A10" s="22" t="s">
        <v>15</v>
      </c>
      <c r="B10" s="23">
        <v>8000</v>
      </c>
      <c r="D10" s="3" t="s">
        <v>5</v>
      </c>
      <c r="E10" s="1">
        <v>1439</v>
      </c>
      <c r="F10" s="1">
        <v>1691</v>
      </c>
      <c r="G10" s="1">
        <v>1430</v>
      </c>
      <c r="H10" s="1">
        <v>1086</v>
      </c>
      <c r="I10" s="1">
        <v>1543</v>
      </c>
      <c r="J10" s="1">
        <v>945</v>
      </c>
      <c r="K10" s="1">
        <v>1844</v>
      </c>
      <c r="L10" s="1">
        <v>2092</v>
      </c>
      <c r="M10" s="1">
        <v>1630</v>
      </c>
      <c r="N10" s="1">
        <v>1314</v>
      </c>
      <c r="O10" s="1">
        <v>175</v>
      </c>
      <c r="P10" s="1">
        <v>875</v>
      </c>
      <c r="Q10" s="1">
        <v>1444</v>
      </c>
      <c r="R10" s="1">
        <v>1568</v>
      </c>
      <c r="S10" s="1">
        <v>1415</v>
      </c>
      <c r="T10" s="1">
        <v>1307</v>
      </c>
      <c r="U10" s="1">
        <v>1084</v>
      </c>
      <c r="V10" s="1">
        <v>770</v>
      </c>
      <c r="W10" s="1">
        <v>2118</v>
      </c>
      <c r="X10" s="1">
        <v>1624</v>
      </c>
      <c r="Y10" s="1">
        <v>705</v>
      </c>
      <c r="Z10" s="1">
        <v>1969</v>
      </c>
      <c r="AA10" s="1">
        <v>1787</v>
      </c>
      <c r="AB10" s="1">
        <v>1781</v>
      </c>
      <c r="AC10" s="1">
        <v>26</v>
      </c>
      <c r="AD10" s="1">
        <v>2070</v>
      </c>
      <c r="AE10" s="1">
        <v>1238</v>
      </c>
      <c r="AF10" s="1">
        <v>497</v>
      </c>
      <c r="AG10" s="1">
        <v>1867</v>
      </c>
      <c r="AH10" s="1">
        <v>1886</v>
      </c>
      <c r="AI10" s="1">
        <v>856</v>
      </c>
      <c r="AJ10" s="1">
        <v>1256</v>
      </c>
      <c r="AK10" s="1">
        <v>1349</v>
      </c>
      <c r="AL10" s="1">
        <v>1281</v>
      </c>
      <c r="AM10" s="1">
        <v>1694</v>
      </c>
      <c r="AN10" s="1">
        <v>1432</v>
      </c>
      <c r="AO10" s="1">
        <v>25</v>
      </c>
      <c r="AP10" s="1">
        <v>860</v>
      </c>
      <c r="AQ10" s="1">
        <v>1504</v>
      </c>
      <c r="AR10" s="1">
        <v>1658</v>
      </c>
      <c r="AS10" s="1">
        <v>601</v>
      </c>
      <c r="AT10" s="1">
        <v>969</v>
      </c>
      <c r="AU10" s="1">
        <v>472</v>
      </c>
      <c r="AV10" s="1">
        <v>1869</v>
      </c>
      <c r="AW10" s="1">
        <v>1594</v>
      </c>
      <c r="AX10" s="1">
        <v>1309</v>
      </c>
      <c r="AY10" s="1">
        <v>1094</v>
      </c>
      <c r="AZ10" s="1">
        <v>2065</v>
      </c>
      <c r="BA10" s="1">
        <v>684</v>
      </c>
      <c r="BB10" s="1">
        <v>1634</v>
      </c>
      <c r="BC10" s="1">
        <v>870</v>
      </c>
      <c r="BD10" s="1">
        <v>1851</v>
      </c>
      <c r="BE10" s="1">
        <v>1282</v>
      </c>
      <c r="BF10" s="1">
        <v>841</v>
      </c>
      <c r="BG10" s="1">
        <v>2106</v>
      </c>
      <c r="BH10" s="1">
        <v>1421</v>
      </c>
      <c r="BI10" s="1">
        <v>1381</v>
      </c>
      <c r="BJ10" s="1">
        <v>786</v>
      </c>
      <c r="BK10" s="1">
        <v>1992</v>
      </c>
      <c r="BL10" s="1">
        <v>1667</v>
      </c>
      <c r="BM10" s="1">
        <v>1716</v>
      </c>
      <c r="BN10" s="1">
        <v>1818</v>
      </c>
      <c r="BO10" s="1">
        <v>1099</v>
      </c>
      <c r="BP10" s="1">
        <v>1570</v>
      </c>
      <c r="BQ10" s="1">
        <v>1075</v>
      </c>
      <c r="BR10" s="1">
        <v>1271</v>
      </c>
      <c r="BS10" s="1">
        <v>864</v>
      </c>
      <c r="BT10" s="1">
        <v>1737</v>
      </c>
      <c r="BU10" s="1">
        <v>2012</v>
      </c>
      <c r="BV10" s="1">
        <v>1264</v>
      </c>
      <c r="BW10" s="1">
        <v>1816</v>
      </c>
      <c r="BX10" s="1">
        <v>1780</v>
      </c>
      <c r="BY10" s="1">
        <v>1968</v>
      </c>
      <c r="BZ10" s="1">
        <v>1720</v>
      </c>
      <c r="CA10" s="1">
        <v>1974</v>
      </c>
      <c r="CB10" s="1">
        <v>2096</v>
      </c>
      <c r="CC10" s="1">
        <v>1765</v>
      </c>
      <c r="CD10" s="1">
        <v>1156</v>
      </c>
      <c r="CE10" s="1">
        <v>1031</v>
      </c>
      <c r="CF10" s="1">
        <v>1760</v>
      </c>
      <c r="CG10" s="1">
        <v>1911</v>
      </c>
      <c r="CH10" s="1">
        <v>1608</v>
      </c>
      <c r="CI10" s="1">
        <v>421</v>
      </c>
      <c r="CJ10" s="1">
        <v>2459</v>
      </c>
      <c r="CK10" s="1">
        <v>1919</v>
      </c>
      <c r="CL10" s="1">
        <v>1731</v>
      </c>
      <c r="CM10" s="1">
        <v>1426</v>
      </c>
      <c r="CN10" s="1">
        <v>1880</v>
      </c>
      <c r="CO10" s="1">
        <v>1283</v>
      </c>
      <c r="CP10" s="1">
        <v>1144</v>
      </c>
      <c r="CQ10" s="1">
        <v>1950</v>
      </c>
      <c r="CR10" s="1">
        <v>1706</v>
      </c>
      <c r="CS10" s="1">
        <v>1169</v>
      </c>
      <c r="CT10" s="1">
        <v>1401</v>
      </c>
      <c r="CU10" s="1">
        <v>1671</v>
      </c>
      <c r="CV10" s="1">
        <v>1767</v>
      </c>
      <c r="CW10" s="1">
        <v>310</v>
      </c>
      <c r="CX10" s="1">
        <v>2066</v>
      </c>
      <c r="CY10" s="1">
        <v>1513</v>
      </c>
      <c r="CZ10" s="1">
        <v>920</v>
      </c>
      <c r="DA10" s="1">
        <v>1659</v>
      </c>
      <c r="DB10" s="1">
        <v>1736</v>
      </c>
      <c r="DC10" s="1">
        <v>838</v>
      </c>
      <c r="DD10" s="1">
        <v>1594</v>
      </c>
      <c r="DE10" s="1">
        <v>1536</v>
      </c>
      <c r="DF10" s="1">
        <v>1633</v>
      </c>
      <c r="DG10" s="1">
        <v>1165</v>
      </c>
      <c r="DH10" s="1">
        <v>1505</v>
      </c>
      <c r="DI10" s="1">
        <v>1505</v>
      </c>
      <c r="DJ10" s="1">
        <v>1575</v>
      </c>
      <c r="DK10" s="1">
        <v>1558</v>
      </c>
      <c r="DL10" s="1">
        <v>1582</v>
      </c>
      <c r="DM10" s="1">
        <v>778</v>
      </c>
      <c r="DN10" s="1">
        <v>1551</v>
      </c>
      <c r="DO10" s="1">
        <v>776</v>
      </c>
      <c r="DP10" s="1">
        <v>412</v>
      </c>
      <c r="DQ10" s="1">
        <v>540</v>
      </c>
      <c r="DR10" s="1">
        <v>1872</v>
      </c>
      <c r="DS10" s="1">
        <v>432</v>
      </c>
      <c r="DT10" s="1">
        <v>1667</v>
      </c>
      <c r="DU10" s="1">
        <v>1716</v>
      </c>
      <c r="DV10" s="1">
        <v>1495</v>
      </c>
      <c r="DW10" s="1">
        <v>809</v>
      </c>
      <c r="DX10" s="1">
        <v>1532</v>
      </c>
      <c r="DY10" s="1">
        <v>821</v>
      </c>
      <c r="DZ10" s="1">
        <v>1462</v>
      </c>
      <c r="EA10" s="1">
        <v>1574</v>
      </c>
      <c r="EB10" s="1">
        <v>1918</v>
      </c>
      <c r="EC10" s="1">
        <v>1617</v>
      </c>
      <c r="ED10" s="1">
        <v>1548</v>
      </c>
      <c r="EE10" s="1">
        <v>952</v>
      </c>
      <c r="EF10" s="1">
        <v>904</v>
      </c>
      <c r="EG10" s="1">
        <v>922</v>
      </c>
      <c r="EH10" s="1">
        <v>1400</v>
      </c>
      <c r="EI10" s="1">
        <v>1687</v>
      </c>
      <c r="EJ10" s="1">
        <v>2057</v>
      </c>
      <c r="EK10" s="1">
        <v>2451</v>
      </c>
      <c r="EL10" s="1">
        <v>1266</v>
      </c>
      <c r="EM10" s="1">
        <v>685</v>
      </c>
      <c r="EN10" s="1">
        <v>1575</v>
      </c>
      <c r="EO10" s="1">
        <v>1803</v>
      </c>
      <c r="EP10" s="1">
        <v>1970</v>
      </c>
      <c r="EQ10" s="1">
        <v>1669</v>
      </c>
      <c r="ER10" s="1">
        <v>1331</v>
      </c>
      <c r="ES10" s="1">
        <v>882</v>
      </c>
      <c r="ET10" s="1">
        <v>1323</v>
      </c>
      <c r="EU10" s="1">
        <v>803</v>
      </c>
      <c r="EV10" s="13">
        <v>468</v>
      </c>
    </row>
    <row r="11" spans="1:152" x14ac:dyDescent="0.3">
      <c r="A11" s="22" t="s">
        <v>35</v>
      </c>
      <c r="B11" s="23">
        <v>20000</v>
      </c>
      <c r="D11" s="3" t="s">
        <v>16</v>
      </c>
      <c r="E11" s="1">
        <v>234</v>
      </c>
      <c r="F11" s="1">
        <v>947</v>
      </c>
      <c r="G11" s="1">
        <v>1350</v>
      </c>
      <c r="H11" s="1">
        <v>1261</v>
      </c>
      <c r="I11" s="1">
        <v>163</v>
      </c>
      <c r="J11" s="1">
        <v>703</v>
      </c>
      <c r="K11" s="1">
        <v>202</v>
      </c>
      <c r="L11" s="1">
        <v>450</v>
      </c>
      <c r="M11" s="1">
        <v>984</v>
      </c>
      <c r="N11" s="1">
        <v>1274</v>
      </c>
      <c r="O11" s="1">
        <v>1593</v>
      </c>
      <c r="P11" s="1">
        <v>945</v>
      </c>
      <c r="Q11" s="1">
        <v>2175</v>
      </c>
      <c r="R11" s="1">
        <v>1474</v>
      </c>
      <c r="S11" s="1">
        <v>280</v>
      </c>
      <c r="T11" s="1">
        <v>1886</v>
      </c>
      <c r="U11" s="1">
        <v>766</v>
      </c>
      <c r="V11" s="1">
        <v>1205</v>
      </c>
      <c r="W11" s="1">
        <v>475</v>
      </c>
      <c r="X11" s="1">
        <v>1773</v>
      </c>
      <c r="Y11" s="1">
        <v>1307</v>
      </c>
      <c r="Z11" s="1">
        <v>319</v>
      </c>
      <c r="AA11" s="1">
        <v>1116</v>
      </c>
      <c r="AB11" s="1">
        <v>131</v>
      </c>
      <c r="AC11" s="1">
        <v>1700</v>
      </c>
      <c r="AD11" s="1">
        <v>450</v>
      </c>
      <c r="AE11" s="1">
        <v>1817</v>
      </c>
      <c r="AF11" s="1">
        <v>1392</v>
      </c>
      <c r="AG11" s="1">
        <v>2537</v>
      </c>
      <c r="AH11" s="1">
        <v>244</v>
      </c>
      <c r="AI11" s="1">
        <v>1054</v>
      </c>
      <c r="AJ11" s="1">
        <v>2212</v>
      </c>
      <c r="AK11" s="1">
        <v>2137</v>
      </c>
      <c r="AL11" s="1">
        <v>2181</v>
      </c>
      <c r="AM11" s="1">
        <v>2538</v>
      </c>
      <c r="AN11" s="1">
        <v>2388</v>
      </c>
      <c r="AO11" s="1">
        <v>1680</v>
      </c>
      <c r="AP11" s="1">
        <v>1152</v>
      </c>
      <c r="AQ11" s="1">
        <v>2013</v>
      </c>
      <c r="AR11" s="1">
        <v>25</v>
      </c>
      <c r="AS11" s="1">
        <v>1284</v>
      </c>
      <c r="AT11" s="1">
        <v>880</v>
      </c>
      <c r="AU11" s="1">
        <v>1229</v>
      </c>
      <c r="AV11" s="1">
        <v>2713</v>
      </c>
      <c r="AW11" s="1">
        <v>2439</v>
      </c>
      <c r="AX11" s="1">
        <v>340</v>
      </c>
      <c r="AY11" s="1">
        <v>688</v>
      </c>
      <c r="AZ11" s="1">
        <v>365</v>
      </c>
      <c r="BA11" s="1">
        <v>1076</v>
      </c>
      <c r="BB11" s="1">
        <v>45</v>
      </c>
      <c r="BC11" s="1">
        <v>1623</v>
      </c>
      <c r="BD11" s="1">
        <v>201</v>
      </c>
      <c r="BE11" s="1">
        <v>1729</v>
      </c>
      <c r="BF11" s="1">
        <v>1854</v>
      </c>
      <c r="BG11" s="1">
        <v>464</v>
      </c>
      <c r="BH11" s="1">
        <v>2000</v>
      </c>
      <c r="BI11" s="1">
        <v>363</v>
      </c>
      <c r="BJ11" s="1">
        <v>1083</v>
      </c>
      <c r="BK11" s="1">
        <v>342</v>
      </c>
      <c r="BL11" s="1">
        <v>223</v>
      </c>
      <c r="BM11" s="1">
        <v>844</v>
      </c>
      <c r="BN11" s="1">
        <v>168</v>
      </c>
      <c r="BO11" s="1">
        <v>873</v>
      </c>
      <c r="BP11" s="1">
        <v>1867</v>
      </c>
      <c r="BQ11" s="1">
        <v>1586</v>
      </c>
      <c r="BR11" s="1">
        <v>906</v>
      </c>
      <c r="BS11" s="1">
        <v>850</v>
      </c>
      <c r="BT11" s="1">
        <v>282</v>
      </c>
      <c r="BU11" s="1">
        <v>370</v>
      </c>
      <c r="BV11" s="1">
        <v>1157</v>
      </c>
      <c r="BW11" s="1">
        <v>203</v>
      </c>
      <c r="BX11" s="1">
        <v>130</v>
      </c>
      <c r="BY11" s="1">
        <v>608</v>
      </c>
      <c r="BZ11" s="1">
        <v>2299</v>
      </c>
      <c r="CA11" s="1">
        <v>1223</v>
      </c>
      <c r="CB11" s="1">
        <v>454</v>
      </c>
      <c r="CC11" s="1">
        <v>2496</v>
      </c>
      <c r="CD11" s="1">
        <v>497</v>
      </c>
      <c r="CE11" s="1">
        <v>1471</v>
      </c>
      <c r="CF11" s="1">
        <v>117</v>
      </c>
      <c r="CG11" s="1">
        <v>269</v>
      </c>
      <c r="CH11" s="1">
        <v>1665</v>
      </c>
      <c r="CI11" s="1">
        <v>1494</v>
      </c>
      <c r="CJ11" s="1">
        <v>3415</v>
      </c>
      <c r="CK11" s="1">
        <v>2770</v>
      </c>
      <c r="CL11" s="1">
        <v>166</v>
      </c>
      <c r="CM11" s="1">
        <v>2265</v>
      </c>
      <c r="CN11" s="1">
        <v>379</v>
      </c>
      <c r="CO11" s="1">
        <v>447</v>
      </c>
      <c r="CP11" s="1">
        <v>555</v>
      </c>
      <c r="CQ11" s="1">
        <v>308</v>
      </c>
      <c r="CR11" s="1">
        <v>2609</v>
      </c>
      <c r="CS11" s="1">
        <v>1708</v>
      </c>
      <c r="CT11" s="1">
        <v>1174</v>
      </c>
      <c r="CU11" s="1">
        <v>83</v>
      </c>
      <c r="CV11" s="1">
        <v>874</v>
      </c>
      <c r="CW11" s="1">
        <v>1457</v>
      </c>
      <c r="CX11" s="1">
        <v>377</v>
      </c>
      <c r="CY11" s="1">
        <v>181</v>
      </c>
      <c r="CZ11" s="1">
        <v>1035</v>
      </c>
      <c r="DA11" s="1">
        <v>1416</v>
      </c>
      <c r="DB11" s="1">
        <v>140</v>
      </c>
      <c r="DC11" s="1">
        <v>1091</v>
      </c>
      <c r="DD11" s="1">
        <v>2326</v>
      </c>
      <c r="DE11" s="1">
        <v>2115</v>
      </c>
      <c r="DF11" s="1">
        <v>2427</v>
      </c>
      <c r="DG11" s="1">
        <v>1430</v>
      </c>
      <c r="DH11" s="1">
        <v>1279</v>
      </c>
      <c r="DI11" s="1">
        <v>1279</v>
      </c>
      <c r="DJ11" s="1">
        <v>1174</v>
      </c>
      <c r="DK11" s="1">
        <v>1158</v>
      </c>
      <c r="DL11" s="1">
        <v>87</v>
      </c>
      <c r="DM11" s="1">
        <v>1095</v>
      </c>
      <c r="DN11" s="1">
        <v>1453</v>
      </c>
      <c r="DO11" s="1">
        <v>1377</v>
      </c>
      <c r="DP11" s="1">
        <v>1284</v>
      </c>
      <c r="DQ11" s="1">
        <v>1221</v>
      </c>
      <c r="DR11" s="1">
        <v>1122</v>
      </c>
      <c r="DS11" s="1">
        <v>1241</v>
      </c>
      <c r="DT11" s="1">
        <v>102</v>
      </c>
      <c r="DU11" s="1">
        <v>66</v>
      </c>
      <c r="DV11" s="1">
        <v>256</v>
      </c>
      <c r="DW11" s="1">
        <v>1245</v>
      </c>
      <c r="DX11" s="1">
        <v>2377</v>
      </c>
      <c r="DY11" s="1">
        <v>1146</v>
      </c>
      <c r="DZ11" s="1">
        <v>1310</v>
      </c>
      <c r="EA11" s="1">
        <v>1665</v>
      </c>
      <c r="EB11" s="1">
        <v>275</v>
      </c>
      <c r="EC11" s="1">
        <v>1544</v>
      </c>
      <c r="ED11" s="1">
        <v>2073</v>
      </c>
      <c r="EE11" s="1">
        <v>1284</v>
      </c>
      <c r="EF11" s="1">
        <v>1106</v>
      </c>
      <c r="EG11" s="1">
        <v>969</v>
      </c>
      <c r="EH11" s="1">
        <v>1575</v>
      </c>
      <c r="EI11" s="1">
        <v>45</v>
      </c>
      <c r="EJ11" s="1">
        <v>407</v>
      </c>
      <c r="EK11" s="1">
        <v>809</v>
      </c>
      <c r="EL11" s="1">
        <v>745</v>
      </c>
      <c r="EM11" s="1">
        <v>1989</v>
      </c>
      <c r="EN11" s="1">
        <v>2517</v>
      </c>
      <c r="EO11" s="1">
        <v>2647</v>
      </c>
      <c r="EP11" s="1">
        <v>2859</v>
      </c>
      <c r="EQ11" s="1">
        <v>664</v>
      </c>
      <c r="ER11" s="1">
        <v>848</v>
      </c>
      <c r="ES11" s="1">
        <v>822</v>
      </c>
      <c r="ET11" s="1">
        <v>2224</v>
      </c>
      <c r="EU11" s="1">
        <v>1858</v>
      </c>
      <c r="EV11" s="13">
        <v>1780</v>
      </c>
    </row>
    <row r="12" spans="1:152" x14ac:dyDescent="0.3">
      <c r="A12" s="22" t="s">
        <v>36</v>
      </c>
      <c r="B12" s="23">
        <v>5000</v>
      </c>
      <c r="D12" s="3" t="s">
        <v>17</v>
      </c>
      <c r="E12" s="1">
        <v>208</v>
      </c>
      <c r="F12" s="1">
        <v>965</v>
      </c>
      <c r="G12" s="1">
        <v>1368</v>
      </c>
      <c r="H12" s="1">
        <v>1235</v>
      </c>
      <c r="I12" s="1">
        <v>122</v>
      </c>
      <c r="J12" s="1">
        <v>677</v>
      </c>
      <c r="K12" s="1">
        <v>228</v>
      </c>
      <c r="L12" s="1">
        <v>475</v>
      </c>
      <c r="M12" s="1">
        <v>1002</v>
      </c>
      <c r="N12" s="1">
        <v>1292</v>
      </c>
      <c r="O12" s="1">
        <v>1567</v>
      </c>
      <c r="P12" s="1">
        <v>919</v>
      </c>
      <c r="Q12" s="1">
        <v>2149</v>
      </c>
      <c r="R12" s="1">
        <v>1492</v>
      </c>
      <c r="S12" s="1">
        <v>239</v>
      </c>
      <c r="T12" s="1">
        <v>1861</v>
      </c>
      <c r="U12" s="1">
        <v>740</v>
      </c>
      <c r="V12" s="1">
        <v>1180</v>
      </c>
      <c r="W12" s="1">
        <v>501</v>
      </c>
      <c r="X12" s="1">
        <v>1791</v>
      </c>
      <c r="Y12" s="1">
        <v>1281</v>
      </c>
      <c r="Z12" s="1">
        <v>358</v>
      </c>
      <c r="AA12" s="1">
        <v>1133</v>
      </c>
      <c r="AB12" s="1">
        <v>170</v>
      </c>
      <c r="AC12" s="1">
        <v>1675</v>
      </c>
      <c r="AD12" s="1">
        <v>489</v>
      </c>
      <c r="AE12" s="1">
        <v>1792</v>
      </c>
      <c r="AF12" s="1">
        <v>1366</v>
      </c>
      <c r="AG12" s="1">
        <v>2511</v>
      </c>
      <c r="AH12" s="1">
        <v>270</v>
      </c>
      <c r="AI12" s="1">
        <v>1029</v>
      </c>
      <c r="AJ12" s="1">
        <v>2186</v>
      </c>
      <c r="AK12" s="1">
        <v>2111</v>
      </c>
      <c r="AL12" s="1">
        <v>2155</v>
      </c>
      <c r="AM12" s="1">
        <v>2513</v>
      </c>
      <c r="AN12" s="1">
        <v>2363</v>
      </c>
      <c r="AO12" s="1">
        <v>1654</v>
      </c>
      <c r="AP12" s="1">
        <v>1127</v>
      </c>
      <c r="AQ12" s="1">
        <v>2031</v>
      </c>
      <c r="AR12" s="1">
        <v>42</v>
      </c>
      <c r="AS12" s="1">
        <v>1259</v>
      </c>
      <c r="AT12" s="1">
        <v>854</v>
      </c>
      <c r="AU12" s="1">
        <v>1203</v>
      </c>
      <c r="AV12" s="1">
        <v>2688</v>
      </c>
      <c r="AW12" s="1">
        <v>2413</v>
      </c>
      <c r="AX12" s="1">
        <v>315</v>
      </c>
      <c r="AY12" s="1">
        <v>663</v>
      </c>
      <c r="AZ12" s="1">
        <v>448</v>
      </c>
      <c r="BA12" s="1">
        <v>1050</v>
      </c>
      <c r="BB12" s="1">
        <v>25</v>
      </c>
      <c r="BC12" s="1">
        <v>1597</v>
      </c>
      <c r="BD12" s="1">
        <v>240</v>
      </c>
      <c r="BE12" s="1">
        <v>1704</v>
      </c>
      <c r="BF12" s="1">
        <v>1828</v>
      </c>
      <c r="BG12" s="1">
        <v>490</v>
      </c>
      <c r="BH12" s="1">
        <v>1975</v>
      </c>
      <c r="BI12" s="1">
        <v>338</v>
      </c>
      <c r="BJ12" s="1">
        <v>1057</v>
      </c>
      <c r="BK12" s="1">
        <v>381</v>
      </c>
      <c r="BL12" s="1">
        <v>186</v>
      </c>
      <c r="BM12" s="1">
        <v>862</v>
      </c>
      <c r="BN12" s="1">
        <v>206</v>
      </c>
      <c r="BO12" s="1">
        <v>847</v>
      </c>
      <c r="BP12" s="1">
        <v>1885</v>
      </c>
      <c r="BQ12" s="1">
        <v>1560</v>
      </c>
      <c r="BR12" s="1">
        <v>923</v>
      </c>
      <c r="BS12" s="1">
        <v>825</v>
      </c>
      <c r="BT12" s="1">
        <v>300</v>
      </c>
      <c r="BU12" s="1">
        <v>396</v>
      </c>
      <c r="BV12" s="1">
        <v>1175</v>
      </c>
      <c r="BW12" s="1">
        <v>242</v>
      </c>
      <c r="BX12" s="1">
        <v>154</v>
      </c>
      <c r="BY12" s="1">
        <v>625</v>
      </c>
      <c r="BZ12" s="1">
        <v>2274</v>
      </c>
      <c r="CA12" s="1">
        <v>1241</v>
      </c>
      <c r="CB12" s="1">
        <v>480</v>
      </c>
      <c r="CC12" s="1">
        <v>2471</v>
      </c>
      <c r="CD12" s="1">
        <v>472</v>
      </c>
      <c r="CE12" s="1">
        <v>1446</v>
      </c>
      <c r="CF12" s="1">
        <v>144</v>
      </c>
      <c r="CG12" s="1">
        <v>295</v>
      </c>
      <c r="CH12" s="1">
        <v>1683</v>
      </c>
      <c r="CI12" s="1">
        <v>1469</v>
      </c>
      <c r="CJ12" s="1">
        <v>538</v>
      </c>
      <c r="CK12" s="1">
        <v>2744</v>
      </c>
      <c r="CL12" s="1">
        <v>183</v>
      </c>
      <c r="CM12" s="1">
        <v>2239</v>
      </c>
      <c r="CN12" s="1">
        <v>396</v>
      </c>
      <c r="CO12" s="1">
        <v>406</v>
      </c>
      <c r="CP12" s="1">
        <v>529</v>
      </c>
      <c r="CQ12" s="1">
        <v>334</v>
      </c>
      <c r="CR12" s="1">
        <v>2583</v>
      </c>
      <c r="CS12" s="1">
        <v>1683</v>
      </c>
      <c r="CT12" s="1">
        <v>1192</v>
      </c>
      <c r="CU12" s="1">
        <v>47</v>
      </c>
      <c r="CV12" s="1">
        <v>892</v>
      </c>
      <c r="CW12" s="1">
        <v>1432</v>
      </c>
      <c r="CX12" s="1">
        <v>404</v>
      </c>
      <c r="CY12" s="1">
        <v>140</v>
      </c>
      <c r="CZ12" s="1">
        <v>1010</v>
      </c>
      <c r="DA12" s="1">
        <v>1434</v>
      </c>
      <c r="DB12" s="1">
        <v>103</v>
      </c>
      <c r="DC12" s="1">
        <v>1066</v>
      </c>
      <c r="DD12" s="1">
        <v>2300</v>
      </c>
      <c r="DE12" s="1">
        <v>2090</v>
      </c>
      <c r="DF12" s="1">
        <v>2402</v>
      </c>
      <c r="DG12" s="1">
        <v>1404</v>
      </c>
      <c r="DH12" s="1">
        <v>1297</v>
      </c>
      <c r="DI12" s="1">
        <v>1297</v>
      </c>
      <c r="DJ12" s="1">
        <v>1192</v>
      </c>
      <c r="DK12" s="1">
        <v>1176</v>
      </c>
      <c r="DL12" s="1">
        <v>80</v>
      </c>
      <c r="DM12" s="1">
        <v>1070</v>
      </c>
      <c r="DN12" s="1">
        <v>1470</v>
      </c>
      <c r="DO12" s="1">
        <v>1352</v>
      </c>
      <c r="DP12" s="1">
        <v>1259</v>
      </c>
      <c r="DQ12" s="1">
        <v>1196</v>
      </c>
      <c r="DR12" s="1">
        <v>1140</v>
      </c>
      <c r="DS12" s="1">
        <v>1216</v>
      </c>
      <c r="DT12" s="1">
        <v>120</v>
      </c>
      <c r="DU12" s="1">
        <v>105</v>
      </c>
      <c r="DV12" s="1">
        <v>215</v>
      </c>
      <c r="DW12" s="1">
        <v>1220</v>
      </c>
      <c r="DX12" s="1">
        <v>2351</v>
      </c>
      <c r="DY12" s="1">
        <v>1120</v>
      </c>
      <c r="DZ12" s="1">
        <v>1328</v>
      </c>
      <c r="EA12" s="1">
        <v>1682</v>
      </c>
      <c r="EB12" s="1">
        <v>301</v>
      </c>
      <c r="EC12" s="1">
        <v>1562</v>
      </c>
      <c r="ED12" s="1">
        <v>2091</v>
      </c>
      <c r="EE12" s="1">
        <v>1506</v>
      </c>
      <c r="EF12" s="1">
        <v>1080</v>
      </c>
      <c r="EG12" s="1">
        <v>944</v>
      </c>
      <c r="EH12" s="1">
        <v>1592</v>
      </c>
      <c r="EI12" s="1">
        <v>71</v>
      </c>
      <c r="EJ12" s="1">
        <v>446</v>
      </c>
      <c r="EK12" s="1">
        <v>835</v>
      </c>
      <c r="EL12" s="1">
        <v>720</v>
      </c>
      <c r="EM12" s="1">
        <v>1963</v>
      </c>
      <c r="EN12" s="1">
        <v>2492</v>
      </c>
      <c r="EO12" s="1">
        <v>2622</v>
      </c>
      <c r="EP12" s="1">
        <v>2834</v>
      </c>
      <c r="EQ12" s="1">
        <v>682</v>
      </c>
      <c r="ER12" s="1">
        <v>866</v>
      </c>
      <c r="ES12" s="1">
        <v>796</v>
      </c>
      <c r="ET12" s="1">
        <v>2198</v>
      </c>
      <c r="EU12" s="1">
        <v>1833</v>
      </c>
      <c r="EV12" s="13">
        <v>1754</v>
      </c>
    </row>
    <row r="13" spans="1:152" x14ac:dyDescent="0.3">
      <c r="A13" s="22" t="s">
        <v>37</v>
      </c>
      <c r="B13" s="23">
        <v>6000</v>
      </c>
      <c r="D13" s="3" t="s">
        <v>29</v>
      </c>
      <c r="E13" s="1">
        <v>1733</v>
      </c>
      <c r="F13" s="1">
        <v>2575</v>
      </c>
      <c r="G13" s="1">
        <v>2753</v>
      </c>
      <c r="H13" s="1">
        <v>2507</v>
      </c>
      <c r="I13" s="1">
        <v>1816</v>
      </c>
      <c r="J13" s="1">
        <v>1329</v>
      </c>
      <c r="K13" s="1">
        <v>2139</v>
      </c>
      <c r="L13" s="1">
        <v>2386</v>
      </c>
      <c r="M13" s="1">
        <v>2633</v>
      </c>
      <c r="N13" s="1">
        <v>2673</v>
      </c>
      <c r="O13" s="1">
        <v>1208</v>
      </c>
      <c r="P13" s="1">
        <v>1027</v>
      </c>
      <c r="Q13" s="1">
        <v>2820</v>
      </c>
      <c r="R13" s="1">
        <v>2877</v>
      </c>
      <c r="S13" s="1">
        <v>1681</v>
      </c>
      <c r="T13" s="1">
        <v>99</v>
      </c>
      <c r="U13" s="1">
        <v>1197</v>
      </c>
      <c r="V13" s="1">
        <v>774</v>
      </c>
      <c r="W13" s="1">
        <v>2412</v>
      </c>
      <c r="X13" s="1">
        <v>3176</v>
      </c>
      <c r="Y13" s="1">
        <v>678</v>
      </c>
      <c r="Z13" s="1">
        <v>2268</v>
      </c>
      <c r="AA13" s="1">
        <v>2745</v>
      </c>
      <c r="AB13" s="1">
        <v>2076</v>
      </c>
      <c r="AC13" s="1">
        <v>1402</v>
      </c>
      <c r="AD13" s="1">
        <v>2304</v>
      </c>
      <c r="AE13" s="1">
        <v>187</v>
      </c>
      <c r="AF13" s="1">
        <v>885</v>
      </c>
      <c r="AG13" s="1">
        <v>3242</v>
      </c>
      <c r="AH13" s="1">
        <v>2181</v>
      </c>
      <c r="AI13" s="1">
        <v>957</v>
      </c>
      <c r="AJ13" s="1">
        <v>2632</v>
      </c>
      <c r="AK13" s="1">
        <v>2725</v>
      </c>
      <c r="AL13" s="1">
        <v>2657</v>
      </c>
      <c r="AM13" s="1">
        <v>3069</v>
      </c>
      <c r="AN13" s="1">
        <v>2808</v>
      </c>
      <c r="AO13" s="1">
        <v>1381</v>
      </c>
      <c r="AP13" s="1">
        <v>823</v>
      </c>
      <c r="AQ13" s="1">
        <v>2880</v>
      </c>
      <c r="AR13" s="1">
        <v>1953</v>
      </c>
      <c r="AS13" s="1">
        <v>802</v>
      </c>
      <c r="AT13" s="1">
        <v>1109</v>
      </c>
      <c r="AU13" s="1">
        <v>941</v>
      </c>
      <c r="AV13" s="1">
        <v>3244</v>
      </c>
      <c r="AW13" s="1">
        <v>2970</v>
      </c>
      <c r="AX13" s="1">
        <v>1626</v>
      </c>
      <c r="AY13" s="1">
        <v>1272</v>
      </c>
      <c r="AZ13" s="1">
        <v>2359</v>
      </c>
      <c r="BA13" s="1">
        <v>935</v>
      </c>
      <c r="BB13" s="1">
        <v>1928</v>
      </c>
      <c r="BC13" s="1">
        <v>2245</v>
      </c>
      <c r="BD13" s="1">
        <v>2145</v>
      </c>
      <c r="BE13" s="1">
        <v>2658</v>
      </c>
      <c r="BF13" s="1">
        <v>2217</v>
      </c>
      <c r="BG13" s="1">
        <v>2401</v>
      </c>
      <c r="BH13" s="1">
        <v>25</v>
      </c>
      <c r="BI13" s="1">
        <v>1739</v>
      </c>
      <c r="BJ13" s="1">
        <v>935</v>
      </c>
      <c r="BK13" s="1">
        <v>2286</v>
      </c>
      <c r="BL13" s="1">
        <v>1934</v>
      </c>
      <c r="BM13" s="1">
        <v>2493</v>
      </c>
      <c r="BN13" s="1">
        <v>2112</v>
      </c>
      <c r="BO13" s="1">
        <v>2144</v>
      </c>
      <c r="BP13" s="1">
        <v>2946</v>
      </c>
      <c r="BQ13" s="1">
        <v>2451</v>
      </c>
      <c r="BR13" s="1">
        <v>2260</v>
      </c>
      <c r="BS13" s="1">
        <v>1651</v>
      </c>
      <c r="BT13" s="1">
        <v>1971</v>
      </c>
      <c r="BU13" s="1">
        <v>2307</v>
      </c>
      <c r="BV13" s="1">
        <v>2560</v>
      </c>
      <c r="BW13" s="1">
        <v>2110</v>
      </c>
      <c r="BX13" s="1">
        <v>2074</v>
      </c>
      <c r="BY13" s="1">
        <v>2310</v>
      </c>
      <c r="BZ13" s="1">
        <v>306</v>
      </c>
      <c r="CA13" s="1">
        <v>2891</v>
      </c>
      <c r="CB13" s="1">
        <v>2391</v>
      </c>
      <c r="CC13" s="1">
        <v>3141</v>
      </c>
      <c r="CD13" s="1">
        <v>1494</v>
      </c>
      <c r="CE13" s="1">
        <v>2184</v>
      </c>
      <c r="CF13" s="1">
        <v>2054</v>
      </c>
      <c r="CG13" s="1">
        <v>2205</v>
      </c>
      <c r="CH13" s="1">
        <v>3068</v>
      </c>
      <c r="CI13" s="1">
        <v>988</v>
      </c>
      <c r="CJ13" s="1">
        <v>2035</v>
      </c>
      <c r="CK13" s="1">
        <v>3295</v>
      </c>
      <c r="CL13" s="1">
        <v>2025</v>
      </c>
      <c r="CM13" s="1">
        <v>2802</v>
      </c>
      <c r="CN13" s="1">
        <v>2087</v>
      </c>
      <c r="CO13" s="1">
        <v>1522</v>
      </c>
      <c r="CP13" s="1">
        <v>1400</v>
      </c>
      <c r="CQ13" s="1">
        <v>2244</v>
      </c>
      <c r="CR13" s="1">
        <v>3081</v>
      </c>
      <c r="CS13" s="1">
        <v>2544</v>
      </c>
      <c r="CT13" s="1">
        <v>2577</v>
      </c>
      <c r="CU13" s="1">
        <v>1966</v>
      </c>
      <c r="CV13" s="1">
        <v>2577</v>
      </c>
      <c r="CW13" s="1">
        <v>1025</v>
      </c>
      <c r="CX13" s="1">
        <v>2313</v>
      </c>
      <c r="CY13" s="1">
        <v>1780</v>
      </c>
      <c r="CZ13" s="1">
        <v>953</v>
      </c>
      <c r="DA13" s="1">
        <v>2847</v>
      </c>
      <c r="DB13" s="1">
        <v>2031</v>
      </c>
      <c r="DC13" s="1">
        <v>882</v>
      </c>
      <c r="DD13" s="1">
        <v>2970</v>
      </c>
      <c r="DE13" s="1">
        <v>123</v>
      </c>
      <c r="DF13" s="1">
        <v>3009</v>
      </c>
      <c r="DG13" s="1">
        <v>2266</v>
      </c>
      <c r="DH13" s="1">
        <v>2682</v>
      </c>
      <c r="DI13" s="1">
        <v>2682</v>
      </c>
      <c r="DJ13" s="1">
        <v>2723</v>
      </c>
      <c r="DK13" s="1">
        <v>2707</v>
      </c>
      <c r="DL13" s="1">
        <v>1877</v>
      </c>
      <c r="DM13" s="1">
        <v>953</v>
      </c>
      <c r="DN13" s="1">
        <v>2856</v>
      </c>
      <c r="DO13" s="1">
        <v>598</v>
      </c>
      <c r="DP13" s="1">
        <v>966</v>
      </c>
      <c r="DQ13" s="1">
        <v>1637</v>
      </c>
      <c r="DR13" s="1">
        <v>2789</v>
      </c>
      <c r="DS13" s="1">
        <v>1045</v>
      </c>
      <c r="DT13" s="1">
        <v>1961</v>
      </c>
      <c r="DU13" s="1">
        <v>2011</v>
      </c>
      <c r="DV13" s="1">
        <v>1761</v>
      </c>
      <c r="DW13" s="1">
        <v>700</v>
      </c>
      <c r="DX13" s="1">
        <v>2908</v>
      </c>
      <c r="DY13" s="1">
        <v>869</v>
      </c>
      <c r="DZ13" s="1">
        <v>2713</v>
      </c>
      <c r="EA13" s="1">
        <v>3068</v>
      </c>
      <c r="EB13" s="1">
        <v>2212</v>
      </c>
      <c r="EC13" s="1">
        <v>2947</v>
      </c>
      <c r="ED13" s="1">
        <v>2924</v>
      </c>
      <c r="EE13" s="1">
        <v>475</v>
      </c>
      <c r="EF13" s="1">
        <v>872</v>
      </c>
      <c r="EG13" s="1">
        <v>1022</v>
      </c>
      <c r="EH13" s="1">
        <v>2515</v>
      </c>
      <c r="EI13" s="1">
        <v>1982</v>
      </c>
      <c r="EJ13" s="1">
        <v>2351</v>
      </c>
      <c r="EK13" s="1">
        <v>2746</v>
      </c>
      <c r="EL13" s="1">
        <v>2071</v>
      </c>
      <c r="EM13" s="1">
        <v>2061</v>
      </c>
      <c r="EN13" s="1">
        <v>2951</v>
      </c>
      <c r="EO13" s="1">
        <v>3179</v>
      </c>
      <c r="EP13" s="1">
        <v>3346</v>
      </c>
      <c r="EQ13" s="1">
        <v>2314</v>
      </c>
      <c r="ER13" s="1">
        <v>2215</v>
      </c>
      <c r="ES13" s="1">
        <v>1244</v>
      </c>
      <c r="ET13" s="1">
        <v>2699</v>
      </c>
      <c r="EU13" s="1">
        <v>2179</v>
      </c>
      <c r="EV13" s="13">
        <v>1843</v>
      </c>
    </row>
    <row r="14" spans="1:152" x14ac:dyDescent="0.3">
      <c r="A14" s="22" t="s">
        <v>38</v>
      </c>
      <c r="B14" s="23">
        <v>11000</v>
      </c>
      <c r="D14" s="3" t="s">
        <v>22</v>
      </c>
      <c r="E14" s="1">
        <v>1343</v>
      </c>
      <c r="F14" s="1">
        <v>1222</v>
      </c>
      <c r="G14" s="1">
        <v>509</v>
      </c>
      <c r="H14" s="1">
        <v>560</v>
      </c>
      <c r="I14" s="1">
        <v>1433</v>
      </c>
      <c r="J14" s="1">
        <v>1136</v>
      </c>
      <c r="K14" s="1">
        <v>1773</v>
      </c>
      <c r="L14" s="1">
        <v>2021</v>
      </c>
      <c r="M14" s="1">
        <v>1161</v>
      </c>
      <c r="N14" s="1">
        <v>558</v>
      </c>
      <c r="O14" s="1">
        <v>1246</v>
      </c>
      <c r="P14" s="1">
        <v>1387</v>
      </c>
      <c r="Q14" s="1">
        <v>576</v>
      </c>
      <c r="R14" s="1">
        <v>478</v>
      </c>
      <c r="S14" s="1">
        <v>1579</v>
      </c>
      <c r="T14" s="1">
        <v>2379</v>
      </c>
      <c r="U14" s="1">
        <v>1505</v>
      </c>
      <c r="V14" s="1">
        <v>1698</v>
      </c>
      <c r="W14" s="1">
        <v>2046</v>
      </c>
      <c r="X14" s="1">
        <v>564</v>
      </c>
      <c r="Y14" s="1">
        <v>1752</v>
      </c>
      <c r="Z14" s="1">
        <v>1898</v>
      </c>
      <c r="AA14" s="1">
        <v>1290</v>
      </c>
      <c r="AB14" s="1">
        <v>1710</v>
      </c>
      <c r="AC14" s="1">
        <v>1051</v>
      </c>
      <c r="AD14" s="1">
        <v>1670</v>
      </c>
      <c r="AE14" s="1">
        <v>2309</v>
      </c>
      <c r="AF14" s="1">
        <v>1568</v>
      </c>
      <c r="AG14" s="1">
        <v>939</v>
      </c>
      <c r="AH14" s="1">
        <v>1815</v>
      </c>
      <c r="AI14" s="1">
        <v>1481</v>
      </c>
      <c r="AJ14" s="1">
        <v>628</v>
      </c>
      <c r="AK14" s="1">
        <v>538</v>
      </c>
      <c r="AL14" s="1">
        <v>582</v>
      </c>
      <c r="AM14" s="1">
        <v>939</v>
      </c>
      <c r="AN14" s="1">
        <v>805</v>
      </c>
      <c r="AO14" s="1">
        <v>1076</v>
      </c>
      <c r="AP14" s="1">
        <v>1618</v>
      </c>
      <c r="AQ14" s="1">
        <v>581</v>
      </c>
      <c r="AR14" s="1">
        <v>1587</v>
      </c>
      <c r="AS14" s="1">
        <v>1645</v>
      </c>
      <c r="AT14" s="1">
        <v>1395</v>
      </c>
      <c r="AU14" s="1">
        <v>1558</v>
      </c>
      <c r="AV14" s="1">
        <v>1114</v>
      </c>
      <c r="AW14" s="1">
        <v>840</v>
      </c>
      <c r="AX14" s="1">
        <v>1309</v>
      </c>
      <c r="AY14" s="1">
        <v>1427</v>
      </c>
      <c r="AZ14" s="1">
        <v>1994</v>
      </c>
      <c r="BA14" s="1">
        <v>1539</v>
      </c>
      <c r="BB14" s="1">
        <v>1563</v>
      </c>
      <c r="BC14" s="1">
        <v>264</v>
      </c>
      <c r="BD14" s="1">
        <v>1780</v>
      </c>
      <c r="BE14" s="1">
        <v>213</v>
      </c>
      <c r="BF14" s="1">
        <v>271</v>
      </c>
      <c r="BG14" s="1">
        <v>2035</v>
      </c>
      <c r="BH14" s="1">
        <v>2492</v>
      </c>
      <c r="BI14" s="1">
        <v>1213</v>
      </c>
      <c r="BJ14" s="1">
        <v>1557</v>
      </c>
      <c r="BK14" s="1">
        <v>1921</v>
      </c>
      <c r="BL14" s="1">
        <v>1739</v>
      </c>
      <c r="BM14" s="1">
        <v>1292</v>
      </c>
      <c r="BN14" s="1">
        <v>1746</v>
      </c>
      <c r="BO14" s="1">
        <v>778</v>
      </c>
      <c r="BP14" s="1">
        <v>511</v>
      </c>
      <c r="BQ14" s="1">
        <v>25</v>
      </c>
      <c r="BR14" s="1">
        <v>861</v>
      </c>
      <c r="BS14" s="1">
        <v>786</v>
      </c>
      <c r="BT14" s="1">
        <v>1569</v>
      </c>
      <c r="BU14" s="1">
        <v>1941</v>
      </c>
      <c r="BV14" s="1">
        <v>655</v>
      </c>
      <c r="BW14" s="1">
        <v>1714</v>
      </c>
      <c r="BX14" s="1">
        <v>1709</v>
      </c>
      <c r="BY14" s="1">
        <v>1521</v>
      </c>
      <c r="BZ14" s="1">
        <v>2791</v>
      </c>
      <c r="CA14" s="1">
        <v>1504</v>
      </c>
      <c r="CB14" s="1">
        <v>2025</v>
      </c>
      <c r="CC14" s="1">
        <v>897</v>
      </c>
      <c r="CD14" s="1">
        <v>1347</v>
      </c>
      <c r="CE14" s="1">
        <v>164</v>
      </c>
      <c r="CF14" s="1">
        <v>1689</v>
      </c>
      <c r="CG14" s="1">
        <v>1840</v>
      </c>
      <c r="CH14" s="1">
        <v>539</v>
      </c>
      <c r="CI14" s="1">
        <v>1492</v>
      </c>
      <c r="CJ14" s="1">
        <v>1405</v>
      </c>
      <c r="CK14" s="1">
        <v>1171</v>
      </c>
      <c r="CL14" s="1">
        <v>1564</v>
      </c>
      <c r="CM14" s="1">
        <v>665</v>
      </c>
      <c r="CN14" s="1">
        <v>1495</v>
      </c>
      <c r="CO14" s="1">
        <v>1566</v>
      </c>
      <c r="CP14" s="1">
        <v>1435</v>
      </c>
      <c r="CQ14" s="1">
        <v>1879</v>
      </c>
      <c r="CR14" s="1">
        <v>1010</v>
      </c>
      <c r="CS14" s="1">
        <v>109</v>
      </c>
      <c r="CT14" s="1">
        <v>687</v>
      </c>
      <c r="CU14" s="1">
        <v>1600</v>
      </c>
      <c r="CV14" s="1">
        <v>1296</v>
      </c>
      <c r="CW14" s="1">
        <v>1382</v>
      </c>
      <c r="CX14" s="1">
        <v>1939</v>
      </c>
      <c r="CY14" s="1">
        <v>1674</v>
      </c>
      <c r="CZ14" s="1">
        <v>1765</v>
      </c>
      <c r="DA14" s="1">
        <v>708</v>
      </c>
      <c r="DB14" s="1">
        <v>1665</v>
      </c>
      <c r="DC14" s="1">
        <v>1565</v>
      </c>
      <c r="DD14" s="1">
        <v>726</v>
      </c>
      <c r="DE14" s="1">
        <v>2608</v>
      </c>
      <c r="DF14" s="1">
        <v>828</v>
      </c>
      <c r="DG14" s="1">
        <v>278</v>
      </c>
      <c r="DH14" s="1">
        <v>666</v>
      </c>
      <c r="DI14" s="1">
        <v>666</v>
      </c>
      <c r="DJ14" s="1">
        <v>942</v>
      </c>
      <c r="DK14" s="1">
        <v>958</v>
      </c>
      <c r="DL14" s="1">
        <v>1482</v>
      </c>
      <c r="DM14" s="1">
        <v>1538</v>
      </c>
      <c r="DN14" s="1">
        <v>561</v>
      </c>
      <c r="DO14" s="1">
        <v>1845</v>
      </c>
      <c r="DP14" s="1">
        <v>1503</v>
      </c>
      <c r="DQ14" s="1">
        <v>782</v>
      </c>
      <c r="DR14" s="1">
        <v>1403</v>
      </c>
      <c r="DS14" s="1">
        <v>1399</v>
      </c>
      <c r="DT14" s="1">
        <v>1567</v>
      </c>
      <c r="DU14" s="1">
        <v>1645</v>
      </c>
      <c r="DV14" s="1">
        <v>1695</v>
      </c>
      <c r="DW14" s="1">
        <v>1726</v>
      </c>
      <c r="DX14" s="1">
        <v>777</v>
      </c>
      <c r="DY14" s="1">
        <v>1622</v>
      </c>
      <c r="DZ14" s="1">
        <v>606</v>
      </c>
      <c r="EA14" s="1">
        <v>505</v>
      </c>
      <c r="EB14" s="1">
        <v>1846</v>
      </c>
      <c r="EC14" s="1">
        <v>527</v>
      </c>
      <c r="ED14" s="1">
        <v>626</v>
      </c>
      <c r="EE14" s="1">
        <v>2023</v>
      </c>
      <c r="EF14" s="1">
        <v>1835</v>
      </c>
      <c r="EG14" s="1">
        <v>1464</v>
      </c>
      <c r="EH14" s="1">
        <v>310</v>
      </c>
      <c r="EI14" s="1">
        <v>1616</v>
      </c>
      <c r="EJ14" s="1">
        <v>1986</v>
      </c>
      <c r="EK14" s="1">
        <v>2380</v>
      </c>
      <c r="EL14" s="1">
        <v>945</v>
      </c>
      <c r="EM14" s="1">
        <v>405</v>
      </c>
      <c r="EN14" s="1">
        <v>918</v>
      </c>
      <c r="EO14" s="1">
        <v>1048</v>
      </c>
      <c r="EP14" s="1">
        <v>1260</v>
      </c>
      <c r="EQ14" s="1">
        <v>1269</v>
      </c>
      <c r="ER14" s="1">
        <v>1010</v>
      </c>
      <c r="ES14" s="1">
        <v>1242</v>
      </c>
      <c r="ET14" s="1">
        <v>625</v>
      </c>
      <c r="EU14" s="1">
        <v>275</v>
      </c>
      <c r="EV14" s="13">
        <v>621</v>
      </c>
    </row>
    <row r="15" spans="1:152" x14ac:dyDescent="0.3">
      <c r="A15" s="22" t="s">
        <v>39</v>
      </c>
      <c r="B15" s="23">
        <v>23000</v>
      </c>
      <c r="D15" s="3" t="s">
        <v>7</v>
      </c>
      <c r="E15" s="1">
        <v>705</v>
      </c>
      <c r="F15" s="1">
        <v>404</v>
      </c>
      <c r="G15" s="1">
        <v>490</v>
      </c>
      <c r="H15" s="1">
        <v>349</v>
      </c>
      <c r="I15" s="1">
        <v>794</v>
      </c>
      <c r="J15" s="1">
        <v>836</v>
      </c>
      <c r="K15" s="1">
        <v>1113</v>
      </c>
      <c r="L15" s="1">
        <v>1223</v>
      </c>
      <c r="M15" s="1">
        <v>364</v>
      </c>
      <c r="N15" s="1">
        <v>410</v>
      </c>
      <c r="O15" s="1">
        <v>1438</v>
      </c>
      <c r="P15" s="1">
        <v>1117</v>
      </c>
      <c r="Q15" s="1">
        <v>1413</v>
      </c>
      <c r="R15" s="1">
        <v>614</v>
      </c>
      <c r="S15" s="1">
        <v>948</v>
      </c>
      <c r="T15" s="1">
        <v>2192</v>
      </c>
      <c r="U15" s="1">
        <v>1072</v>
      </c>
      <c r="V15" s="1">
        <v>1511</v>
      </c>
      <c r="W15" s="1">
        <v>1386</v>
      </c>
      <c r="X15" s="1">
        <v>913</v>
      </c>
      <c r="Y15" s="1">
        <v>1613</v>
      </c>
      <c r="Z15" s="1">
        <v>1043</v>
      </c>
      <c r="AA15" s="1">
        <v>548</v>
      </c>
      <c r="AB15" s="1">
        <v>893</v>
      </c>
      <c r="AC15" s="1">
        <v>1282</v>
      </c>
      <c r="AD15" s="1">
        <v>792</v>
      </c>
      <c r="AE15" s="1">
        <v>2123</v>
      </c>
      <c r="AF15" s="1">
        <v>1525</v>
      </c>
      <c r="AG15" s="1">
        <v>1686</v>
      </c>
      <c r="AH15" s="1">
        <v>1154</v>
      </c>
      <c r="AI15" s="1">
        <v>1360</v>
      </c>
      <c r="AJ15" s="1">
        <v>1487</v>
      </c>
      <c r="AK15" s="1">
        <v>1412</v>
      </c>
      <c r="AL15" s="1">
        <v>1456</v>
      </c>
      <c r="AM15" s="1">
        <v>1666</v>
      </c>
      <c r="AN15" s="1">
        <v>1663</v>
      </c>
      <c r="AO15" s="1">
        <v>1274</v>
      </c>
      <c r="AP15" s="1">
        <v>1458</v>
      </c>
      <c r="AQ15" s="1">
        <v>1153</v>
      </c>
      <c r="AR15" s="1">
        <v>904</v>
      </c>
      <c r="AS15" s="1">
        <v>1417</v>
      </c>
      <c r="AT15" s="1">
        <v>1185</v>
      </c>
      <c r="AU15" s="1">
        <v>1362</v>
      </c>
      <c r="AV15" s="1">
        <v>1958</v>
      </c>
      <c r="AW15" s="1">
        <v>1684</v>
      </c>
      <c r="AX15" s="1">
        <v>709</v>
      </c>
      <c r="AY15" s="1">
        <v>994</v>
      </c>
      <c r="AZ15" s="1">
        <v>1094</v>
      </c>
      <c r="BA15" s="1">
        <v>1209</v>
      </c>
      <c r="BB15" s="1">
        <v>925</v>
      </c>
      <c r="BC15" s="1">
        <v>935</v>
      </c>
      <c r="BD15" s="1">
        <v>943</v>
      </c>
      <c r="BE15" s="1">
        <v>839</v>
      </c>
      <c r="BF15" s="1">
        <v>1129</v>
      </c>
      <c r="BG15" s="1">
        <v>1374</v>
      </c>
      <c r="BH15" s="1">
        <v>2306</v>
      </c>
      <c r="BI15" s="1">
        <v>583</v>
      </c>
      <c r="BJ15" s="1">
        <v>1389</v>
      </c>
      <c r="BK15" s="1">
        <v>944</v>
      </c>
      <c r="BL15" s="1">
        <v>1106</v>
      </c>
      <c r="BM15" s="1">
        <v>418</v>
      </c>
      <c r="BN15" s="1">
        <v>906</v>
      </c>
      <c r="BO15" s="1">
        <v>265</v>
      </c>
      <c r="BP15" s="1">
        <v>1007</v>
      </c>
      <c r="BQ15" s="1">
        <v>861</v>
      </c>
      <c r="BR15" s="1">
        <v>25</v>
      </c>
      <c r="BS15" s="1">
        <v>521</v>
      </c>
      <c r="BT15" s="1">
        <v>635</v>
      </c>
      <c r="BU15" s="1">
        <v>1280</v>
      </c>
      <c r="BV15" s="1">
        <v>297</v>
      </c>
      <c r="BW15" s="1">
        <v>761</v>
      </c>
      <c r="BX15" s="1">
        <v>974</v>
      </c>
      <c r="BY15" s="1">
        <v>643</v>
      </c>
      <c r="BZ15" s="1">
        <v>2605</v>
      </c>
      <c r="CA15" s="1">
        <v>707</v>
      </c>
      <c r="CB15" s="1">
        <v>1364</v>
      </c>
      <c r="CC15" s="1">
        <v>1484</v>
      </c>
      <c r="CD15" s="1">
        <v>779</v>
      </c>
      <c r="CE15" s="1">
        <v>746</v>
      </c>
      <c r="CF15" s="1">
        <v>1028</v>
      </c>
      <c r="CG15" s="1">
        <v>1179</v>
      </c>
      <c r="CH15" s="1">
        <v>805</v>
      </c>
      <c r="CI15" s="1">
        <v>1628</v>
      </c>
      <c r="CJ15" s="1">
        <v>318</v>
      </c>
      <c r="CK15" s="1">
        <v>2015</v>
      </c>
      <c r="CL15" s="1">
        <v>741</v>
      </c>
      <c r="CM15" s="1">
        <v>1510</v>
      </c>
      <c r="CN15" s="1">
        <v>617</v>
      </c>
      <c r="CO15" s="1">
        <v>998</v>
      </c>
      <c r="CP15" s="1">
        <v>866</v>
      </c>
      <c r="CQ15" s="1">
        <v>1218</v>
      </c>
      <c r="CR15" s="1">
        <v>1854</v>
      </c>
      <c r="CS15" s="1">
        <v>983</v>
      </c>
      <c r="CT15" s="1">
        <v>314</v>
      </c>
      <c r="CU15" s="1">
        <v>966</v>
      </c>
      <c r="CV15" s="1">
        <v>469</v>
      </c>
      <c r="CW15" s="1">
        <v>1449</v>
      </c>
      <c r="CX15" s="1">
        <v>1129</v>
      </c>
      <c r="CY15" s="1">
        <v>1035</v>
      </c>
      <c r="CZ15" s="1">
        <v>1341</v>
      </c>
      <c r="DA15" s="1">
        <v>584</v>
      </c>
      <c r="DB15" s="1">
        <v>1023</v>
      </c>
      <c r="DC15" s="1">
        <v>1397</v>
      </c>
      <c r="DD15" s="1">
        <v>1473</v>
      </c>
      <c r="DE15" s="1">
        <v>2421</v>
      </c>
      <c r="DF15" s="1">
        <v>1672</v>
      </c>
      <c r="DG15" s="1">
        <v>539</v>
      </c>
      <c r="DH15" s="1">
        <v>419</v>
      </c>
      <c r="DI15" s="1">
        <v>419</v>
      </c>
      <c r="DJ15" s="1">
        <v>439</v>
      </c>
      <c r="DK15" s="1">
        <v>422</v>
      </c>
      <c r="DL15" s="1">
        <v>901</v>
      </c>
      <c r="DM15" s="1">
        <v>1221</v>
      </c>
      <c r="DN15" s="1">
        <v>593</v>
      </c>
      <c r="DO15" s="1">
        <v>1683</v>
      </c>
      <c r="DP15" s="1">
        <v>1418</v>
      </c>
      <c r="DQ15" s="1">
        <v>731</v>
      </c>
      <c r="DR15" s="1">
        <v>606</v>
      </c>
      <c r="DS15" s="1">
        <v>1210</v>
      </c>
      <c r="DT15" s="1">
        <v>817</v>
      </c>
      <c r="DU15" s="1">
        <v>909</v>
      </c>
      <c r="DV15" s="1">
        <v>1027</v>
      </c>
      <c r="DW15" s="1">
        <v>1548</v>
      </c>
      <c r="DX15" s="1">
        <v>1621</v>
      </c>
      <c r="DY15" s="1">
        <v>1451</v>
      </c>
      <c r="DZ15" s="1">
        <v>450</v>
      </c>
      <c r="EA15" s="1">
        <v>805</v>
      </c>
      <c r="EB15" s="1">
        <v>1042</v>
      </c>
      <c r="EC15" s="1">
        <v>684</v>
      </c>
      <c r="ED15" s="1">
        <v>1213</v>
      </c>
      <c r="EE15" s="1">
        <v>1837</v>
      </c>
      <c r="EF15" s="1">
        <v>1411</v>
      </c>
      <c r="EG15" s="1">
        <v>1275</v>
      </c>
      <c r="EH15" s="1">
        <v>715</v>
      </c>
      <c r="EI15" s="1">
        <v>929</v>
      </c>
      <c r="EJ15" s="1">
        <v>1014</v>
      </c>
      <c r="EK15" s="1">
        <v>1719</v>
      </c>
      <c r="EL15" s="1">
        <v>160</v>
      </c>
      <c r="EM15" s="1">
        <v>1264</v>
      </c>
      <c r="EN15" s="1">
        <v>1762</v>
      </c>
      <c r="EO15" s="1">
        <v>1892</v>
      </c>
      <c r="EP15" s="1">
        <v>2105</v>
      </c>
      <c r="EQ15" s="1">
        <v>391</v>
      </c>
      <c r="ER15" s="1">
        <v>56</v>
      </c>
      <c r="ES15" s="1">
        <v>955</v>
      </c>
      <c r="ET15" s="1">
        <v>1632</v>
      </c>
      <c r="EU15" s="1">
        <v>1134</v>
      </c>
      <c r="EV15" s="13">
        <v>1225</v>
      </c>
    </row>
    <row r="16" spans="1:152" x14ac:dyDescent="0.3">
      <c r="A16" s="22" t="s">
        <v>20</v>
      </c>
      <c r="B16" s="23">
        <v>50000</v>
      </c>
      <c r="D16" s="3" t="s">
        <v>18</v>
      </c>
      <c r="E16" s="1">
        <v>241</v>
      </c>
      <c r="F16" s="1">
        <v>678</v>
      </c>
      <c r="G16" s="1">
        <v>1080</v>
      </c>
      <c r="H16" s="1">
        <v>984</v>
      </c>
      <c r="I16" s="1">
        <v>290</v>
      </c>
      <c r="J16" s="1">
        <v>737</v>
      </c>
      <c r="K16" s="1">
        <v>482</v>
      </c>
      <c r="L16" s="1">
        <v>729</v>
      </c>
      <c r="M16" s="1">
        <v>715</v>
      </c>
      <c r="N16" s="1">
        <v>1004</v>
      </c>
      <c r="O16" s="1">
        <v>1619</v>
      </c>
      <c r="P16" s="1">
        <v>964</v>
      </c>
      <c r="Q16" s="1">
        <v>2003</v>
      </c>
      <c r="R16" s="1">
        <v>1204</v>
      </c>
      <c r="S16" s="1">
        <v>439</v>
      </c>
      <c r="T16" s="1">
        <v>1906</v>
      </c>
      <c r="U16" s="1">
        <v>788</v>
      </c>
      <c r="V16" s="1">
        <v>1225</v>
      </c>
      <c r="W16" s="1">
        <v>755</v>
      </c>
      <c r="X16" s="1">
        <v>1503</v>
      </c>
      <c r="Y16" s="1">
        <v>1327</v>
      </c>
      <c r="Z16" s="1">
        <v>497</v>
      </c>
      <c r="AA16" s="1">
        <v>846</v>
      </c>
      <c r="AB16" s="1">
        <v>262</v>
      </c>
      <c r="AC16" s="1">
        <v>1749</v>
      </c>
      <c r="AD16" s="1">
        <v>335</v>
      </c>
      <c r="AE16" s="1">
        <v>1837</v>
      </c>
      <c r="AF16" s="1">
        <v>1426</v>
      </c>
      <c r="AG16" s="1">
        <v>2163</v>
      </c>
      <c r="AH16" s="1">
        <v>524</v>
      </c>
      <c r="AI16" s="1">
        <v>1074</v>
      </c>
      <c r="AJ16" s="1">
        <v>2198</v>
      </c>
      <c r="AK16" s="1">
        <v>2123</v>
      </c>
      <c r="AL16" s="1">
        <v>2167</v>
      </c>
      <c r="AM16" s="1">
        <v>2256</v>
      </c>
      <c r="AN16" s="1">
        <v>2374</v>
      </c>
      <c r="AO16" s="1">
        <v>1729</v>
      </c>
      <c r="AP16" s="1">
        <v>1175</v>
      </c>
      <c r="AQ16" s="1">
        <v>1743</v>
      </c>
      <c r="AR16" s="1">
        <v>273</v>
      </c>
      <c r="AS16" s="1">
        <v>1306</v>
      </c>
      <c r="AT16" s="1">
        <v>900</v>
      </c>
      <c r="AU16" s="1">
        <v>1251</v>
      </c>
      <c r="AV16" s="1">
        <v>2548</v>
      </c>
      <c r="AW16" s="1">
        <v>2274</v>
      </c>
      <c r="AX16" s="1">
        <v>373</v>
      </c>
      <c r="AY16" s="1">
        <v>710</v>
      </c>
      <c r="AZ16" s="1">
        <v>548</v>
      </c>
      <c r="BA16" s="1">
        <v>1098</v>
      </c>
      <c r="BB16" s="1">
        <v>294</v>
      </c>
      <c r="BC16" s="1">
        <v>1611</v>
      </c>
      <c r="BD16" s="1">
        <v>370</v>
      </c>
      <c r="BE16" s="1">
        <v>1429</v>
      </c>
      <c r="BF16" s="1">
        <v>1840</v>
      </c>
      <c r="BG16" s="1">
        <v>743</v>
      </c>
      <c r="BH16" s="1">
        <v>2020</v>
      </c>
      <c r="BI16" s="1">
        <v>349</v>
      </c>
      <c r="BJ16" s="1">
        <v>1105</v>
      </c>
      <c r="BK16" s="1">
        <v>398</v>
      </c>
      <c r="BL16" s="1">
        <v>475</v>
      </c>
      <c r="BM16" s="1">
        <v>574</v>
      </c>
      <c r="BN16" s="1">
        <v>333</v>
      </c>
      <c r="BO16" s="1">
        <v>699</v>
      </c>
      <c r="BP16" s="1">
        <v>1597</v>
      </c>
      <c r="BQ16" s="1">
        <v>1572</v>
      </c>
      <c r="BR16" s="1">
        <v>636</v>
      </c>
      <c r="BS16" s="1">
        <v>837</v>
      </c>
      <c r="BT16" s="1">
        <v>25</v>
      </c>
      <c r="BU16" s="1">
        <v>649</v>
      </c>
      <c r="BV16" s="1">
        <v>887</v>
      </c>
      <c r="BW16" s="1">
        <v>180</v>
      </c>
      <c r="BX16" s="1">
        <v>343</v>
      </c>
      <c r="BY16" s="1">
        <v>337</v>
      </c>
      <c r="BZ16" s="1">
        <v>2319</v>
      </c>
      <c r="CA16" s="1">
        <v>954</v>
      </c>
      <c r="CB16" s="1">
        <v>734</v>
      </c>
      <c r="CC16" s="1">
        <v>2074</v>
      </c>
      <c r="CD16" s="1">
        <v>520</v>
      </c>
      <c r="CE16" s="1">
        <v>1457</v>
      </c>
      <c r="CF16" s="1">
        <v>397</v>
      </c>
      <c r="CG16" s="1">
        <v>547</v>
      </c>
      <c r="CH16" s="1">
        <v>1395</v>
      </c>
      <c r="CI16" s="1">
        <v>1528</v>
      </c>
      <c r="CJ16" s="1">
        <v>253</v>
      </c>
      <c r="CK16" s="1">
        <v>2605</v>
      </c>
      <c r="CL16" s="1">
        <v>110</v>
      </c>
      <c r="CM16" s="1">
        <v>2100</v>
      </c>
      <c r="CN16" s="1">
        <v>119</v>
      </c>
      <c r="CO16" s="1">
        <v>642</v>
      </c>
      <c r="CP16" s="1">
        <v>577</v>
      </c>
      <c r="CQ16" s="1">
        <v>587</v>
      </c>
      <c r="CR16" s="1">
        <v>2444</v>
      </c>
      <c r="CS16" s="1">
        <v>1694</v>
      </c>
      <c r="CT16" s="1">
        <v>904</v>
      </c>
      <c r="CU16" s="1">
        <v>335</v>
      </c>
      <c r="CV16" s="1">
        <v>604</v>
      </c>
      <c r="CW16" s="1">
        <v>1484</v>
      </c>
      <c r="CX16" s="1">
        <v>558</v>
      </c>
      <c r="CY16" s="1">
        <v>428</v>
      </c>
      <c r="CZ16" s="1">
        <v>1058</v>
      </c>
      <c r="DA16" s="1">
        <v>1147</v>
      </c>
      <c r="DB16" s="1">
        <v>392</v>
      </c>
      <c r="DC16" s="1">
        <v>1114</v>
      </c>
      <c r="DD16" s="1">
        <v>2063</v>
      </c>
      <c r="DE16" s="1">
        <v>2135</v>
      </c>
      <c r="DF16" s="1">
        <v>2262</v>
      </c>
      <c r="DG16" s="1">
        <v>1262</v>
      </c>
      <c r="DH16" s="1">
        <v>1009</v>
      </c>
      <c r="DI16" s="1">
        <v>1009</v>
      </c>
      <c r="DJ16" s="1">
        <v>904</v>
      </c>
      <c r="DK16" s="1">
        <v>888</v>
      </c>
      <c r="DL16" s="1">
        <v>270</v>
      </c>
      <c r="DM16" s="1">
        <v>1118</v>
      </c>
      <c r="DN16" s="1">
        <v>1183</v>
      </c>
      <c r="DO16" s="1">
        <v>1399</v>
      </c>
      <c r="DP16" s="1">
        <v>1318</v>
      </c>
      <c r="DQ16" s="1">
        <v>1207</v>
      </c>
      <c r="DR16" s="1">
        <v>852</v>
      </c>
      <c r="DS16" s="1">
        <v>1264</v>
      </c>
      <c r="DT16" s="1">
        <v>186</v>
      </c>
      <c r="DU16" s="1">
        <v>278</v>
      </c>
      <c r="DV16" s="1">
        <v>503</v>
      </c>
      <c r="DW16" s="1">
        <v>1268</v>
      </c>
      <c r="DX16" s="1">
        <v>2211</v>
      </c>
      <c r="DY16" s="1">
        <v>1168</v>
      </c>
      <c r="DZ16" s="1">
        <v>1040</v>
      </c>
      <c r="EA16" s="1">
        <v>1395</v>
      </c>
      <c r="EB16" s="1">
        <v>475</v>
      </c>
      <c r="EC16" s="1">
        <v>1274</v>
      </c>
      <c r="ED16" s="1">
        <v>1803</v>
      </c>
      <c r="EE16" s="1">
        <v>1551</v>
      </c>
      <c r="EF16" s="1">
        <v>1128</v>
      </c>
      <c r="EG16" s="1">
        <v>991</v>
      </c>
      <c r="EH16" s="1">
        <v>1305</v>
      </c>
      <c r="EI16" s="1">
        <v>298</v>
      </c>
      <c r="EJ16" s="1">
        <v>468</v>
      </c>
      <c r="EK16" s="1">
        <v>1089</v>
      </c>
      <c r="EL16" s="1">
        <v>509</v>
      </c>
      <c r="EM16" s="1">
        <v>1975</v>
      </c>
      <c r="EN16" s="1">
        <v>2352</v>
      </c>
      <c r="EO16" s="1">
        <v>2482</v>
      </c>
      <c r="EP16" s="1">
        <v>2695</v>
      </c>
      <c r="EQ16" s="1">
        <v>394</v>
      </c>
      <c r="ER16" s="1">
        <v>511</v>
      </c>
      <c r="ES16" s="1">
        <v>856</v>
      </c>
      <c r="ET16" s="1">
        <v>2222</v>
      </c>
      <c r="EU16" s="1">
        <v>1845</v>
      </c>
      <c r="EV16" s="13">
        <v>1766</v>
      </c>
    </row>
    <row r="17" spans="1:152" x14ac:dyDescent="0.3">
      <c r="A17" s="22" t="s">
        <v>40</v>
      </c>
      <c r="B17" s="23">
        <v>24000</v>
      </c>
      <c r="D17" s="3" t="s">
        <v>26</v>
      </c>
      <c r="E17" s="1">
        <v>1288</v>
      </c>
      <c r="F17" s="1">
        <v>2060</v>
      </c>
      <c r="G17" s="1">
        <v>1722</v>
      </c>
      <c r="H17" s="1">
        <v>1377</v>
      </c>
      <c r="I17" s="1">
        <v>1393</v>
      </c>
      <c r="J17" s="1">
        <v>795</v>
      </c>
      <c r="K17" s="1">
        <v>1694</v>
      </c>
      <c r="L17" s="1">
        <v>1942</v>
      </c>
      <c r="M17" s="1">
        <v>1922</v>
      </c>
      <c r="N17" s="1">
        <v>1606</v>
      </c>
      <c r="O17" s="1">
        <v>247</v>
      </c>
      <c r="P17" s="1">
        <v>676</v>
      </c>
      <c r="Q17" s="1">
        <v>1859</v>
      </c>
      <c r="R17" s="1">
        <v>1847</v>
      </c>
      <c r="S17" s="1">
        <v>1265</v>
      </c>
      <c r="T17" s="1">
        <v>914</v>
      </c>
      <c r="U17" s="1">
        <v>885</v>
      </c>
      <c r="V17" s="1">
        <v>498</v>
      </c>
      <c r="W17" s="1">
        <v>1967</v>
      </c>
      <c r="X17" s="1">
        <v>2039</v>
      </c>
      <c r="Y17" s="1">
        <v>400</v>
      </c>
      <c r="Z17" s="1">
        <v>1819</v>
      </c>
      <c r="AA17" s="1">
        <v>2230</v>
      </c>
      <c r="AB17" s="1">
        <v>1631</v>
      </c>
      <c r="AC17" s="1">
        <v>441</v>
      </c>
      <c r="AD17" s="1">
        <v>1859</v>
      </c>
      <c r="AE17" s="1">
        <v>845</v>
      </c>
      <c r="AF17" s="1">
        <v>104</v>
      </c>
      <c r="AG17" s="1">
        <v>2282</v>
      </c>
      <c r="AH17" s="1">
        <v>1736</v>
      </c>
      <c r="AI17" s="1">
        <v>657</v>
      </c>
      <c r="AJ17" s="1">
        <v>1671</v>
      </c>
      <c r="AK17" s="1">
        <v>1765</v>
      </c>
      <c r="AL17" s="1">
        <v>1696</v>
      </c>
      <c r="AM17" s="1">
        <v>2109</v>
      </c>
      <c r="AN17" s="1">
        <v>1847</v>
      </c>
      <c r="AO17" s="1">
        <v>421</v>
      </c>
      <c r="AP17" s="1">
        <v>589</v>
      </c>
      <c r="AQ17" s="1">
        <v>1919</v>
      </c>
      <c r="AR17" s="1">
        <v>1508</v>
      </c>
      <c r="AS17" s="1">
        <v>330</v>
      </c>
      <c r="AT17" s="1">
        <v>770</v>
      </c>
      <c r="AU17" s="1">
        <v>275</v>
      </c>
      <c r="AV17" s="1">
        <v>2284</v>
      </c>
      <c r="AW17" s="1">
        <v>2010</v>
      </c>
      <c r="AX17" s="1">
        <v>1158</v>
      </c>
      <c r="AY17" s="1">
        <v>895</v>
      </c>
      <c r="AZ17" s="1">
        <v>1914</v>
      </c>
      <c r="BA17" s="1">
        <v>484</v>
      </c>
      <c r="BB17" s="1">
        <v>1484</v>
      </c>
      <c r="BC17" s="1">
        <v>1285</v>
      </c>
      <c r="BD17" s="1">
        <v>1701</v>
      </c>
      <c r="BE17" s="1">
        <v>1697</v>
      </c>
      <c r="BF17" s="1">
        <v>1256</v>
      </c>
      <c r="BG17" s="1">
        <v>1956</v>
      </c>
      <c r="BH17" s="1">
        <v>1028</v>
      </c>
      <c r="BI17" s="1">
        <v>1266</v>
      </c>
      <c r="BJ17" s="1">
        <v>602</v>
      </c>
      <c r="BK17" s="1">
        <v>1842</v>
      </c>
      <c r="BL17" s="1">
        <v>1517</v>
      </c>
      <c r="BM17" s="1">
        <v>1978</v>
      </c>
      <c r="BN17" s="1">
        <v>1667</v>
      </c>
      <c r="BO17" s="1">
        <v>1391</v>
      </c>
      <c r="BP17" s="1">
        <v>1985</v>
      </c>
      <c r="BQ17" s="1">
        <v>1490</v>
      </c>
      <c r="BR17" s="1">
        <v>1627</v>
      </c>
      <c r="BS17" s="1">
        <v>1170</v>
      </c>
      <c r="BT17" s="1">
        <v>1527</v>
      </c>
      <c r="BU17" s="1">
        <v>1862</v>
      </c>
      <c r="BV17" s="1">
        <v>1555</v>
      </c>
      <c r="BW17" s="1">
        <v>1666</v>
      </c>
      <c r="BX17" s="1">
        <v>1630</v>
      </c>
      <c r="BY17" s="1">
        <v>1866</v>
      </c>
      <c r="BZ17" s="1">
        <v>1327</v>
      </c>
      <c r="CA17" s="1">
        <v>2376</v>
      </c>
      <c r="CB17" s="1">
        <v>1946</v>
      </c>
      <c r="CC17" s="1">
        <v>2181</v>
      </c>
      <c r="CD17" s="1">
        <v>1006</v>
      </c>
      <c r="CE17" s="1">
        <v>1446</v>
      </c>
      <c r="CF17" s="1">
        <v>1610</v>
      </c>
      <c r="CG17" s="1">
        <v>1761</v>
      </c>
      <c r="CH17" s="1">
        <v>2023</v>
      </c>
      <c r="CI17" s="1">
        <v>25</v>
      </c>
      <c r="CJ17" s="1">
        <v>1519</v>
      </c>
      <c r="CK17" s="1">
        <v>2334</v>
      </c>
      <c r="CL17" s="1">
        <v>1580</v>
      </c>
      <c r="CM17" s="1">
        <v>1841</v>
      </c>
      <c r="CN17" s="1">
        <v>1642</v>
      </c>
      <c r="CO17" s="1">
        <v>1133</v>
      </c>
      <c r="CP17" s="1">
        <v>994</v>
      </c>
      <c r="CQ17" s="1">
        <v>1800</v>
      </c>
      <c r="CR17" s="1">
        <v>2121</v>
      </c>
      <c r="CS17" s="1">
        <v>1584</v>
      </c>
      <c r="CT17" s="1">
        <v>1693</v>
      </c>
      <c r="CU17" s="1">
        <v>1521</v>
      </c>
      <c r="CV17" s="1">
        <v>2065</v>
      </c>
      <c r="CW17" s="1">
        <v>129</v>
      </c>
      <c r="CX17" s="1">
        <v>1867</v>
      </c>
      <c r="CY17" s="1">
        <v>1363</v>
      </c>
      <c r="CZ17" s="1">
        <v>677</v>
      </c>
      <c r="DA17" s="1">
        <v>1951</v>
      </c>
      <c r="DB17" s="1">
        <v>1586</v>
      </c>
      <c r="DC17" s="1">
        <v>595</v>
      </c>
      <c r="DD17" s="1">
        <v>2010</v>
      </c>
      <c r="DE17" s="1">
        <v>1143</v>
      </c>
      <c r="DF17" s="1">
        <v>2049</v>
      </c>
      <c r="DG17" s="1">
        <v>1456</v>
      </c>
      <c r="DH17" s="1">
        <v>1797</v>
      </c>
      <c r="DI17" s="1">
        <v>1797</v>
      </c>
      <c r="DJ17" s="1">
        <v>1867</v>
      </c>
      <c r="DK17" s="1">
        <v>1850</v>
      </c>
      <c r="DL17" s="1">
        <v>1432</v>
      </c>
      <c r="DM17" s="1">
        <v>594</v>
      </c>
      <c r="DN17" s="1">
        <v>1843</v>
      </c>
      <c r="DO17" s="1">
        <v>471</v>
      </c>
      <c r="DP17" s="1">
        <v>299</v>
      </c>
      <c r="DQ17" s="1">
        <v>832</v>
      </c>
      <c r="DR17" s="1">
        <v>2274</v>
      </c>
      <c r="DS17" s="1">
        <v>403</v>
      </c>
      <c r="DT17" s="1">
        <v>1517</v>
      </c>
      <c r="DU17" s="1">
        <v>1566</v>
      </c>
      <c r="DV17" s="1">
        <v>1345</v>
      </c>
      <c r="DW17" s="1">
        <v>504</v>
      </c>
      <c r="DX17" s="1">
        <v>1947</v>
      </c>
      <c r="DY17" s="1">
        <v>550</v>
      </c>
      <c r="DZ17" s="1">
        <v>1754</v>
      </c>
      <c r="EA17" s="1">
        <v>1989</v>
      </c>
      <c r="EB17" s="1">
        <v>1767</v>
      </c>
      <c r="EC17" s="1">
        <v>1921</v>
      </c>
      <c r="ED17" s="1">
        <v>1964</v>
      </c>
      <c r="EE17" s="1">
        <v>559</v>
      </c>
      <c r="EF17" s="1">
        <v>661</v>
      </c>
      <c r="EG17" s="1">
        <v>722</v>
      </c>
      <c r="EH17" s="1">
        <v>1816</v>
      </c>
      <c r="EI17" s="1">
        <v>1537</v>
      </c>
      <c r="EJ17" s="1">
        <v>1907</v>
      </c>
      <c r="EK17" s="1">
        <v>2301</v>
      </c>
      <c r="EL17" s="1">
        <v>1556</v>
      </c>
      <c r="EM17" s="1">
        <v>1100</v>
      </c>
      <c r="EN17" s="1">
        <v>1990</v>
      </c>
      <c r="EO17" s="1">
        <v>2218</v>
      </c>
      <c r="EP17" s="1">
        <v>2385</v>
      </c>
      <c r="EQ17" s="1">
        <v>1799</v>
      </c>
      <c r="ER17" s="1">
        <v>1700</v>
      </c>
      <c r="ES17" s="1">
        <v>682</v>
      </c>
      <c r="ET17" s="1">
        <v>1738</v>
      </c>
      <c r="EU17" s="1">
        <v>1218</v>
      </c>
      <c r="EV17" s="13">
        <v>883</v>
      </c>
    </row>
    <row r="18" spans="1:152" x14ac:dyDescent="0.3">
      <c r="A18" s="22" t="s">
        <v>41</v>
      </c>
      <c r="B18" s="23">
        <v>4000</v>
      </c>
      <c r="D18" s="3" t="s">
        <v>19</v>
      </c>
      <c r="E18" s="1">
        <v>336</v>
      </c>
      <c r="F18" s="1">
        <v>1175</v>
      </c>
      <c r="G18" s="1">
        <v>1351</v>
      </c>
      <c r="H18" s="1">
        <v>1108</v>
      </c>
      <c r="I18" s="1">
        <v>440</v>
      </c>
      <c r="J18" s="1">
        <v>201</v>
      </c>
      <c r="K18" s="1">
        <v>741</v>
      </c>
      <c r="L18" s="1">
        <v>989</v>
      </c>
      <c r="M18" s="1">
        <v>1234</v>
      </c>
      <c r="N18" s="1">
        <v>1275</v>
      </c>
      <c r="O18" s="1">
        <v>1091</v>
      </c>
      <c r="P18" s="1">
        <v>384</v>
      </c>
      <c r="Q18" s="1">
        <v>2023</v>
      </c>
      <c r="R18" s="1">
        <v>1475</v>
      </c>
      <c r="S18" s="1">
        <v>284</v>
      </c>
      <c r="T18" s="1">
        <v>1326</v>
      </c>
      <c r="U18" s="1">
        <v>206</v>
      </c>
      <c r="V18" s="1">
        <v>645</v>
      </c>
      <c r="W18" s="1">
        <v>1014</v>
      </c>
      <c r="X18" s="1">
        <v>1774</v>
      </c>
      <c r="Y18" s="1">
        <v>747</v>
      </c>
      <c r="Z18" s="1">
        <v>866</v>
      </c>
      <c r="AA18" s="1">
        <v>1346</v>
      </c>
      <c r="AB18" s="1">
        <v>678</v>
      </c>
      <c r="AC18" s="1">
        <v>1198</v>
      </c>
      <c r="AD18" s="1">
        <v>907</v>
      </c>
      <c r="AE18" s="1">
        <v>1257</v>
      </c>
      <c r="AF18" s="1">
        <v>890</v>
      </c>
      <c r="AG18" s="1">
        <v>2385</v>
      </c>
      <c r="AH18" s="1">
        <v>783</v>
      </c>
      <c r="AI18" s="1">
        <v>494</v>
      </c>
      <c r="AJ18" s="1">
        <v>2059</v>
      </c>
      <c r="AK18" s="1">
        <v>1985</v>
      </c>
      <c r="AL18" s="1">
        <v>2028</v>
      </c>
      <c r="AM18" s="1">
        <v>2386</v>
      </c>
      <c r="AN18" s="1">
        <v>2236</v>
      </c>
      <c r="AO18" s="1">
        <v>1178</v>
      </c>
      <c r="AP18" s="1">
        <v>592</v>
      </c>
      <c r="AQ18" s="1">
        <v>2028</v>
      </c>
      <c r="AR18" s="1">
        <v>555</v>
      </c>
      <c r="AS18" s="1">
        <v>782</v>
      </c>
      <c r="AT18" s="1">
        <v>319</v>
      </c>
      <c r="AU18" s="1">
        <v>727</v>
      </c>
      <c r="AV18" s="1">
        <v>2561</v>
      </c>
      <c r="AW18" s="1">
        <v>2287</v>
      </c>
      <c r="AX18" s="1">
        <v>229</v>
      </c>
      <c r="AY18" s="1">
        <v>128</v>
      </c>
      <c r="AZ18" s="1">
        <v>962</v>
      </c>
      <c r="BA18" s="1">
        <v>574</v>
      </c>
      <c r="BB18" s="1">
        <v>531</v>
      </c>
      <c r="BC18" s="1">
        <v>1472</v>
      </c>
      <c r="BD18" s="1">
        <v>748</v>
      </c>
      <c r="BE18" s="1">
        <v>1577</v>
      </c>
      <c r="BF18" s="1">
        <v>1702</v>
      </c>
      <c r="BG18" s="1">
        <v>1003</v>
      </c>
      <c r="BH18" s="1">
        <v>1440</v>
      </c>
      <c r="BI18" s="1">
        <v>341</v>
      </c>
      <c r="BJ18" s="1">
        <v>523</v>
      </c>
      <c r="BK18" s="1">
        <v>889</v>
      </c>
      <c r="BL18" s="1">
        <v>536</v>
      </c>
      <c r="BM18" s="1">
        <v>1094</v>
      </c>
      <c r="BN18" s="1">
        <v>715</v>
      </c>
      <c r="BO18" s="1">
        <v>745</v>
      </c>
      <c r="BP18" s="1">
        <v>1868</v>
      </c>
      <c r="BQ18" s="1">
        <v>1433</v>
      </c>
      <c r="BR18" s="1">
        <v>861</v>
      </c>
      <c r="BS18" s="1">
        <v>519</v>
      </c>
      <c r="BT18" s="1">
        <v>574</v>
      </c>
      <c r="BU18" s="1">
        <v>909</v>
      </c>
      <c r="BV18" s="1">
        <v>1158</v>
      </c>
      <c r="BW18" s="1">
        <v>713</v>
      </c>
      <c r="BX18" s="1">
        <v>677</v>
      </c>
      <c r="BY18" s="1">
        <v>913</v>
      </c>
      <c r="BZ18" s="1">
        <v>1739</v>
      </c>
      <c r="CA18" s="1">
        <v>1529</v>
      </c>
      <c r="CB18" s="1">
        <v>993</v>
      </c>
      <c r="CC18" s="1">
        <v>2344</v>
      </c>
      <c r="CD18" s="1">
        <v>95</v>
      </c>
      <c r="CE18" s="1">
        <v>1319</v>
      </c>
      <c r="CF18" s="1">
        <v>657</v>
      </c>
      <c r="CG18" s="1">
        <v>808</v>
      </c>
      <c r="CH18" s="1">
        <v>1666</v>
      </c>
      <c r="CI18" s="1">
        <v>992</v>
      </c>
      <c r="CJ18" s="1">
        <v>636</v>
      </c>
      <c r="CK18" s="1">
        <v>2618</v>
      </c>
      <c r="CL18" s="1">
        <v>628</v>
      </c>
      <c r="CM18" s="1">
        <v>2112</v>
      </c>
      <c r="CN18" s="1">
        <v>689</v>
      </c>
      <c r="CO18" s="1">
        <v>131</v>
      </c>
      <c r="CP18" s="1">
        <v>25</v>
      </c>
      <c r="CQ18" s="1">
        <v>847</v>
      </c>
      <c r="CR18" s="1">
        <v>2457</v>
      </c>
      <c r="CS18" s="1">
        <v>1556</v>
      </c>
      <c r="CT18" s="1">
        <v>1175</v>
      </c>
      <c r="CU18" s="1">
        <v>568</v>
      </c>
      <c r="CV18" s="1">
        <v>1180</v>
      </c>
      <c r="CW18" s="1">
        <v>955</v>
      </c>
      <c r="CX18" s="1">
        <v>916</v>
      </c>
      <c r="CY18" s="1">
        <v>382</v>
      </c>
      <c r="CZ18" s="1">
        <v>475</v>
      </c>
      <c r="DA18" s="1">
        <v>1445</v>
      </c>
      <c r="DB18" s="1">
        <v>633</v>
      </c>
      <c r="DC18" s="1">
        <v>531</v>
      </c>
      <c r="DD18" s="1">
        <v>2173</v>
      </c>
      <c r="DE18" s="1">
        <v>1555</v>
      </c>
      <c r="DF18" s="1">
        <v>2275</v>
      </c>
      <c r="DG18" s="1">
        <v>1277</v>
      </c>
      <c r="DH18" s="1">
        <v>1283</v>
      </c>
      <c r="DI18" s="1">
        <v>1280</v>
      </c>
      <c r="DJ18" s="1">
        <v>1323</v>
      </c>
      <c r="DK18" s="1">
        <v>1308</v>
      </c>
      <c r="DL18" s="1">
        <v>479</v>
      </c>
      <c r="DM18" s="1">
        <v>535</v>
      </c>
      <c r="DN18" s="1">
        <v>1456</v>
      </c>
      <c r="DO18" s="1">
        <v>817</v>
      </c>
      <c r="DP18" s="1">
        <v>782</v>
      </c>
      <c r="DQ18" s="1">
        <v>780</v>
      </c>
      <c r="DR18" s="1">
        <v>1427</v>
      </c>
      <c r="DS18" s="1">
        <v>740</v>
      </c>
      <c r="DT18" s="1">
        <v>564</v>
      </c>
      <c r="DU18" s="1">
        <v>613</v>
      </c>
      <c r="DV18" s="1">
        <v>364</v>
      </c>
      <c r="DW18" s="1">
        <v>685</v>
      </c>
      <c r="DX18" s="1">
        <v>2224</v>
      </c>
      <c r="DY18" s="1">
        <v>585</v>
      </c>
      <c r="DZ18" s="1">
        <v>1311</v>
      </c>
      <c r="EA18" s="1">
        <v>1666</v>
      </c>
      <c r="EB18" s="1">
        <v>815</v>
      </c>
      <c r="EC18" s="1">
        <v>1545</v>
      </c>
      <c r="ED18" s="1">
        <v>2073</v>
      </c>
      <c r="EE18" s="1">
        <v>971</v>
      </c>
      <c r="EF18" s="1">
        <v>545</v>
      </c>
      <c r="EG18" s="1">
        <v>409</v>
      </c>
      <c r="EH18" s="1">
        <v>1527</v>
      </c>
      <c r="EI18" s="1">
        <v>584</v>
      </c>
      <c r="EJ18" s="1">
        <v>954</v>
      </c>
      <c r="EK18" s="1">
        <v>1348</v>
      </c>
      <c r="EL18" s="1">
        <v>671</v>
      </c>
      <c r="EM18" s="1">
        <v>1836</v>
      </c>
      <c r="EN18" s="1">
        <v>2365</v>
      </c>
      <c r="EO18" s="1">
        <v>2495</v>
      </c>
      <c r="EP18" s="1">
        <v>2707</v>
      </c>
      <c r="EQ18" s="1">
        <v>915</v>
      </c>
      <c r="ER18" s="1">
        <v>816</v>
      </c>
      <c r="ES18" s="1">
        <v>320</v>
      </c>
      <c r="ET18" s="1">
        <v>2071</v>
      </c>
      <c r="EU18" s="1">
        <v>1706</v>
      </c>
      <c r="EV18" s="13">
        <v>1329</v>
      </c>
    </row>
    <row r="19" spans="1:152" x14ac:dyDescent="0.3">
      <c r="A19" s="22" t="s">
        <v>42</v>
      </c>
      <c r="B19" s="23">
        <v>27000</v>
      </c>
      <c r="D19" s="3" t="s">
        <v>12</v>
      </c>
      <c r="E19" s="1">
        <v>482</v>
      </c>
      <c r="F19" s="1">
        <v>1216</v>
      </c>
      <c r="G19" s="1">
        <v>1618</v>
      </c>
      <c r="H19" s="1">
        <v>1509</v>
      </c>
      <c r="I19" s="1">
        <v>411</v>
      </c>
      <c r="J19" s="1">
        <v>951</v>
      </c>
      <c r="K19" s="1">
        <v>67</v>
      </c>
      <c r="L19" s="1">
        <v>247</v>
      </c>
      <c r="M19" s="1">
        <v>1253</v>
      </c>
      <c r="N19" s="1">
        <v>1542</v>
      </c>
      <c r="O19" s="1">
        <v>1841</v>
      </c>
      <c r="P19" s="1">
        <v>1193</v>
      </c>
      <c r="Q19" s="1">
        <v>2423</v>
      </c>
      <c r="R19" s="1">
        <v>1742</v>
      </c>
      <c r="S19" s="1">
        <v>472</v>
      </c>
      <c r="T19" s="1">
        <v>2135</v>
      </c>
      <c r="U19" s="1">
        <v>1014</v>
      </c>
      <c r="V19" s="1">
        <v>1454</v>
      </c>
      <c r="W19" s="1">
        <v>248</v>
      </c>
      <c r="X19" s="1">
        <v>2041</v>
      </c>
      <c r="Y19" s="1">
        <v>1555</v>
      </c>
      <c r="Z19" s="1">
        <v>249</v>
      </c>
      <c r="AA19" s="1">
        <v>1384</v>
      </c>
      <c r="AB19" s="1">
        <v>338</v>
      </c>
      <c r="AC19" s="1">
        <v>1948</v>
      </c>
      <c r="AD19" s="1">
        <v>565</v>
      </c>
      <c r="AE19" s="1">
        <v>2066</v>
      </c>
      <c r="AF19" s="1">
        <v>1640</v>
      </c>
      <c r="AG19" s="1">
        <v>2785</v>
      </c>
      <c r="AH19" s="1">
        <v>36</v>
      </c>
      <c r="AI19" s="1">
        <v>1302</v>
      </c>
      <c r="AJ19" s="1">
        <v>2460</v>
      </c>
      <c r="AK19" s="1">
        <v>2385</v>
      </c>
      <c r="AL19" s="1">
        <v>2429</v>
      </c>
      <c r="AM19" s="1">
        <v>2786</v>
      </c>
      <c r="AN19" s="1">
        <v>2636</v>
      </c>
      <c r="AO19" s="1">
        <v>1928</v>
      </c>
      <c r="AP19" s="1">
        <v>1401</v>
      </c>
      <c r="AQ19" s="1">
        <v>2281</v>
      </c>
      <c r="AR19" s="1">
        <v>266</v>
      </c>
      <c r="AS19" s="1">
        <v>1533</v>
      </c>
      <c r="AT19" s="1">
        <v>1128</v>
      </c>
      <c r="AU19" s="1">
        <v>1477</v>
      </c>
      <c r="AV19" s="1">
        <v>2962</v>
      </c>
      <c r="AW19" s="1">
        <v>2687</v>
      </c>
      <c r="AX19" s="1">
        <v>589</v>
      </c>
      <c r="AY19" s="1">
        <v>936</v>
      </c>
      <c r="AZ19" s="1">
        <v>261</v>
      </c>
      <c r="BA19" s="1">
        <v>1324</v>
      </c>
      <c r="BB19" s="1">
        <v>293</v>
      </c>
      <c r="BC19" s="1">
        <v>1873</v>
      </c>
      <c r="BD19" s="1">
        <v>230</v>
      </c>
      <c r="BE19" s="1">
        <v>1978</v>
      </c>
      <c r="BF19" s="1">
        <v>2102</v>
      </c>
      <c r="BG19" s="1">
        <v>237</v>
      </c>
      <c r="BH19" s="1">
        <v>2248</v>
      </c>
      <c r="BI19" s="1">
        <v>612</v>
      </c>
      <c r="BJ19" s="1">
        <v>1331</v>
      </c>
      <c r="BK19" s="1">
        <v>344</v>
      </c>
      <c r="BL19" s="1">
        <v>221</v>
      </c>
      <c r="BM19" s="1">
        <v>1112</v>
      </c>
      <c r="BN19" s="1">
        <v>276</v>
      </c>
      <c r="BO19" s="1">
        <v>1121</v>
      </c>
      <c r="BP19" s="1">
        <v>2135</v>
      </c>
      <c r="BQ19" s="1">
        <v>1834</v>
      </c>
      <c r="BR19" s="1">
        <v>1174</v>
      </c>
      <c r="BS19" s="1">
        <v>1099</v>
      </c>
      <c r="BT19" s="1">
        <v>550</v>
      </c>
      <c r="BU19" s="1">
        <v>167</v>
      </c>
      <c r="BV19" s="1">
        <v>1425</v>
      </c>
      <c r="BW19" s="1">
        <v>426</v>
      </c>
      <c r="BX19" s="1">
        <v>218</v>
      </c>
      <c r="BY19" s="1">
        <v>752</v>
      </c>
      <c r="BZ19" s="1">
        <v>2548</v>
      </c>
      <c r="CA19" s="1">
        <v>1492</v>
      </c>
      <c r="CB19" s="1">
        <v>213</v>
      </c>
      <c r="CC19" s="1">
        <v>2745</v>
      </c>
      <c r="CD19" s="1">
        <v>746</v>
      </c>
      <c r="CE19" s="1">
        <v>1720</v>
      </c>
      <c r="CF19" s="1">
        <v>150</v>
      </c>
      <c r="CG19" s="1">
        <v>107</v>
      </c>
      <c r="CH19" s="1">
        <v>1933</v>
      </c>
      <c r="CI19" s="1">
        <v>1743</v>
      </c>
      <c r="CJ19" s="1">
        <v>788</v>
      </c>
      <c r="CK19" s="1">
        <v>3019</v>
      </c>
      <c r="CL19" s="1">
        <v>434</v>
      </c>
      <c r="CM19" s="1">
        <v>2513</v>
      </c>
      <c r="CN19" s="1">
        <v>565</v>
      </c>
      <c r="CO19" s="1">
        <v>639</v>
      </c>
      <c r="CP19" s="1">
        <v>803</v>
      </c>
      <c r="CQ19" s="1">
        <v>146</v>
      </c>
      <c r="CR19" s="1">
        <v>2857</v>
      </c>
      <c r="CS19" s="1">
        <v>1957</v>
      </c>
      <c r="CT19" s="1">
        <v>1442</v>
      </c>
      <c r="CU19" s="1">
        <v>256</v>
      </c>
      <c r="CV19" s="1">
        <v>1142</v>
      </c>
      <c r="CW19" s="1">
        <v>1706</v>
      </c>
      <c r="CX19" s="1">
        <v>215</v>
      </c>
      <c r="CY19" s="1">
        <v>373</v>
      </c>
      <c r="CZ19" s="1">
        <v>1284</v>
      </c>
      <c r="DA19" s="1">
        <v>1685</v>
      </c>
      <c r="DB19" s="1">
        <v>230</v>
      </c>
      <c r="DC19" s="1">
        <v>1340</v>
      </c>
      <c r="DD19" s="1">
        <v>2574</v>
      </c>
      <c r="DE19" s="1">
        <v>2364</v>
      </c>
      <c r="DF19" s="1">
        <v>2676</v>
      </c>
      <c r="DG19" s="1">
        <v>1678</v>
      </c>
      <c r="DH19" s="1">
        <v>1547</v>
      </c>
      <c r="DI19" s="1">
        <v>1547</v>
      </c>
      <c r="DJ19" s="1">
        <v>1442</v>
      </c>
      <c r="DK19" s="1">
        <v>1427</v>
      </c>
      <c r="DL19" s="1">
        <v>335</v>
      </c>
      <c r="DM19" s="1">
        <v>1344</v>
      </c>
      <c r="DN19" s="1">
        <v>1721</v>
      </c>
      <c r="DO19" s="1">
        <v>1625</v>
      </c>
      <c r="DP19" s="1">
        <v>1533</v>
      </c>
      <c r="DQ19" s="1">
        <v>1470</v>
      </c>
      <c r="DR19" s="1">
        <v>1390</v>
      </c>
      <c r="DS19" s="1">
        <v>1490</v>
      </c>
      <c r="DT19" s="1">
        <v>359</v>
      </c>
      <c r="DU19" s="1">
        <v>263</v>
      </c>
      <c r="DV19" s="1">
        <v>448</v>
      </c>
      <c r="DW19" s="1">
        <v>1494</v>
      </c>
      <c r="DX19" s="1">
        <v>2625</v>
      </c>
      <c r="DY19" s="1">
        <v>1394</v>
      </c>
      <c r="DZ19" s="1">
        <v>1578</v>
      </c>
      <c r="EA19" s="1">
        <v>1933</v>
      </c>
      <c r="EB19" s="1">
        <v>150</v>
      </c>
      <c r="EC19" s="1">
        <v>1812</v>
      </c>
      <c r="ED19" s="1">
        <v>2341</v>
      </c>
      <c r="EE19" s="1">
        <v>1780</v>
      </c>
      <c r="EF19" s="1">
        <v>1354</v>
      </c>
      <c r="EG19" s="1">
        <v>1217</v>
      </c>
      <c r="EH19" s="1">
        <v>1843</v>
      </c>
      <c r="EI19" s="1">
        <v>231</v>
      </c>
      <c r="EJ19" s="1">
        <v>371</v>
      </c>
      <c r="EK19" s="1">
        <v>582</v>
      </c>
      <c r="EL19" s="1">
        <v>1044</v>
      </c>
      <c r="EM19" s="1">
        <v>2237</v>
      </c>
      <c r="EN19" s="1">
        <v>2766</v>
      </c>
      <c r="EO19" s="1">
        <v>2896</v>
      </c>
      <c r="EP19" s="1">
        <v>3108</v>
      </c>
      <c r="EQ19" s="1">
        <v>932</v>
      </c>
      <c r="ER19" s="1">
        <v>1116</v>
      </c>
      <c r="ES19" s="1">
        <v>1070</v>
      </c>
      <c r="ET19" s="1">
        <v>2472</v>
      </c>
      <c r="EU19" s="1">
        <v>2107</v>
      </c>
      <c r="EV19" s="13">
        <v>2028</v>
      </c>
    </row>
    <row r="20" spans="1:152" x14ac:dyDescent="0.3">
      <c r="A20" s="22" t="s">
        <v>43</v>
      </c>
      <c r="B20" s="23">
        <v>8000</v>
      </c>
      <c r="D20" s="3" t="s">
        <v>27</v>
      </c>
      <c r="E20" s="1">
        <v>869</v>
      </c>
      <c r="F20" s="1">
        <v>1710</v>
      </c>
      <c r="G20" s="1">
        <v>1626</v>
      </c>
      <c r="H20" s="1">
        <v>1281</v>
      </c>
      <c r="I20" s="1">
        <v>973</v>
      </c>
      <c r="J20" s="1">
        <v>389</v>
      </c>
      <c r="K20" s="1">
        <v>1274</v>
      </c>
      <c r="L20" s="1">
        <v>1522</v>
      </c>
      <c r="M20" s="1">
        <v>1769</v>
      </c>
      <c r="N20" s="1">
        <v>1510</v>
      </c>
      <c r="O20" s="1">
        <v>693</v>
      </c>
      <c r="P20" s="1">
        <v>138</v>
      </c>
      <c r="Q20" s="1">
        <v>2125</v>
      </c>
      <c r="R20" s="1">
        <v>1751</v>
      </c>
      <c r="S20" s="1">
        <v>817</v>
      </c>
      <c r="T20" s="1">
        <v>878</v>
      </c>
      <c r="U20" s="1">
        <v>333</v>
      </c>
      <c r="V20" s="1">
        <v>126</v>
      </c>
      <c r="W20" s="1">
        <v>1548</v>
      </c>
      <c r="X20" s="1">
        <v>1927</v>
      </c>
      <c r="Y20" s="1">
        <v>227</v>
      </c>
      <c r="Z20" s="1">
        <v>1399</v>
      </c>
      <c r="AA20" s="1">
        <v>1881</v>
      </c>
      <c r="AB20" s="1">
        <v>1211</v>
      </c>
      <c r="AC20" s="1">
        <v>795</v>
      </c>
      <c r="AD20" s="1">
        <v>1440</v>
      </c>
      <c r="AE20" s="1">
        <v>809</v>
      </c>
      <c r="AF20" s="1">
        <v>492</v>
      </c>
      <c r="AG20" s="1">
        <v>2486</v>
      </c>
      <c r="AH20" s="1">
        <v>1316</v>
      </c>
      <c r="AI20" s="1">
        <v>69</v>
      </c>
      <c r="AJ20" s="1">
        <v>2025</v>
      </c>
      <c r="AK20" s="1">
        <v>2087</v>
      </c>
      <c r="AL20" s="1">
        <v>2049</v>
      </c>
      <c r="AM20" s="1">
        <v>2488</v>
      </c>
      <c r="AN20" s="1">
        <v>2201</v>
      </c>
      <c r="AO20" s="1">
        <v>774</v>
      </c>
      <c r="AP20" s="1">
        <v>144</v>
      </c>
      <c r="AQ20" s="1">
        <v>2130</v>
      </c>
      <c r="AR20" s="1">
        <v>1088</v>
      </c>
      <c r="AS20" s="1">
        <v>258</v>
      </c>
      <c r="AT20" s="1">
        <v>216</v>
      </c>
      <c r="AU20" s="1">
        <v>329</v>
      </c>
      <c r="AV20" s="1">
        <v>2663</v>
      </c>
      <c r="AW20" s="1">
        <v>2388</v>
      </c>
      <c r="AX20" s="1">
        <v>762</v>
      </c>
      <c r="AY20" s="1">
        <v>408</v>
      </c>
      <c r="AZ20" s="1">
        <v>1495</v>
      </c>
      <c r="BA20" s="1">
        <v>98</v>
      </c>
      <c r="BB20" s="1">
        <v>1064</v>
      </c>
      <c r="BC20" s="1">
        <v>1419</v>
      </c>
      <c r="BD20" s="1">
        <v>1281</v>
      </c>
      <c r="BE20" s="1">
        <v>1679</v>
      </c>
      <c r="BF20" s="1">
        <v>1610</v>
      </c>
      <c r="BG20" s="1">
        <v>1536</v>
      </c>
      <c r="BH20" s="1">
        <v>992</v>
      </c>
      <c r="BI20" s="1">
        <v>874</v>
      </c>
      <c r="BJ20" s="1">
        <v>20</v>
      </c>
      <c r="BK20" s="1">
        <v>1422</v>
      </c>
      <c r="BL20" s="1">
        <v>1069</v>
      </c>
      <c r="BM20" s="1">
        <v>1629</v>
      </c>
      <c r="BN20" s="1">
        <v>1248</v>
      </c>
      <c r="BO20" s="1">
        <v>1086</v>
      </c>
      <c r="BP20" s="1">
        <v>2059</v>
      </c>
      <c r="BQ20" s="1">
        <v>1535</v>
      </c>
      <c r="BR20" s="1">
        <v>1221</v>
      </c>
      <c r="BS20" s="1">
        <v>714</v>
      </c>
      <c r="BT20" s="1">
        <v>1107</v>
      </c>
      <c r="BU20" s="1">
        <v>1442</v>
      </c>
      <c r="BV20" s="1">
        <v>1518</v>
      </c>
      <c r="BW20" s="1">
        <v>1246</v>
      </c>
      <c r="BX20" s="1">
        <v>1210</v>
      </c>
      <c r="BY20" s="1">
        <v>1446</v>
      </c>
      <c r="BZ20" s="1">
        <v>1291</v>
      </c>
      <c r="CA20" s="1">
        <v>2026</v>
      </c>
      <c r="CB20" s="1">
        <v>1526</v>
      </c>
      <c r="CC20" s="1">
        <v>2446</v>
      </c>
      <c r="CD20" s="1">
        <v>630</v>
      </c>
      <c r="CE20" s="1">
        <v>1284</v>
      </c>
      <c r="CF20" s="1">
        <v>1190</v>
      </c>
      <c r="CG20" s="1">
        <v>1341</v>
      </c>
      <c r="CH20" s="1">
        <v>1945</v>
      </c>
      <c r="CI20" s="1">
        <v>594</v>
      </c>
      <c r="CJ20" s="1">
        <v>1171</v>
      </c>
      <c r="CK20" s="1">
        <v>2720</v>
      </c>
      <c r="CL20" s="1">
        <v>1161</v>
      </c>
      <c r="CM20" s="1">
        <v>2214</v>
      </c>
      <c r="CN20" s="1">
        <v>1223</v>
      </c>
      <c r="CO20" s="1">
        <v>658</v>
      </c>
      <c r="CP20" s="1">
        <v>536</v>
      </c>
      <c r="CQ20" s="1">
        <v>1380</v>
      </c>
      <c r="CR20" s="1">
        <v>2474</v>
      </c>
      <c r="CS20" s="1">
        <v>1658</v>
      </c>
      <c r="CT20" s="1">
        <v>1535</v>
      </c>
      <c r="CU20" s="1">
        <v>1101</v>
      </c>
      <c r="CV20" s="1">
        <v>1713</v>
      </c>
      <c r="CW20" s="1">
        <v>557</v>
      </c>
      <c r="CX20" s="1">
        <v>1449</v>
      </c>
      <c r="CY20" s="1">
        <v>915</v>
      </c>
      <c r="CZ20" s="1">
        <v>154</v>
      </c>
      <c r="DA20" s="1">
        <v>1805</v>
      </c>
      <c r="DB20" s="1">
        <v>1166</v>
      </c>
      <c r="DC20" s="1">
        <v>71</v>
      </c>
      <c r="DD20" s="1">
        <v>2275</v>
      </c>
      <c r="DE20" s="1">
        <v>1107</v>
      </c>
      <c r="DF20" s="1">
        <v>2377</v>
      </c>
      <c r="DG20" s="1">
        <v>1379</v>
      </c>
      <c r="DH20" s="1">
        <v>1640</v>
      </c>
      <c r="DI20" s="1">
        <v>1640</v>
      </c>
      <c r="DJ20" s="1">
        <v>1858</v>
      </c>
      <c r="DK20" s="1">
        <v>1642</v>
      </c>
      <c r="DL20" s="1">
        <v>1012</v>
      </c>
      <c r="DM20" s="1">
        <v>25</v>
      </c>
      <c r="DN20" s="1">
        <v>1813</v>
      </c>
      <c r="DO20" s="1">
        <v>301</v>
      </c>
      <c r="DP20" s="1">
        <v>384</v>
      </c>
      <c r="DQ20" s="1">
        <v>743</v>
      </c>
      <c r="DR20" s="1">
        <v>1925</v>
      </c>
      <c r="DS20" s="1">
        <v>336</v>
      </c>
      <c r="DT20" s="1">
        <v>1097</v>
      </c>
      <c r="DU20" s="1">
        <v>1146</v>
      </c>
      <c r="DV20" s="1">
        <v>897</v>
      </c>
      <c r="DW20" s="1">
        <v>237</v>
      </c>
      <c r="DX20" s="1">
        <v>2326</v>
      </c>
      <c r="DY20" s="1">
        <v>85</v>
      </c>
      <c r="DZ20" s="1">
        <v>1671</v>
      </c>
      <c r="EA20" s="1">
        <v>1813</v>
      </c>
      <c r="EB20" s="1">
        <v>1348</v>
      </c>
      <c r="EC20" s="1">
        <v>1825</v>
      </c>
      <c r="ED20" s="1">
        <v>2174</v>
      </c>
      <c r="EE20" s="1">
        <v>523</v>
      </c>
      <c r="EF20" s="1">
        <v>138</v>
      </c>
      <c r="EG20" s="1">
        <v>133</v>
      </c>
      <c r="EH20" s="1">
        <v>1629</v>
      </c>
      <c r="EI20" s="1">
        <v>1117</v>
      </c>
      <c r="EJ20" s="1">
        <v>1487</v>
      </c>
      <c r="EK20" s="1">
        <v>1881</v>
      </c>
      <c r="EL20" s="1">
        <v>1206</v>
      </c>
      <c r="EM20" s="1">
        <v>1454</v>
      </c>
      <c r="EN20" s="1">
        <v>2344</v>
      </c>
      <c r="EO20" s="1">
        <v>2597</v>
      </c>
      <c r="EP20" s="1">
        <v>2809</v>
      </c>
      <c r="EQ20" s="1">
        <v>1450</v>
      </c>
      <c r="ER20" s="1">
        <v>1351</v>
      </c>
      <c r="ES20" s="1">
        <v>255</v>
      </c>
      <c r="ET20" s="1">
        <v>2092</v>
      </c>
      <c r="EU20" s="1">
        <v>1572</v>
      </c>
      <c r="EV20" s="13">
        <v>1236</v>
      </c>
    </row>
    <row r="21" spans="1:152" x14ac:dyDescent="0.3">
      <c r="A21" s="22" t="s">
        <v>44</v>
      </c>
      <c r="B21" s="23">
        <v>30000</v>
      </c>
      <c r="D21" s="3" t="s">
        <v>25</v>
      </c>
      <c r="E21" s="1">
        <v>1337</v>
      </c>
      <c r="F21" s="1">
        <v>662</v>
      </c>
      <c r="G21" s="1">
        <v>122</v>
      </c>
      <c r="H21" s="1">
        <v>487</v>
      </c>
      <c r="I21" s="1">
        <v>1426</v>
      </c>
      <c r="J21" s="1">
        <v>1426</v>
      </c>
      <c r="K21" s="1">
        <v>1660</v>
      </c>
      <c r="L21" s="1">
        <v>1771</v>
      </c>
      <c r="M21" s="1">
        <v>601</v>
      </c>
      <c r="N21" s="1">
        <v>236</v>
      </c>
      <c r="O21" s="1">
        <v>1717</v>
      </c>
      <c r="P21" s="1">
        <v>1707</v>
      </c>
      <c r="Q21" s="1">
        <v>842</v>
      </c>
      <c r="R21" s="1">
        <v>107</v>
      </c>
      <c r="S21" s="1">
        <v>1543</v>
      </c>
      <c r="T21" s="1">
        <v>2779</v>
      </c>
      <c r="U21" s="1">
        <v>1659</v>
      </c>
      <c r="V21" s="1">
        <v>2098</v>
      </c>
      <c r="W21" s="1">
        <v>1933</v>
      </c>
      <c r="X21" s="1">
        <v>342</v>
      </c>
      <c r="Y21" s="1">
        <v>2200</v>
      </c>
      <c r="Z21" s="1">
        <v>1591</v>
      </c>
      <c r="AA21" s="1">
        <v>730</v>
      </c>
      <c r="AB21" s="1">
        <v>1441</v>
      </c>
      <c r="AC21" s="1">
        <v>1628</v>
      </c>
      <c r="AD21" s="1">
        <v>1358</v>
      </c>
      <c r="AE21" s="1">
        <v>2710</v>
      </c>
      <c r="AF21" s="1">
        <v>1919</v>
      </c>
      <c r="AG21" s="1">
        <v>1002</v>
      </c>
      <c r="AH21" s="1">
        <v>1702</v>
      </c>
      <c r="AI21" s="1">
        <v>1947</v>
      </c>
      <c r="AJ21" s="1">
        <v>1195</v>
      </c>
      <c r="AK21" s="1">
        <v>894</v>
      </c>
      <c r="AL21" s="1">
        <v>1018</v>
      </c>
      <c r="AM21" s="1">
        <v>1095</v>
      </c>
      <c r="AN21" s="1">
        <v>1159</v>
      </c>
      <c r="AO21" s="1">
        <v>1553</v>
      </c>
      <c r="AP21" s="1">
        <v>2045</v>
      </c>
      <c r="AQ21" s="1">
        <v>582</v>
      </c>
      <c r="AR21" s="1">
        <v>1452</v>
      </c>
      <c r="AS21" s="1">
        <v>1851</v>
      </c>
      <c r="AT21" s="1">
        <v>1772</v>
      </c>
      <c r="AU21" s="1">
        <v>1765</v>
      </c>
      <c r="AV21" s="1">
        <v>1387</v>
      </c>
      <c r="AW21" s="1">
        <v>1113</v>
      </c>
      <c r="AX21" s="1">
        <v>1304</v>
      </c>
      <c r="AY21" s="1">
        <v>1581</v>
      </c>
      <c r="AZ21" s="1">
        <v>1642</v>
      </c>
      <c r="BA21" s="1">
        <v>1799</v>
      </c>
      <c r="BB21" s="1">
        <v>1473</v>
      </c>
      <c r="BC21" s="1">
        <v>813</v>
      </c>
      <c r="BD21" s="1">
        <v>1484</v>
      </c>
      <c r="BE21" s="1">
        <v>378</v>
      </c>
      <c r="BF21" s="1">
        <v>847</v>
      </c>
      <c r="BG21" s="1">
        <v>1922</v>
      </c>
      <c r="BH21" s="1">
        <v>2893</v>
      </c>
      <c r="BI21" s="1">
        <v>1207</v>
      </c>
      <c r="BJ21" s="1">
        <v>1975</v>
      </c>
      <c r="BK21" s="1">
        <v>1492</v>
      </c>
      <c r="BL21" s="1">
        <v>1653</v>
      </c>
      <c r="BM21" s="1">
        <v>733</v>
      </c>
      <c r="BN21" s="1">
        <v>1447</v>
      </c>
      <c r="BO21" s="1">
        <v>721</v>
      </c>
      <c r="BP21" s="1">
        <v>436</v>
      </c>
      <c r="BQ21" s="1">
        <v>562</v>
      </c>
      <c r="BR21" s="1">
        <v>594</v>
      </c>
      <c r="BS21" s="1">
        <v>992</v>
      </c>
      <c r="BT21" s="1">
        <v>1183</v>
      </c>
      <c r="BU21" s="1">
        <v>1828</v>
      </c>
      <c r="BV21" s="1">
        <v>390</v>
      </c>
      <c r="BW21" s="1">
        <v>1308</v>
      </c>
      <c r="BX21" s="1">
        <v>1521</v>
      </c>
      <c r="BY21" s="1">
        <v>1115</v>
      </c>
      <c r="BZ21" s="1">
        <v>3192</v>
      </c>
      <c r="CA21" s="1">
        <v>945</v>
      </c>
      <c r="CB21" s="1">
        <v>1912</v>
      </c>
      <c r="CC21" s="1">
        <v>913</v>
      </c>
      <c r="CD21" s="1">
        <v>1366</v>
      </c>
      <c r="CE21" s="1">
        <v>689</v>
      </c>
      <c r="CF21" s="1">
        <v>1575</v>
      </c>
      <c r="CG21" s="1">
        <v>1727</v>
      </c>
      <c r="CH21" s="1">
        <v>234</v>
      </c>
      <c r="CI21" s="1">
        <v>1843</v>
      </c>
      <c r="CJ21" s="1">
        <v>975</v>
      </c>
      <c r="CK21" s="1">
        <v>1444</v>
      </c>
      <c r="CL21" s="1">
        <v>1289</v>
      </c>
      <c r="CM21" s="1">
        <v>939</v>
      </c>
      <c r="CN21" s="1">
        <v>1165</v>
      </c>
      <c r="CO21" s="1">
        <v>1585</v>
      </c>
      <c r="CP21" s="1">
        <v>1453</v>
      </c>
      <c r="CQ21" s="1">
        <v>1766</v>
      </c>
      <c r="CR21" s="1">
        <v>1283</v>
      </c>
      <c r="CS21" s="1">
        <v>542</v>
      </c>
      <c r="CT21" s="1">
        <v>279</v>
      </c>
      <c r="CU21" s="1">
        <v>1513</v>
      </c>
      <c r="CV21" s="1">
        <v>737</v>
      </c>
      <c r="CW21" s="1">
        <v>1728</v>
      </c>
      <c r="CX21" s="1">
        <v>1677</v>
      </c>
      <c r="CY21" s="1">
        <v>1606</v>
      </c>
      <c r="CZ21" s="1">
        <v>1928</v>
      </c>
      <c r="DA21" s="1">
        <v>149</v>
      </c>
      <c r="DB21" s="1">
        <v>1570</v>
      </c>
      <c r="DC21" s="1">
        <v>1984</v>
      </c>
      <c r="DD21" s="1">
        <v>903</v>
      </c>
      <c r="DE21" s="1">
        <v>3008</v>
      </c>
      <c r="DF21" s="1">
        <v>1101</v>
      </c>
      <c r="DG21" s="1">
        <v>441</v>
      </c>
      <c r="DH21" s="1">
        <v>212</v>
      </c>
      <c r="DI21" s="1">
        <v>212</v>
      </c>
      <c r="DJ21" s="1">
        <v>382</v>
      </c>
      <c r="DK21" s="1">
        <v>398</v>
      </c>
      <c r="DL21" s="1">
        <v>1449</v>
      </c>
      <c r="DM21" s="1">
        <v>1811</v>
      </c>
      <c r="DN21" s="1">
        <v>25</v>
      </c>
      <c r="DO21" s="1">
        <v>2270</v>
      </c>
      <c r="DP21" s="1">
        <v>1732</v>
      </c>
      <c r="DQ21" s="1">
        <v>1010</v>
      </c>
      <c r="DR21" s="1">
        <v>843</v>
      </c>
      <c r="DS21" s="1">
        <v>1606</v>
      </c>
      <c r="DT21" s="1">
        <v>1365</v>
      </c>
      <c r="DU21" s="1">
        <v>1456</v>
      </c>
      <c r="DV21" s="1">
        <v>1623</v>
      </c>
      <c r="DW21" s="1">
        <v>2138</v>
      </c>
      <c r="DX21" s="1">
        <v>1051</v>
      </c>
      <c r="DY21" s="1">
        <v>2038</v>
      </c>
      <c r="DZ21" s="1">
        <v>146</v>
      </c>
      <c r="EA21" s="1">
        <v>234</v>
      </c>
      <c r="EB21" s="1">
        <v>1590</v>
      </c>
      <c r="EC21" s="1">
        <v>113</v>
      </c>
      <c r="ED21" s="1">
        <v>642</v>
      </c>
      <c r="EE21" s="1">
        <v>2424</v>
      </c>
      <c r="EF21" s="1">
        <v>1998</v>
      </c>
      <c r="EG21" s="1">
        <v>1862</v>
      </c>
      <c r="EH21" s="1">
        <v>254</v>
      </c>
      <c r="EI21" s="1">
        <v>1477</v>
      </c>
      <c r="EJ21" s="1">
        <v>1606</v>
      </c>
      <c r="EK21" s="1">
        <v>2267</v>
      </c>
      <c r="EL21" s="1">
        <v>750</v>
      </c>
      <c r="EM21" s="1">
        <v>982</v>
      </c>
      <c r="EN21" s="1">
        <v>1191</v>
      </c>
      <c r="EO21" s="1">
        <v>1322</v>
      </c>
      <c r="EP21" s="1">
        <v>1534</v>
      </c>
      <c r="EQ21" s="1">
        <v>892</v>
      </c>
      <c r="ER21" s="1">
        <v>652</v>
      </c>
      <c r="ES21" s="1">
        <v>1545</v>
      </c>
      <c r="ET21" s="1">
        <v>1061</v>
      </c>
      <c r="EU21" s="1">
        <v>852</v>
      </c>
      <c r="EV21" s="13">
        <v>1198</v>
      </c>
    </row>
    <row r="22" spans="1:152" x14ac:dyDescent="0.3">
      <c r="A22" s="22" t="s">
        <v>45</v>
      </c>
      <c r="B22" s="23">
        <v>8000</v>
      </c>
      <c r="D22" s="3" t="s">
        <v>8</v>
      </c>
      <c r="E22" s="1">
        <v>971</v>
      </c>
      <c r="F22" s="1">
        <v>1151</v>
      </c>
      <c r="G22" s="1">
        <v>890</v>
      </c>
      <c r="H22" s="1">
        <v>545</v>
      </c>
      <c r="I22" s="1">
        <v>1060</v>
      </c>
      <c r="J22" s="1">
        <v>579</v>
      </c>
      <c r="K22" s="1">
        <v>1401</v>
      </c>
      <c r="L22" s="1">
        <v>1648</v>
      </c>
      <c r="M22" s="1">
        <v>1090</v>
      </c>
      <c r="N22" s="1">
        <v>774</v>
      </c>
      <c r="O22" s="1">
        <v>706</v>
      </c>
      <c r="P22" s="1">
        <v>779</v>
      </c>
      <c r="Q22" s="1">
        <v>1370</v>
      </c>
      <c r="R22" s="1">
        <v>1015</v>
      </c>
      <c r="S22" s="1">
        <v>1051</v>
      </c>
      <c r="T22" s="1">
        <v>1563</v>
      </c>
      <c r="U22" s="1">
        <v>825</v>
      </c>
      <c r="V22" s="1">
        <v>916</v>
      </c>
      <c r="W22" s="1">
        <v>1674</v>
      </c>
      <c r="X22" s="1">
        <v>1172</v>
      </c>
      <c r="Y22" s="1">
        <v>970</v>
      </c>
      <c r="Z22" s="1">
        <v>1526</v>
      </c>
      <c r="AA22" s="1">
        <v>1246</v>
      </c>
      <c r="AB22" s="1">
        <v>1338</v>
      </c>
      <c r="AC22" s="1">
        <v>550</v>
      </c>
      <c r="AD22" s="1">
        <v>1530</v>
      </c>
      <c r="AE22" s="1">
        <v>1494</v>
      </c>
      <c r="AF22" s="1">
        <v>908</v>
      </c>
      <c r="AG22" s="1">
        <v>1731</v>
      </c>
      <c r="AH22" s="1">
        <v>1443</v>
      </c>
      <c r="AI22" s="1">
        <v>749</v>
      </c>
      <c r="AJ22" s="1">
        <v>1406</v>
      </c>
      <c r="AK22" s="1">
        <v>1332</v>
      </c>
      <c r="AL22" s="1">
        <v>1376</v>
      </c>
      <c r="AM22" s="1">
        <v>1733</v>
      </c>
      <c r="AN22" s="1">
        <v>1582</v>
      </c>
      <c r="AO22" s="1">
        <v>542</v>
      </c>
      <c r="AP22" s="1">
        <v>885</v>
      </c>
      <c r="AQ22" s="1">
        <v>1375</v>
      </c>
      <c r="AR22" s="1">
        <v>1215</v>
      </c>
      <c r="AS22" s="1">
        <v>840</v>
      </c>
      <c r="AT22" s="1">
        <v>842</v>
      </c>
      <c r="AU22" s="1">
        <v>754</v>
      </c>
      <c r="AV22" s="1">
        <v>1908</v>
      </c>
      <c r="AW22" s="1">
        <v>1633</v>
      </c>
      <c r="AX22" s="1">
        <v>937</v>
      </c>
      <c r="AY22" s="1">
        <v>749</v>
      </c>
      <c r="AZ22" s="1">
        <v>1621</v>
      </c>
      <c r="BA22" s="1">
        <v>757</v>
      </c>
      <c r="BB22" s="1">
        <v>1190</v>
      </c>
      <c r="BC22" s="1">
        <v>681</v>
      </c>
      <c r="BD22" s="1">
        <v>1408</v>
      </c>
      <c r="BE22" s="1">
        <v>924</v>
      </c>
      <c r="BF22" s="1">
        <v>905</v>
      </c>
      <c r="BG22" s="1">
        <v>1663</v>
      </c>
      <c r="BH22" s="1">
        <v>1677</v>
      </c>
      <c r="BI22" s="1">
        <v>840</v>
      </c>
      <c r="BJ22" s="1">
        <v>762</v>
      </c>
      <c r="BK22" s="1">
        <v>1548</v>
      </c>
      <c r="BL22" s="1">
        <v>1376</v>
      </c>
      <c r="BM22" s="1">
        <v>1176</v>
      </c>
      <c r="BN22" s="1">
        <v>1374</v>
      </c>
      <c r="BO22" s="1">
        <v>559</v>
      </c>
      <c r="BP22" s="1">
        <v>1304</v>
      </c>
      <c r="BQ22" s="1">
        <v>780</v>
      </c>
      <c r="BR22" s="1">
        <v>731</v>
      </c>
      <c r="BS22" s="1">
        <v>384</v>
      </c>
      <c r="BT22" s="1">
        <v>1197</v>
      </c>
      <c r="BU22" s="1">
        <v>1569</v>
      </c>
      <c r="BV22" s="1">
        <v>723</v>
      </c>
      <c r="BW22" s="1">
        <v>1342</v>
      </c>
      <c r="BX22" s="1">
        <v>1336</v>
      </c>
      <c r="BY22" s="1">
        <v>1428</v>
      </c>
      <c r="BZ22" s="1">
        <v>1976</v>
      </c>
      <c r="CA22" s="1">
        <v>1433</v>
      </c>
      <c r="CB22" s="1">
        <v>1653</v>
      </c>
      <c r="CC22" s="1">
        <v>1691</v>
      </c>
      <c r="CD22" s="1">
        <v>765</v>
      </c>
      <c r="CE22" s="1">
        <v>547</v>
      </c>
      <c r="CF22" s="1">
        <v>1316</v>
      </c>
      <c r="CG22" s="1">
        <v>1467</v>
      </c>
      <c r="CH22" s="1">
        <v>1101</v>
      </c>
      <c r="CI22" s="1">
        <v>832</v>
      </c>
      <c r="CJ22" s="1">
        <v>1041</v>
      </c>
      <c r="CK22" s="1">
        <v>1965</v>
      </c>
      <c r="CL22" s="1">
        <v>1192</v>
      </c>
      <c r="CM22" s="1">
        <v>1459</v>
      </c>
      <c r="CN22" s="1">
        <v>1339</v>
      </c>
      <c r="CO22" s="1">
        <v>918</v>
      </c>
      <c r="CP22" s="1">
        <v>780</v>
      </c>
      <c r="CQ22" s="1">
        <v>1507</v>
      </c>
      <c r="CR22" s="1">
        <v>1804</v>
      </c>
      <c r="CS22" s="1">
        <v>903</v>
      </c>
      <c r="CT22" s="1">
        <v>861</v>
      </c>
      <c r="CU22" s="1">
        <v>1227</v>
      </c>
      <c r="CV22" s="1">
        <v>1227</v>
      </c>
      <c r="CW22" s="1">
        <v>717</v>
      </c>
      <c r="CX22" s="1">
        <v>1575</v>
      </c>
      <c r="CY22" s="1">
        <v>1301</v>
      </c>
      <c r="CZ22" s="1">
        <v>872</v>
      </c>
      <c r="DA22" s="1">
        <v>1119</v>
      </c>
      <c r="DB22" s="1">
        <v>1293</v>
      </c>
      <c r="DC22" s="1">
        <v>812</v>
      </c>
      <c r="DD22" s="1">
        <v>1520</v>
      </c>
      <c r="DE22" s="1">
        <v>1792</v>
      </c>
      <c r="DF22" s="1">
        <v>1622</v>
      </c>
      <c r="DG22" s="1">
        <v>624</v>
      </c>
      <c r="DH22" s="1">
        <v>964</v>
      </c>
      <c r="DI22" s="1">
        <v>964</v>
      </c>
      <c r="DJ22" s="1">
        <v>1035</v>
      </c>
      <c r="DK22" s="1">
        <v>1018</v>
      </c>
      <c r="DL22" s="1">
        <v>1110</v>
      </c>
      <c r="DM22" s="1">
        <v>744</v>
      </c>
      <c r="DN22" s="1">
        <v>1011</v>
      </c>
      <c r="DO22" s="1">
        <v>1040</v>
      </c>
      <c r="DP22" s="1">
        <v>721</v>
      </c>
      <c r="DQ22" s="1">
        <v>25</v>
      </c>
      <c r="DR22" s="1">
        <v>1332</v>
      </c>
      <c r="DS22" s="1">
        <v>596</v>
      </c>
      <c r="DT22" s="1">
        <v>1194</v>
      </c>
      <c r="DU22" s="1">
        <v>1273</v>
      </c>
      <c r="DV22" s="1">
        <v>1130</v>
      </c>
      <c r="DW22" s="1">
        <v>978</v>
      </c>
      <c r="DX22" s="1">
        <v>1571</v>
      </c>
      <c r="DY22" s="1">
        <v>828</v>
      </c>
      <c r="DZ22" s="1">
        <v>922</v>
      </c>
      <c r="EA22" s="1">
        <v>1058</v>
      </c>
      <c r="EB22" s="1">
        <v>1474</v>
      </c>
      <c r="EC22" s="1">
        <v>1089</v>
      </c>
      <c r="ED22" s="1">
        <v>1419</v>
      </c>
      <c r="EE22" s="1">
        <v>1208</v>
      </c>
      <c r="EF22" s="1">
        <v>879</v>
      </c>
      <c r="EG22" s="1">
        <v>852</v>
      </c>
      <c r="EH22" s="1">
        <v>874</v>
      </c>
      <c r="EI22" s="1">
        <v>1244</v>
      </c>
      <c r="EJ22" s="1">
        <v>1613</v>
      </c>
      <c r="EK22" s="1">
        <v>2008</v>
      </c>
      <c r="EL22" s="1">
        <v>726</v>
      </c>
      <c r="EM22" s="1">
        <v>725</v>
      </c>
      <c r="EN22" s="1">
        <v>1712</v>
      </c>
      <c r="EO22" s="1">
        <v>1842</v>
      </c>
      <c r="EP22" s="1">
        <v>2054</v>
      </c>
      <c r="EQ22" s="1">
        <v>1129</v>
      </c>
      <c r="ER22" s="1">
        <v>791</v>
      </c>
      <c r="ES22" s="1">
        <v>645</v>
      </c>
      <c r="ET22" s="1">
        <v>1418</v>
      </c>
      <c r="EU22" s="1">
        <v>869</v>
      </c>
      <c r="EV22" s="13">
        <v>546</v>
      </c>
    </row>
    <row r="23" spans="1:152" x14ac:dyDescent="0.3">
      <c r="A23" s="22" t="s">
        <v>46</v>
      </c>
      <c r="B23" s="23">
        <v>22000</v>
      </c>
      <c r="D23" s="3" t="s">
        <v>28</v>
      </c>
      <c r="E23" s="1">
        <v>971</v>
      </c>
      <c r="F23" s="1">
        <v>1602</v>
      </c>
      <c r="G23" s="1">
        <v>890</v>
      </c>
      <c r="H23" s="1">
        <v>1163</v>
      </c>
      <c r="I23" s="1">
        <v>1060</v>
      </c>
      <c r="J23" s="1">
        <v>579</v>
      </c>
      <c r="K23" s="1">
        <v>1401</v>
      </c>
      <c r="L23" s="1">
        <v>1648</v>
      </c>
      <c r="M23" s="1">
        <v>1090</v>
      </c>
      <c r="N23" s="1">
        <v>774</v>
      </c>
      <c r="O23" s="1">
        <v>706</v>
      </c>
      <c r="P23" s="1">
        <v>779</v>
      </c>
      <c r="Q23" s="1">
        <v>1370</v>
      </c>
      <c r="R23" s="1">
        <v>1015</v>
      </c>
      <c r="S23" s="1">
        <v>1051</v>
      </c>
      <c r="T23" s="1">
        <v>1563</v>
      </c>
      <c r="U23" s="1">
        <v>825</v>
      </c>
      <c r="V23" s="1">
        <v>916</v>
      </c>
      <c r="W23" s="1">
        <v>1674</v>
      </c>
      <c r="X23" s="1">
        <v>1172</v>
      </c>
      <c r="Y23" s="1">
        <v>970</v>
      </c>
      <c r="Z23" s="1">
        <v>1526</v>
      </c>
      <c r="AA23" s="1">
        <v>1246</v>
      </c>
      <c r="AB23" s="1">
        <v>1338</v>
      </c>
      <c r="AC23" s="1">
        <v>550</v>
      </c>
      <c r="AD23" s="1">
        <v>1530</v>
      </c>
      <c r="AE23" s="1">
        <v>1494</v>
      </c>
      <c r="AF23" s="1">
        <v>908</v>
      </c>
      <c r="AG23" s="1">
        <v>1731</v>
      </c>
      <c r="AH23" s="1">
        <v>1443</v>
      </c>
      <c r="AI23" s="1">
        <v>749</v>
      </c>
      <c r="AJ23" s="1">
        <v>1406</v>
      </c>
      <c r="AK23" s="1">
        <v>1332</v>
      </c>
      <c r="AL23" s="1">
        <v>1376</v>
      </c>
      <c r="AM23" s="1">
        <v>1733</v>
      </c>
      <c r="AN23" s="1">
        <v>1582</v>
      </c>
      <c r="AO23" s="1">
        <v>542</v>
      </c>
      <c r="AP23" s="1">
        <v>885</v>
      </c>
      <c r="AQ23" s="1">
        <v>1375</v>
      </c>
      <c r="AR23" s="1">
        <v>1215</v>
      </c>
      <c r="AS23" s="1">
        <v>840</v>
      </c>
      <c r="AT23" s="1">
        <v>842</v>
      </c>
      <c r="AU23" s="1">
        <v>754</v>
      </c>
      <c r="AV23" s="1">
        <v>1908</v>
      </c>
      <c r="AW23" s="1">
        <v>1633</v>
      </c>
      <c r="AX23" s="1">
        <v>937</v>
      </c>
      <c r="AY23" s="1">
        <v>749</v>
      </c>
      <c r="AZ23" s="1">
        <v>1621</v>
      </c>
      <c r="BA23" s="1">
        <v>757</v>
      </c>
      <c r="BB23" s="1">
        <v>1190</v>
      </c>
      <c r="BC23" s="1">
        <v>1123</v>
      </c>
      <c r="BD23" s="1">
        <v>1408</v>
      </c>
      <c r="BE23" s="1">
        <v>924</v>
      </c>
      <c r="BF23" s="1">
        <v>905</v>
      </c>
      <c r="BG23" s="1">
        <v>1663</v>
      </c>
      <c r="BH23" s="1">
        <v>1677</v>
      </c>
      <c r="BI23" s="1">
        <v>840</v>
      </c>
      <c r="BJ23" s="1">
        <v>762</v>
      </c>
      <c r="BK23" s="1">
        <v>1548</v>
      </c>
      <c r="BL23" s="1">
        <v>1376</v>
      </c>
      <c r="BM23" s="1">
        <v>1176</v>
      </c>
      <c r="BN23" s="1">
        <v>1374</v>
      </c>
      <c r="BO23" s="1">
        <v>559</v>
      </c>
      <c r="BP23" s="1">
        <v>1304</v>
      </c>
      <c r="BQ23" s="1">
        <v>780</v>
      </c>
      <c r="BR23" s="1">
        <v>731</v>
      </c>
      <c r="BS23" s="1">
        <v>384</v>
      </c>
      <c r="BT23" s="1">
        <v>1197</v>
      </c>
      <c r="BU23" s="1">
        <v>1569</v>
      </c>
      <c r="BV23" s="1">
        <v>723</v>
      </c>
      <c r="BW23" s="1">
        <v>1342</v>
      </c>
      <c r="BX23" s="1">
        <v>1336</v>
      </c>
      <c r="BY23" s="1">
        <v>1428</v>
      </c>
      <c r="BZ23" s="1">
        <v>1976</v>
      </c>
      <c r="CA23" s="1">
        <v>1433</v>
      </c>
      <c r="CB23" s="1">
        <v>1653</v>
      </c>
      <c r="CC23" s="1">
        <v>1691</v>
      </c>
      <c r="CD23" s="1">
        <v>765</v>
      </c>
      <c r="CE23" s="1">
        <v>547</v>
      </c>
      <c r="CF23" s="1">
        <v>1316</v>
      </c>
      <c r="CG23" s="1">
        <v>1467</v>
      </c>
      <c r="CH23" s="1">
        <v>1101</v>
      </c>
      <c r="CI23" s="1">
        <v>832</v>
      </c>
      <c r="CJ23" s="1">
        <v>1260</v>
      </c>
      <c r="CK23" s="1">
        <v>1965</v>
      </c>
      <c r="CL23" s="1">
        <v>1192</v>
      </c>
      <c r="CM23" s="1">
        <v>1459</v>
      </c>
      <c r="CN23" s="1">
        <v>1339</v>
      </c>
      <c r="CO23" s="1">
        <v>918</v>
      </c>
      <c r="CP23" s="1">
        <v>780</v>
      </c>
      <c r="CQ23" s="1">
        <v>1507</v>
      </c>
      <c r="CR23" s="1">
        <v>1804</v>
      </c>
      <c r="CS23" s="1">
        <v>903</v>
      </c>
      <c r="CT23" s="1">
        <v>861</v>
      </c>
      <c r="CU23" s="1">
        <v>1227</v>
      </c>
      <c r="CV23" s="1">
        <v>1227</v>
      </c>
      <c r="CW23" s="1">
        <v>717</v>
      </c>
      <c r="CX23" s="1">
        <v>1608</v>
      </c>
      <c r="CY23" s="1">
        <v>1301</v>
      </c>
      <c r="CZ23" s="1">
        <v>872</v>
      </c>
      <c r="DA23" s="1">
        <v>1119</v>
      </c>
      <c r="DB23" s="1">
        <v>1293</v>
      </c>
      <c r="DC23" s="1">
        <v>812</v>
      </c>
      <c r="DD23" s="1">
        <v>1520</v>
      </c>
      <c r="DE23" s="1">
        <v>1792</v>
      </c>
      <c r="DF23" s="1">
        <v>1622</v>
      </c>
      <c r="DG23" s="1">
        <v>624</v>
      </c>
      <c r="DH23" s="1">
        <v>964</v>
      </c>
      <c r="DI23" s="1">
        <v>964</v>
      </c>
      <c r="DJ23" s="1">
        <v>1035</v>
      </c>
      <c r="DK23" s="1">
        <v>1018</v>
      </c>
      <c r="DL23" s="1">
        <v>1110</v>
      </c>
      <c r="DM23" s="1">
        <v>744</v>
      </c>
      <c r="DN23" s="1">
        <v>1011</v>
      </c>
      <c r="DO23" s="1">
        <v>1040</v>
      </c>
      <c r="DP23" s="1">
        <v>721</v>
      </c>
      <c r="DQ23" s="1">
        <v>25</v>
      </c>
      <c r="DR23" s="1">
        <v>1332</v>
      </c>
      <c r="DS23" s="1">
        <v>596</v>
      </c>
      <c r="DT23" s="1">
        <v>1194</v>
      </c>
      <c r="DU23" s="1">
        <v>1273</v>
      </c>
      <c r="DV23" s="1">
        <v>1130</v>
      </c>
      <c r="DW23" s="1">
        <v>978</v>
      </c>
      <c r="DX23" s="1">
        <v>1957</v>
      </c>
      <c r="DY23" s="1">
        <v>828</v>
      </c>
      <c r="DZ23" s="1">
        <v>922</v>
      </c>
      <c r="EA23" s="1">
        <v>1058</v>
      </c>
      <c r="EB23" s="1">
        <v>1474</v>
      </c>
      <c r="EC23" s="1">
        <v>1089</v>
      </c>
      <c r="ED23" s="1">
        <v>1419</v>
      </c>
      <c r="EE23" s="1">
        <v>1208</v>
      </c>
      <c r="EF23" s="1">
        <v>879</v>
      </c>
      <c r="EG23" s="1">
        <v>852</v>
      </c>
      <c r="EH23" s="1">
        <v>874</v>
      </c>
      <c r="EI23" s="1">
        <v>1244</v>
      </c>
      <c r="EJ23" s="1">
        <v>1613</v>
      </c>
      <c r="EK23" s="1">
        <v>2008</v>
      </c>
      <c r="EL23" s="1">
        <v>726</v>
      </c>
      <c r="EM23" s="1">
        <v>725</v>
      </c>
      <c r="EN23" s="1">
        <v>1712</v>
      </c>
      <c r="EO23" s="1">
        <v>1842</v>
      </c>
      <c r="EP23" s="1">
        <v>2054</v>
      </c>
      <c r="EQ23" s="1">
        <v>1129</v>
      </c>
      <c r="ER23" s="1">
        <v>791</v>
      </c>
      <c r="ES23" s="1">
        <v>645</v>
      </c>
      <c r="ET23" s="1">
        <v>1418</v>
      </c>
      <c r="EU23" s="1">
        <v>869</v>
      </c>
      <c r="EV23" s="13">
        <v>546</v>
      </c>
    </row>
    <row r="24" spans="1:152" x14ac:dyDescent="0.3">
      <c r="A24" s="22" t="s">
        <v>47</v>
      </c>
      <c r="B24" s="23">
        <v>21000</v>
      </c>
      <c r="D24" s="3" t="s">
        <v>13</v>
      </c>
      <c r="E24" s="1">
        <v>362</v>
      </c>
      <c r="F24" s="1">
        <v>1115</v>
      </c>
      <c r="G24" s="1">
        <v>1517</v>
      </c>
      <c r="H24" s="1">
        <v>1389</v>
      </c>
      <c r="I24" s="1">
        <v>247</v>
      </c>
      <c r="J24" s="1">
        <v>832</v>
      </c>
      <c r="K24" s="1">
        <v>137</v>
      </c>
      <c r="L24" s="1">
        <v>384</v>
      </c>
      <c r="M24" s="1">
        <v>1152</v>
      </c>
      <c r="N24" s="1">
        <v>1441</v>
      </c>
      <c r="O24" s="1">
        <v>1722</v>
      </c>
      <c r="P24" s="1">
        <v>1073</v>
      </c>
      <c r="Q24" s="1">
        <v>2304</v>
      </c>
      <c r="R24" s="1">
        <v>1641</v>
      </c>
      <c r="S24" s="1">
        <v>256</v>
      </c>
      <c r="T24" s="1">
        <v>2015</v>
      </c>
      <c r="U24" s="1">
        <v>895</v>
      </c>
      <c r="V24" s="1">
        <v>1334</v>
      </c>
      <c r="W24" s="1">
        <v>410</v>
      </c>
      <c r="X24" s="1">
        <v>1940</v>
      </c>
      <c r="Y24" s="1">
        <v>1436</v>
      </c>
      <c r="Z24" s="1">
        <v>337</v>
      </c>
      <c r="AA24" s="1">
        <v>1283</v>
      </c>
      <c r="AB24" s="1">
        <v>288</v>
      </c>
      <c r="AC24" s="1">
        <v>1829</v>
      </c>
      <c r="AD24" s="1">
        <v>607</v>
      </c>
      <c r="AE24" s="1">
        <v>1946</v>
      </c>
      <c r="AF24" s="1">
        <v>1521</v>
      </c>
      <c r="AG24" s="1">
        <v>2666</v>
      </c>
      <c r="AH24" s="1">
        <v>183</v>
      </c>
      <c r="AI24" s="1">
        <v>1183</v>
      </c>
      <c r="AJ24" s="1">
        <v>2340</v>
      </c>
      <c r="AK24" s="1">
        <v>2266</v>
      </c>
      <c r="AL24" s="1">
        <v>2310</v>
      </c>
      <c r="AM24" s="1">
        <v>2667</v>
      </c>
      <c r="AN24" s="1">
        <v>2517</v>
      </c>
      <c r="AO24" s="1">
        <v>1808</v>
      </c>
      <c r="AP24" s="1">
        <v>1281</v>
      </c>
      <c r="AQ24" s="1">
        <v>2180</v>
      </c>
      <c r="AR24" s="1">
        <v>191</v>
      </c>
      <c r="AS24" s="1">
        <v>1413</v>
      </c>
      <c r="AT24" s="1">
        <v>1009</v>
      </c>
      <c r="AU24" s="1">
        <v>1357</v>
      </c>
      <c r="AV24" s="1">
        <v>2842</v>
      </c>
      <c r="AW24" s="1">
        <v>2568</v>
      </c>
      <c r="AX24" s="1">
        <v>469</v>
      </c>
      <c r="AY24" s="1">
        <v>817</v>
      </c>
      <c r="AZ24" s="1">
        <v>357</v>
      </c>
      <c r="BA24" s="1">
        <v>1204</v>
      </c>
      <c r="BB24" s="1">
        <v>155</v>
      </c>
      <c r="BC24" s="1">
        <v>1753</v>
      </c>
      <c r="BD24" s="1">
        <v>270</v>
      </c>
      <c r="BE24" s="1">
        <v>1858</v>
      </c>
      <c r="BF24" s="1">
        <v>1983</v>
      </c>
      <c r="BG24" s="1">
        <v>398</v>
      </c>
      <c r="BH24" s="1">
        <v>2129</v>
      </c>
      <c r="BI24" s="1">
        <v>492</v>
      </c>
      <c r="BJ24" s="1">
        <v>1212</v>
      </c>
      <c r="BK24" s="1">
        <v>432</v>
      </c>
      <c r="BL24" s="1">
        <v>32</v>
      </c>
      <c r="BM24" s="1">
        <v>1011</v>
      </c>
      <c r="BN24" s="1">
        <v>314</v>
      </c>
      <c r="BO24" s="1">
        <v>1001</v>
      </c>
      <c r="BP24" s="1">
        <v>2034</v>
      </c>
      <c r="BQ24" s="1">
        <v>1714</v>
      </c>
      <c r="BR24" s="1">
        <v>1073</v>
      </c>
      <c r="BS24" s="1">
        <v>979</v>
      </c>
      <c r="BT24" s="1">
        <v>449</v>
      </c>
      <c r="BU24" s="1">
        <v>304</v>
      </c>
      <c r="BV24" s="1">
        <v>1324</v>
      </c>
      <c r="BW24" s="1">
        <v>377</v>
      </c>
      <c r="BX24" s="1">
        <v>208</v>
      </c>
      <c r="BY24" s="1">
        <v>775</v>
      </c>
      <c r="BZ24" s="1">
        <v>2428</v>
      </c>
      <c r="CA24" s="1">
        <v>1391</v>
      </c>
      <c r="CB24" s="1">
        <v>389</v>
      </c>
      <c r="CC24" s="1">
        <v>2625</v>
      </c>
      <c r="CD24" s="1">
        <v>626</v>
      </c>
      <c r="CE24" s="1">
        <v>1600</v>
      </c>
      <c r="CF24" s="1">
        <v>119</v>
      </c>
      <c r="CG24" s="1">
        <v>203</v>
      </c>
      <c r="CH24" s="1">
        <v>1832</v>
      </c>
      <c r="CI24" s="1">
        <v>1623</v>
      </c>
      <c r="CJ24" s="1">
        <v>687</v>
      </c>
      <c r="CK24" s="1">
        <v>2899</v>
      </c>
      <c r="CL24" s="1">
        <v>333</v>
      </c>
      <c r="CM24" s="1">
        <v>2393</v>
      </c>
      <c r="CN24" s="1">
        <v>546</v>
      </c>
      <c r="CO24" s="1">
        <v>423</v>
      </c>
      <c r="CP24" s="1">
        <v>683</v>
      </c>
      <c r="CQ24" s="1">
        <v>242</v>
      </c>
      <c r="CR24" s="1">
        <v>2738</v>
      </c>
      <c r="CS24" s="1">
        <v>1837</v>
      </c>
      <c r="CT24" s="1">
        <v>1341</v>
      </c>
      <c r="CU24" s="1">
        <v>109</v>
      </c>
      <c r="CV24" s="1">
        <v>1041</v>
      </c>
      <c r="CW24" s="1">
        <v>1586</v>
      </c>
      <c r="CX24" s="1">
        <v>311</v>
      </c>
      <c r="CY24" s="1">
        <v>155</v>
      </c>
      <c r="CZ24" s="1">
        <v>1164</v>
      </c>
      <c r="DA24" s="1">
        <v>1583</v>
      </c>
      <c r="DB24" s="1">
        <v>53</v>
      </c>
      <c r="DC24" s="1">
        <v>1220</v>
      </c>
      <c r="DD24" s="1">
        <v>2454</v>
      </c>
      <c r="DE24" s="1">
        <v>2244</v>
      </c>
      <c r="DF24" s="1">
        <v>2556</v>
      </c>
      <c r="DG24" s="1">
        <v>1559</v>
      </c>
      <c r="DH24" s="1">
        <v>1446</v>
      </c>
      <c r="DI24" s="1">
        <v>1446</v>
      </c>
      <c r="DJ24" s="1">
        <v>1341</v>
      </c>
      <c r="DK24" s="1">
        <v>1325</v>
      </c>
      <c r="DL24" s="1">
        <v>230</v>
      </c>
      <c r="DM24" s="1">
        <v>1224</v>
      </c>
      <c r="DN24" s="1">
        <v>1620</v>
      </c>
      <c r="DO24" s="1">
        <v>1506</v>
      </c>
      <c r="DP24" s="1">
        <v>1413</v>
      </c>
      <c r="DQ24" s="1">
        <v>1350</v>
      </c>
      <c r="DR24" s="1">
        <v>1289</v>
      </c>
      <c r="DS24" s="1">
        <v>1370</v>
      </c>
      <c r="DT24" s="1">
        <v>269</v>
      </c>
      <c r="DU24" s="1">
        <v>213</v>
      </c>
      <c r="DV24" s="1">
        <v>217</v>
      </c>
      <c r="DW24" s="1">
        <v>1374</v>
      </c>
      <c r="DX24" s="1">
        <v>2505</v>
      </c>
      <c r="DY24" s="1">
        <v>1274</v>
      </c>
      <c r="DZ24" s="1">
        <v>1477</v>
      </c>
      <c r="EA24" s="1">
        <v>1832</v>
      </c>
      <c r="EB24" s="1">
        <v>238</v>
      </c>
      <c r="EC24" s="1">
        <v>1711</v>
      </c>
      <c r="ED24" s="1">
        <v>2240</v>
      </c>
      <c r="EE24" s="1">
        <v>1660</v>
      </c>
      <c r="EF24" s="1">
        <v>1234</v>
      </c>
      <c r="EG24" s="1">
        <v>1098</v>
      </c>
      <c r="EH24" s="1">
        <v>1742</v>
      </c>
      <c r="EI24" s="1">
        <v>159</v>
      </c>
      <c r="EJ24" s="1">
        <v>459</v>
      </c>
      <c r="EK24" s="1">
        <v>744</v>
      </c>
      <c r="EL24" s="1">
        <v>874</v>
      </c>
      <c r="EM24" s="1">
        <v>2117</v>
      </c>
      <c r="EN24" s="1">
        <v>2646</v>
      </c>
      <c r="EO24" s="1">
        <v>2776</v>
      </c>
      <c r="EP24" s="1">
        <v>2988</v>
      </c>
      <c r="EQ24" s="1">
        <v>831</v>
      </c>
      <c r="ER24" s="1">
        <v>1015</v>
      </c>
      <c r="ES24" s="1">
        <v>951</v>
      </c>
      <c r="ET24" s="1">
        <v>2352</v>
      </c>
      <c r="EU24" s="1">
        <v>1987</v>
      </c>
      <c r="EV24" s="13">
        <v>1909</v>
      </c>
    </row>
    <row r="25" spans="1:152" x14ac:dyDescent="0.3">
      <c r="A25" s="22" t="s">
        <v>48</v>
      </c>
      <c r="B25" s="23">
        <v>2000</v>
      </c>
      <c r="D25" s="3" t="s">
        <v>23</v>
      </c>
      <c r="E25" s="1">
        <v>1614</v>
      </c>
      <c r="F25" s="1">
        <v>1512</v>
      </c>
      <c r="G25" s="1">
        <v>800</v>
      </c>
      <c r="H25" s="1">
        <v>776</v>
      </c>
      <c r="I25" s="1">
        <v>1703</v>
      </c>
      <c r="J25" s="1">
        <v>1407</v>
      </c>
      <c r="K25" s="1">
        <v>2044</v>
      </c>
      <c r="L25" s="1">
        <v>2291</v>
      </c>
      <c r="M25" s="1">
        <v>1451</v>
      </c>
      <c r="N25" s="1">
        <v>829</v>
      </c>
      <c r="O25" s="1">
        <v>973</v>
      </c>
      <c r="P25" s="1">
        <v>1657</v>
      </c>
      <c r="Q25" s="1">
        <v>644</v>
      </c>
      <c r="R25" s="1">
        <v>768</v>
      </c>
      <c r="S25" s="1">
        <v>1850</v>
      </c>
      <c r="T25" s="1">
        <v>2105</v>
      </c>
      <c r="U25" s="1">
        <v>1775</v>
      </c>
      <c r="V25" s="1">
        <v>1568</v>
      </c>
      <c r="W25" s="1">
        <v>2317</v>
      </c>
      <c r="X25" s="1">
        <v>824</v>
      </c>
      <c r="Y25" s="1">
        <v>1503</v>
      </c>
      <c r="Z25" s="1">
        <v>2169</v>
      </c>
      <c r="AA25" s="1">
        <v>1580</v>
      </c>
      <c r="AB25" s="1">
        <v>1981</v>
      </c>
      <c r="AC25" s="1">
        <v>777</v>
      </c>
      <c r="AD25" s="1">
        <v>1941</v>
      </c>
      <c r="AE25" s="1">
        <v>2036</v>
      </c>
      <c r="AF25" s="1">
        <v>1294</v>
      </c>
      <c r="AG25" s="1">
        <v>1066</v>
      </c>
      <c r="AH25" s="1">
        <v>2086</v>
      </c>
      <c r="AI25" s="1">
        <v>1654</v>
      </c>
      <c r="AJ25" s="1">
        <v>456</v>
      </c>
      <c r="AK25" s="1">
        <v>549</v>
      </c>
      <c r="AL25" s="1">
        <v>480</v>
      </c>
      <c r="AM25" s="1">
        <v>893</v>
      </c>
      <c r="AN25" s="1">
        <v>632</v>
      </c>
      <c r="AO25" s="1">
        <v>803</v>
      </c>
      <c r="AP25" s="1">
        <v>1658</v>
      </c>
      <c r="AQ25" s="1">
        <v>703</v>
      </c>
      <c r="AR25" s="1">
        <v>1858</v>
      </c>
      <c r="AS25" s="1">
        <v>1399</v>
      </c>
      <c r="AT25" s="1">
        <v>1665</v>
      </c>
      <c r="AU25" s="1">
        <v>1270</v>
      </c>
      <c r="AV25" s="1">
        <v>1068</v>
      </c>
      <c r="AW25" s="1">
        <v>794</v>
      </c>
      <c r="AX25" s="1">
        <v>1580</v>
      </c>
      <c r="AY25" s="1">
        <v>1697</v>
      </c>
      <c r="AZ25" s="1">
        <v>2264</v>
      </c>
      <c r="BA25" s="1">
        <v>1482</v>
      </c>
      <c r="BB25" s="1">
        <v>1834</v>
      </c>
      <c r="BC25" s="1">
        <v>191</v>
      </c>
      <c r="BD25" s="1">
        <v>2050</v>
      </c>
      <c r="BE25" s="1">
        <v>482</v>
      </c>
      <c r="BF25" s="1">
        <v>41</v>
      </c>
      <c r="BG25" s="1">
        <v>2306</v>
      </c>
      <c r="BH25" s="1">
        <v>2219</v>
      </c>
      <c r="BI25" s="1">
        <v>1483</v>
      </c>
      <c r="BJ25" s="1">
        <v>1584</v>
      </c>
      <c r="BK25" s="1">
        <v>2191</v>
      </c>
      <c r="BL25" s="1">
        <v>2019</v>
      </c>
      <c r="BM25" s="1">
        <v>1582</v>
      </c>
      <c r="BN25" s="1">
        <v>2017</v>
      </c>
      <c r="BO25" s="1">
        <v>1048</v>
      </c>
      <c r="BP25" s="1">
        <v>770</v>
      </c>
      <c r="BQ25" s="1">
        <v>275</v>
      </c>
      <c r="BR25" s="1">
        <v>1132</v>
      </c>
      <c r="BS25" s="1">
        <v>1056</v>
      </c>
      <c r="BT25" s="1">
        <v>1840</v>
      </c>
      <c r="BU25" s="1">
        <v>2212</v>
      </c>
      <c r="BV25" s="1">
        <v>926</v>
      </c>
      <c r="BW25" s="1">
        <v>1984</v>
      </c>
      <c r="BX25" s="1">
        <v>1980</v>
      </c>
      <c r="BY25" s="1">
        <v>1791</v>
      </c>
      <c r="BZ25" s="1">
        <v>2518</v>
      </c>
      <c r="CA25" s="1">
        <v>1794</v>
      </c>
      <c r="CB25" s="1">
        <v>2296</v>
      </c>
      <c r="CC25" s="1">
        <v>965</v>
      </c>
      <c r="CD25" s="1">
        <v>1618</v>
      </c>
      <c r="CE25" s="1">
        <v>322</v>
      </c>
      <c r="CF25" s="1">
        <v>1959</v>
      </c>
      <c r="CG25" s="1">
        <v>2110</v>
      </c>
      <c r="CH25" s="1">
        <v>808</v>
      </c>
      <c r="CI25" s="1">
        <v>1219</v>
      </c>
      <c r="CJ25" s="1">
        <v>1675</v>
      </c>
      <c r="CK25" s="1">
        <v>1119</v>
      </c>
      <c r="CL25" s="1">
        <v>1835</v>
      </c>
      <c r="CM25" s="1">
        <v>626</v>
      </c>
      <c r="CN25" s="1">
        <v>1765</v>
      </c>
      <c r="CO25" s="1">
        <v>1837</v>
      </c>
      <c r="CP25" s="1">
        <v>1705</v>
      </c>
      <c r="CQ25" s="1">
        <v>2150</v>
      </c>
      <c r="CR25" s="1">
        <v>905</v>
      </c>
      <c r="CS25" s="1">
        <v>369</v>
      </c>
      <c r="CT25" s="1">
        <v>958</v>
      </c>
      <c r="CU25" s="1">
        <v>1871</v>
      </c>
      <c r="CV25" s="1">
        <v>1586</v>
      </c>
      <c r="CW25" s="1">
        <v>1108</v>
      </c>
      <c r="CX25" s="1">
        <v>2209</v>
      </c>
      <c r="CY25" s="1">
        <v>1944</v>
      </c>
      <c r="CZ25" s="1">
        <v>1718</v>
      </c>
      <c r="DA25" s="1">
        <v>998</v>
      </c>
      <c r="DB25" s="1">
        <v>1936</v>
      </c>
      <c r="DC25" s="1">
        <v>1636</v>
      </c>
      <c r="DD25" s="1">
        <v>794</v>
      </c>
      <c r="DE25" s="1">
        <v>2334</v>
      </c>
      <c r="DF25" s="1">
        <v>833</v>
      </c>
      <c r="DG25" s="1">
        <v>565</v>
      </c>
      <c r="DH25" s="1">
        <v>956</v>
      </c>
      <c r="DI25" s="1">
        <v>956</v>
      </c>
      <c r="DJ25" s="1">
        <v>1231</v>
      </c>
      <c r="DK25" s="1">
        <v>1248</v>
      </c>
      <c r="DL25" s="1">
        <v>1753</v>
      </c>
      <c r="DM25" s="1">
        <v>1577</v>
      </c>
      <c r="DN25" s="1">
        <v>851</v>
      </c>
      <c r="DO25" s="1">
        <v>1574</v>
      </c>
      <c r="DP25" s="1">
        <v>1209</v>
      </c>
      <c r="DQ25" s="1">
        <v>880</v>
      </c>
      <c r="DR25" s="1">
        <v>1693</v>
      </c>
      <c r="DS25" s="1">
        <v>1230</v>
      </c>
      <c r="DT25" s="1">
        <v>1838</v>
      </c>
      <c r="DU25" s="1">
        <v>1916</v>
      </c>
      <c r="DV25" s="1">
        <v>1930</v>
      </c>
      <c r="DW25" s="1">
        <v>1607</v>
      </c>
      <c r="DX25" s="1">
        <v>731</v>
      </c>
      <c r="DY25" s="1">
        <v>1619</v>
      </c>
      <c r="DZ25" s="1">
        <v>896</v>
      </c>
      <c r="EA25" s="1">
        <v>774</v>
      </c>
      <c r="EB25" s="1">
        <v>2117</v>
      </c>
      <c r="EC25" s="1">
        <v>818</v>
      </c>
      <c r="ED25" s="1">
        <v>748</v>
      </c>
      <c r="EE25" s="1">
        <v>1750</v>
      </c>
      <c r="EF25" s="1">
        <v>1703</v>
      </c>
      <c r="EG25" s="1">
        <v>1735</v>
      </c>
      <c r="EH25" s="1">
        <v>601</v>
      </c>
      <c r="EI25" s="1">
        <v>1887</v>
      </c>
      <c r="EJ25" s="1">
        <v>2256</v>
      </c>
      <c r="EK25" s="1">
        <v>2651</v>
      </c>
      <c r="EL25" s="1">
        <v>1215</v>
      </c>
      <c r="EM25" s="1">
        <v>132</v>
      </c>
      <c r="EN25" s="1">
        <v>775</v>
      </c>
      <c r="EO25" s="1">
        <v>1002</v>
      </c>
      <c r="EP25" s="1">
        <v>1170</v>
      </c>
      <c r="EQ25" s="1">
        <v>1540</v>
      </c>
      <c r="ER25" s="1">
        <v>1280</v>
      </c>
      <c r="ES25" s="1">
        <v>1513</v>
      </c>
      <c r="ET25" s="1">
        <v>523</v>
      </c>
      <c r="EU25" s="1">
        <v>25</v>
      </c>
      <c r="EV25" s="13">
        <v>348</v>
      </c>
    </row>
    <row r="26" spans="1:152" ht="15" thickBot="1" x14ac:dyDescent="0.35">
      <c r="A26" s="22" t="s">
        <v>49</v>
      </c>
      <c r="B26" s="23">
        <v>11000</v>
      </c>
      <c r="D26" s="4" t="s">
        <v>14</v>
      </c>
      <c r="E26" s="27">
        <v>449</v>
      </c>
      <c r="F26" s="27">
        <v>1183</v>
      </c>
      <c r="G26" s="27">
        <v>1586</v>
      </c>
      <c r="H26" s="27">
        <v>1476</v>
      </c>
      <c r="I26" s="27">
        <v>378</v>
      </c>
      <c r="J26" s="27">
        <v>919</v>
      </c>
      <c r="K26" s="27">
        <v>34</v>
      </c>
      <c r="L26" s="27">
        <v>255</v>
      </c>
      <c r="M26" s="27">
        <v>1220</v>
      </c>
      <c r="N26" s="27">
        <v>1509</v>
      </c>
      <c r="O26" s="27">
        <v>1808</v>
      </c>
      <c r="P26" s="27">
        <v>1160</v>
      </c>
      <c r="Q26" s="27">
        <v>2391</v>
      </c>
      <c r="R26" s="27">
        <v>1710</v>
      </c>
      <c r="S26" s="27">
        <v>440</v>
      </c>
      <c r="T26" s="27">
        <v>2102</v>
      </c>
      <c r="U26" s="27">
        <v>982</v>
      </c>
      <c r="V26" s="27">
        <v>1421</v>
      </c>
      <c r="W26" s="27">
        <v>243</v>
      </c>
      <c r="X26" s="27">
        <v>2009</v>
      </c>
      <c r="Y26" s="27">
        <v>1523</v>
      </c>
      <c r="Z26" s="27">
        <v>216</v>
      </c>
      <c r="AA26" s="27">
        <v>1351</v>
      </c>
      <c r="AB26" s="27">
        <v>305</v>
      </c>
      <c r="AC26" s="27">
        <v>1916</v>
      </c>
      <c r="AD26" s="27">
        <v>532</v>
      </c>
      <c r="AE26" s="27">
        <v>2033</v>
      </c>
      <c r="AF26" s="27">
        <v>1608</v>
      </c>
      <c r="AG26" s="27">
        <v>2753</v>
      </c>
      <c r="AH26" s="27">
        <v>15</v>
      </c>
      <c r="AI26" s="27">
        <v>1270</v>
      </c>
      <c r="AJ26" s="27">
        <v>2428</v>
      </c>
      <c r="AK26" s="27">
        <v>2353</v>
      </c>
      <c r="AL26" s="27">
        <v>2397</v>
      </c>
      <c r="AM26" s="27">
        <v>2754</v>
      </c>
      <c r="AN26" s="27">
        <v>2604</v>
      </c>
      <c r="AO26" s="27">
        <v>1896</v>
      </c>
      <c r="AP26" s="27">
        <v>1368</v>
      </c>
      <c r="AQ26" s="27">
        <v>2248</v>
      </c>
      <c r="AR26" s="27">
        <v>234</v>
      </c>
      <c r="AS26" s="27">
        <v>1500</v>
      </c>
      <c r="AT26" s="27">
        <v>1096</v>
      </c>
      <c r="AU26" s="27">
        <v>1444</v>
      </c>
      <c r="AV26" s="27">
        <v>2929</v>
      </c>
      <c r="AW26" s="27">
        <v>2655</v>
      </c>
      <c r="AX26" s="27">
        <v>556</v>
      </c>
      <c r="AY26" s="27">
        <v>904</v>
      </c>
      <c r="AZ26" s="27">
        <v>228</v>
      </c>
      <c r="BA26" s="27">
        <v>1291</v>
      </c>
      <c r="BB26" s="27">
        <v>260</v>
      </c>
      <c r="BC26" s="27">
        <v>1840</v>
      </c>
      <c r="BD26" s="27">
        <v>197</v>
      </c>
      <c r="BE26" s="27">
        <v>1945</v>
      </c>
      <c r="BF26" s="27">
        <v>2070</v>
      </c>
      <c r="BG26" s="27">
        <v>231</v>
      </c>
      <c r="BH26" s="27">
        <v>2216</v>
      </c>
      <c r="BI26" s="27">
        <v>579</v>
      </c>
      <c r="BJ26" s="27">
        <v>1299</v>
      </c>
      <c r="BK26" s="27">
        <v>311</v>
      </c>
      <c r="BL26" s="27">
        <v>199</v>
      </c>
      <c r="BM26" s="27">
        <v>1080</v>
      </c>
      <c r="BN26" s="27">
        <v>243</v>
      </c>
      <c r="BO26" s="27">
        <v>1088</v>
      </c>
      <c r="BP26" s="27">
        <v>2102</v>
      </c>
      <c r="BQ26" s="27">
        <v>1802</v>
      </c>
      <c r="BR26" s="27">
        <v>1141</v>
      </c>
      <c r="BS26" s="27">
        <v>1066</v>
      </c>
      <c r="BT26" s="27">
        <v>518</v>
      </c>
      <c r="BU26" s="27">
        <v>175</v>
      </c>
      <c r="BV26" s="27">
        <v>1392</v>
      </c>
      <c r="BW26" s="27">
        <v>394</v>
      </c>
      <c r="BX26" s="27">
        <v>185</v>
      </c>
      <c r="BY26" s="27">
        <v>719</v>
      </c>
      <c r="BZ26" s="27">
        <v>2515</v>
      </c>
      <c r="CA26" s="27">
        <v>1459</v>
      </c>
      <c r="CB26" s="27">
        <v>238</v>
      </c>
      <c r="CC26" s="27">
        <v>2712</v>
      </c>
      <c r="CD26" s="27">
        <v>713</v>
      </c>
      <c r="CE26" s="27">
        <v>1687</v>
      </c>
      <c r="CF26" s="27">
        <v>117</v>
      </c>
      <c r="CG26" s="27">
        <v>74</v>
      </c>
      <c r="CH26" s="27">
        <v>1900</v>
      </c>
      <c r="CI26" s="27">
        <v>1710</v>
      </c>
      <c r="CJ26" s="27">
        <v>755</v>
      </c>
      <c r="CK26" s="27">
        <v>2986</v>
      </c>
      <c r="CL26" s="27">
        <v>401</v>
      </c>
      <c r="CM26" s="27">
        <v>2480</v>
      </c>
      <c r="CN26" s="27">
        <v>532</v>
      </c>
      <c r="CO26" s="27">
        <v>607</v>
      </c>
      <c r="CP26" s="27">
        <v>770</v>
      </c>
      <c r="CQ26" s="27">
        <v>113</v>
      </c>
      <c r="CR26" s="27">
        <v>2825</v>
      </c>
      <c r="CS26" s="27">
        <v>1924</v>
      </c>
      <c r="CT26" s="27">
        <v>1409</v>
      </c>
      <c r="CU26" s="27">
        <v>224</v>
      </c>
      <c r="CV26" s="27">
        <v>1110</v>
      </c>
      <c r="CW26" s="27">
        <v>1673</v>
      </c>
      <c r="CX26" s="27">
        <v>182</v>
      </c>
      <c r="CY26" s="27">
        <v>340</v>
      </c>
      <c r="CZ26" s="27">
        <v>1251</v>
      </c>
      <c r="DA26" s="27">
        <v>1652</v>
      </c>
      <c r="DB26" s="27">
        <v>198</v>
      </c>
      <c r="DC26" s="27">
        <v>1307</v>
      </c>
      <c r="DD26" s="27">
        <v>2541</v>
      </c>
      <c r="DE26" s="27">
        <v>2331</v>
      </c>
      <c r="DF26" s="27">
        <v>2643</v>
      </c>
      <c r="DG26" s="27">
        <v>1646</v>
      </c>
      <c r="DH26" s="27">
        <v>1515</v>
      </c>
      <c r="DI26" s="27">
        <v>1515</v>
      </c>
      <c r="DJ26" s="27">
        <v>1410</v>
      </c>
      <c r="DK26" s="27">
        <v>1394</v>
      </c>
      <c r="DL26" s="27">
        <v>302</v>
      </c>
      <c r="DM26" s="27">
        <v>1311</v>
      </c>
      <c r="DN26" s="27">
        <v>1688</v>
      </c>
      <c r="DO26" s="27">
        <v>1593</v>
      </c>
      <c r="DP26" s="27">
        <v>1500</v>
      </c>
      <c r="DQ26" s="27">
        <v>1437</v>
      </c>
      <c r="DR26" s="27">
        <v>1357</v>
      </c>
      <c r="DS26" s="27">
        <v>1457</v>
      </c>
      <c r="DT26" s="27">
        <v>326</v>
      </c>
      <c r="DU26" s="27">
        <v>230</v>
      </c>
      <c r="DV26" s="27">
        <v>415</v>
      </c>
      <c r="DW26" s="27">
        <v>1461</v>
      </c>
      <c r="DX26" s="27">
        <v>2592</v>
      </c>
      <c r="DY26" s="27">
        <v>1361</v>
      </c>
      <c r="DZ26" s="27">
        <v>1546</v>
      </c>
      <c r="EA26" s="27">
        <v>1900</v>
      </c>
      <c r="EB26" s="27">
        <v>117</v>
      </c>
      <c r="EC26" s="27">
        <v>1780</v>
      </c>
      <c r="ED26" s="27">
        <v>2308</v>
      </c>
      <c r="EE26" s="27">
        <v>1747</v>
      </c>
      <c r="EF26" s="27">
        <v>1321</v>
      </c>
      <c r="EG26" s="27">
        <v>1185</v>
      </c>
      <c r="EH26" s="27">
        <v>1810</v>
      </c>
      <c r="EI26" s="27">
        <v>199</v>
      </c>
      <c r="EJ26" s="27">
        <v>339</v>
      </c>
      <c r="EK26" s="27">
        <v>576</v>
      </c>
      <c r="EL26" s="27">
        <v>1011</v>
      </c>
      <c r="EM26" s="27">
        <v>2204</v>
      </c>
      <c r="EN26" s="27">
        <v>2733</v>
      </c>
      <c r="EO26" s="27">
        <v>2863</v>
      </c>
      <c r="EP26" s="27">
        <v>3075</v>
      </c>
      <c r="EQ26" s="27">
        <v>899</v>
      </c>
      <c r="ER26" s="27">
        <v>1084</v>
      </c>
      <c r="ES26" s="27">
        <v>1038</v>
      </c>
      <c r="ET26" s="27">
        <v>2439</v>
      </c>
      <c r="EU26" s="27">
        <v>2074</v>
      </c>
      <c r="EV26" s="14">
        <v>1996</v>
      </c>
    </row>
    <row r="27" spans="1:152" x14ac:dyDescent="0.3">
      <c r="A27" s="22" t="s">
        <v>50</v>
      </c>
      <c r="B27" s="23">
        <v>7000</v>
      </c>
    </row>
    <row r="28" spans="1:152" x14ac:dyDescent="0.3">
      <c r="A28" s="22" t="s">
        <v>51</v>
      </c>
      <c r="B28" s="23">
        <v>8000</v>
      </c>
    </row>
    <row r="29" spans="1:152" x14ac:dyDescent="0.3">
      <c r="A29" s="22" t="s">
        <v>52</v>
      </c>
      <c r="B29" s="23">
        <v>14000</v>
      </c>
      <c r="D29" s="26" t="s">
        <v>200</v>
      </c>
    </row>
    <row r="30" spans="1:152" x14ac:dyDescent="0.3">
      <c r="A30" s="22" t="s">
        <v>53</v>
      </c>
      <c r="B30" s="23">
        <v>12000</v>
      </c>
      <c r="D30" s="1" t="s">
        <v>201</v>
      </c>
      <c r="E30" s="1" t="s">
        <v>6</v>
      </c>
      <c r="F30" s="1" t="s">
        <v>15</v>
      </c>
      <c r="G30" s="1" t="s">
        <v>4</v>
      </c>
      <c r="H30" s="1" t="s">
        <v>20</v>
      </c>
      <c r="I30" s="1" t="s">
        <v>24</v>
      </c>
      <c r="J30" s="1" t="s">
        <v>21</v>
      </c>
      <c r="K30" s="1" t="s">
        <v>5</v>
      </c>
      <c r="L30" s="1" t="s">
        <v>161</v>
      </c>
      <c r="M30" s="1" t="s">
        <v>17</v>
      </c>
      <c r="N30" s="1" t="s">
        <v>29</v>
      </c>
      <c r="O30" s="1" t="s">
        <v>22</v>
      </c>
      <c r="P30" s="1" t="s">
        <v>7</v>
      </c>
      <c r="Q30" s="1" t="s">
        <v>162</v>
      </c>
      <c r="R30" s="1" t="s">
        <v>26</v>
      </c>
      <c r="S30" s="1" t="s">
        <v>19</v>
      </c>
      <c r="T30" s="1" t="s">
        <v>12</v>
      </c>
      <c r="U30" s="1" t="s">
        <v>27</v>
      </c>
      <c r="V30" s="1" t="s">
        <v>163</v>
      </c>
      <c r="W30" s="1" t="s">
        <v>8</v>
      </c>
      <c r="X30" s="1" t="s">
        <v>28</v>
      </c>
      <c r="Y30" s="1" t="s">
        <v>164</v>
      </c>
      <c r="Z30" s="1" t="s">
        <v>23</v>
      </c>
      <c r="AA30" s="1" t="s">
        <v>14</v>
      </c>
    </row>
    <row r="31" spans="1:152" x14ac:dyDescent="0.3">
      <c r="A31" s="22" t="s">
        <v>54</v>
      </c>
      <c r="B31" s="23">
        <v>8000</v>
      </c>
      <c r="D31" s="1" t="s">
        <v>4</v>
      </c>
      <c r="E31" s="7">
        <v>9.35</v>
      </c>
      <c r="F31" s="7">
        <v>5.8500000000000005</v>
      </c>
      <c r="G31" s="7">
        <v>5.85</v>
      </c>
      <c r="H31" s="7">
        <v>10.199999999999999</v>
      </c>
      <c r="I31" s="7">
        <v>10.199999999999999</v>
      </c>
      <c r="J31" s="7">
        <v>10.199999999999999</v>
      </c>
      <c r="K31" s="7">
        <v>10.199999999999999</v>
      </c>
      <c r="L31" s="7">
        <v>5.8500000000000005</v>
      </c>
      <c r="M31" s="7">
        <v>5.8500000000000005</v>
      </c>
      <c r="N31" s="7">
        <v>12.6</v>
      </c>
      <c r="O31" s="7">
        <v>10.199999999999999</v>
      </c>
      <c r="P31" s="7">
        <v>8.35</v>
      </c>
      <c r="Q31" s="7">
        <v>5.8500000000000005</v>
      </c>
      <c r="R31" s="7">
        <v>10.199999999999999</v>
      </c>
      <c r="S31" s="7">
        <v>5.8500000000000005</v>
      </c>
      <c r="T31" s="7">
        <v>5.8500000000000005</v>
      </c>
      <c r="U31" s="7">
        <v>10.199999999999999</v>
      </c>
      <c r="V31" s="7">
        <v>9.35</v>
      </c>
      <c r="W31" s="7">
        <v>10.199999999999999</v>
      </c>
      <c r="X31" s="7">
        <v>10.199999999999999</v>
      </c>
      <c r="Y31" s="7">
        <v>5.8500000000000005</v>
      </c>
      <c r="Z31" s="1">
        <v>12.7</v>
      </c>
      <c r="AA31" s="1">
        <v>5.8500000000000005</v>
      </c>
    </row>
    <row r="32" spans="1:152" x14ac:dyDescent="0.3">
      <c r="A32" s="22" t="s">
        <v>55</v>
      </c>
      <c r="B32" s="23">
        <v>13000</v>
      </c>
    </row>
    <row r="33" spans="1:152" ht="15" thickBot="1" x14ac:dyDescent="0.35">
      <c r="A33" s="22" t="s">
        <v>56</v>
      </c>
      <c r="B33" s="23">
        <v>15000</v>
      </c>
      <c r="D33" s="26" t="s">
        <v>202</v>
      </c>
    </row>
    <row r="34" spans="1:152" ht="15" thickBot="1" x14ac:dyDescent="0.35">
      <c r="A34" s="22" t="s">
        <v>57</v>
      </c>
      <c r="B34" s="23">
        <v>23000</v>
      </c>
      <c r="D34" s="6" t="s">
        <v>201</v>
      </c>
      <c r="E34" s="29" t="s">
        <v>30</v>
      </c>
      <c r="F34" s="29" t="s">
        <v>6</v>
      </c>
      <c r="G34" s="29" t="s">
        <v>31</v>
      </c>
      <c r="H34" s="29" t="s">
        <v>32</v>
      </c>
      <c r="I34" s="29" t="s">
        <v>33</v>
      </c>
      <c r="J34" s="29" t="s">
        <v>34</v>
      </c>
      <c r="K34" s="29" t="s">
        <v>15</v>
      </c>
      <c r="L34" s="29" t="s">
        <v>35</v>
      </c>
      <c r="M34" s="29" t="s">
        <v>36</v>
      </c>
      <c r="N34" s="29" t="s">
        <v>37</v>
      </c>
      <c r="O34" s="29" t="s">
        <v>38</v>
      </c>
      <c r="P34" s="29" t="s">
        <v>39</v>
      </c>
      <c r="Q34" s="29" t="s">
        <v>20</v>
      </c>
      <c r="R34" s="29" t="s">
        <v>40</v>
      </c>
      <c r="S34" s="29" t="s">
        <v>41</v>
      </c>
      <c r="T34" s="29" t="s">
        <v>42</v>
      </c>
      <c r="U34" s="29" t="s">
        <v>43</v>
      </c>
      <c r="V34" s="29" t="s">
        <v>44</v>
      </c>
      <c r="W34" s="29" t="s">
        <v>45</v>
      </c>
      <c r="X34" s="29" t="s">
        <v>46</v>
      </c>
      <c r="Y34" s="29" t="s">
        <v>47</v>
      </c>
      <c r="Z34" s="29" t="s">
        <v>48</v>
      </c>
      <c r="AA34" s="29" t="s">
        <v>49</v>
      </c>
      <c r="AB34" s="29" t="s">
        <v>50</v>
      </c>
      <c r="AC34" s="29" t="s">
        <v>51</v>
      </c>
      <c r="AD34" s="29" t="s">
        <v>52</v>
      </c>
      <c r="AE34" s="29" t="s">
        <v>53</v>
      </c>
      <c r="AF34" s="29" t="s">
        <v>54</v>
      </c>
      <c r="AG34" s="29" t="s">
        <v>55</v>
      </c>
      <c r="AH34" s="29" t="s">
        <v>56</v>
      </c>
      <c r="AI34" s="29" t="s">
        <v>57</v>
      </c>
      <c r="AJ34" s="29" t="s">
        <v>58</v>
      </c>
      <c r="AK34" s="29" t="s">
        <v>59</v>
      </c>
      <c r="AL34" s="29" t="s">
        <v>60</v>
      </c>
      <c r="AM34" s="29" t="s">
        <v>21</v>
      </c>
      <c r="AN34" s="29" t="s">
        <v>61</v>
      </c>
      <c r="AO34" s="29" t="s">
        <v>5</v>
      </c>
      <c r="AP34" s="29" t="s">
        <v>62</v>
      </c>
      <c r="AQ34" s="29" t="s">
        <v>63</v>
      </c>
      <c r="AR34" s="29" t="s">
        <v>16</v>
      </c>
      <c r="AS34" s="29" t="s">
        <v>64</v>
      </c>
      <c r="AT34" s="29" t="s">
        <v>65</v>
      </c>
      <c r="AU34" s="29" t="s">
        <v>66</v>
      </c>
      <c r="AV34" s="29" t="s">
        <v>67</v>
      </c>
      <c r="AW34" s="29" t="s">
        <v>68</v>
      </c>
      <c r="AX34" s="29" t="s">
        <v>69</v>
      </c>
      <c r="AY34" s="29" t="s">
        <v>70</v>
      </c>
      <c r="AZ34" s="29" t="s">
        <v>71</v>
      </c>
      <c r="BA34" s="29" t="s">
        <v>72</v>
      </c>
      <c r="BB34" s="29" t="s">
        <v>17</v>
      </c>
      <c r="BC34" s="29" t="s">
        <v>73</v>
      </c>
      <c r="BD34" s="29" t="s">
        <v>74</v>
      </c>
      <c r="BE34" s="29" t="s">
        <v>75</v>
      </c>
      <c r="BF34" s="29" t="s">
        <v>76</v>
      </c>
      <c r="BG34" s="29" t="s">
        <v>77</v>
      </c>
      <c r="BH34" s="29" t="s">
        <v>29</v>
      </c>
      <c r="BI34" s="29" t="s">
        <v>78</v>
      </c>
      <c r="BJ34" s="29" t="s">
        <v>79</v>
      </c>
      <c r="BK34" s="29" t="s">
        <v>80</v>
      </c>
      <c r="BL34" s="29" t="s">
        <v>81</v>
      </c>
      <c r="BM34" s="29" t="s">
        <v>82</v>
      </c>
      <c r="BN34" s="29" t="s">
        <v>83</v>
      </c>
      <c r="BO34" s="29" t="s">
        <v>84</v>
      </c>
      <c r="BP34" s="29" t="s">
        <v>85</v>
      </c>
      <c r="BQ34" s="29" t="s">
        <v>22</v>
      </c>
      <c r="BR34" s="29" t="s">
        <v>7</v>
      </c>
      <c r="BS34" s="29" t="s">
        <v>86</v>
      </c>
      <c r="BT34" s="29" t="s">
        <v>18</v>
      </c>
      <c r="BU34" s="29" t="s">
        <v>87</v>
      </c>
      <c r="BV34" s="29" t="s">
        <v>88</v>
      </c>
      <c r="BW34" s="29" t="s">
        <v>89</v>
      </c>
      <c r="BX34" s="29" t="s">
        <v>90</v>
      </c>
      <c r="BY34" s="29" t="s">
        <v>91</v>
      </c>
      <c r="BZ34" s="29" t="s">
        <v>92</v>
      </c>
      <c r="CA34" s="29" t="s">
        <v>93</v>
      </c>
      <c r="CB34" s="29" t="s">
        <v>94</v>
      </c>
      <c r="CC34" s="29" t="s">
        <v>95</v>
      </c>
      <c r="CD34" s="29" t="s">
        <v>96</v>
      </c>
      <c r="CE34" s="29" t="s">
        <v>97</v>
      </c>
      <c r="CF34" s="29" t="s">
        <v>98</v>
      </c>
      <c r="CG34" s="29" t="s">
        <v>99</v>
      </c>
      <c r="CH34" s="29" t="s">
        <v>100</v>
      </c>
      <c r="CI34" s="29" t="s">
        <v>26</v>
      </c>
      <c r="CJ34" s="29" t="s">
        <v>101</v>
      </c>
      <c r="CK34" s="29" t="s">
        <v>102</v>
      </c>
      <c r="CL34" s="29" t="s">
        <v>103</v>
      </c>
      <c r="CM34" s="29" t="s">
        <v>104</v>
      </c>
      <c r="CN34" s="29" t="s">
        <v>105</v>
      </c>
      <c r="CO34" s="29" t="s">
        <v>106</v>
      </c>
      <c r="CP34" s="29" t="s">
        <v>19</v>
      </c>
      <c r="CQ34" s="29" t="s">
        <v>107</v>
      </c>
      <c r="CR34" s="29" t="s">
        <v>108</v>
      </c>
      <c r="CS34" s="29" t="s">
        <v>109</v>
      </c>
      <c r="CT34" s="29" t="s">
        <v>110</v>
      </c>
      <c r="CU34" s="29" t="s">
        <v>111</v>
      </c>
      <c r="CV34" s="29" t="s">
        <v>112</v>
      </c>
      <c r="CW34" s="29" t="s">
        <v>113</v>
      </c>
      <c r="CX34" s="29" t="s">
        <v>114</v>
      </c>
      <c r="CY34" s="29" t="s">
        <v>115</v>
      </c>
      <c r="CZ34" s="29" t="s">
        <v>116</v>
      </c>
      <c r="DA34" s="29" t="s">
        <v>117</v>
      </c>
      <c r="DB34" s="29" t="s">
        <v>118</v>
      </c>
      <c r="DC34" s="29" t="s">
        <v>119</v>
      </c>
      <c r="DD34" s="29" t="s">
        <v>120</v>
      </c>
      <c r="DE34" s="29" t="s">
        <v>121</v>
      </c>
      <c r="DF34" s="29" t="s">
        <v>122</v>
      </c>
      <c r="DG34" s="29" t="s">
        <v>123</v>
      </c>
      <c r="DH34" s="29" t="s">
        <v>124</v>
      </c>
      <c r="DI34" s="29" t="s">
        <v>125</v>
      </c>
      <c r="DJ34" s="29" t="s">
        <v>126</v>
      </c>
      <c r="DK34" s="29" t="s">
        <v>127</v>
      </c>
      <c r="DL34" s="29" t="s">
        <v>128</v>
      </c>
      <c r="DM34" s="29" t="s">
        <v>27</v>
      </c>
      <c r="DN34" s="29" t="s">
        <v>25</v>
      </c>
      <c r="DO34" s="29" t="s">
        <v>129</v>
      </c>
      <c r="DP34" s="29" t="s">
        <v>130</v>
      </c>
      <c r="DQ34" s="29" t="s">
        <v>8</v>
      </c>
      <c r="DR34" s="29" t="s">
        <v>131</v>
      </c>
      <c r="DS34" s="29" t="s">
        <v>28</v>
      </c>
      <c r="DT34" s="29" t="s">
        <v>132</v>
      </c>
      <c r="DU34" s="29" t="s">
        <v>133</v>
      </c>
      <c r="DV34" s="29" t="s">
        <v>134</v>
      </c>
      <c r="DW34" s="29" t="s">
        <v>135</v>
      </c>
      <c r="DX34" s="29" t="s">
        <v>136</v>
      </c>
      <c r="DY34" s="29" t="s">
        <v>137</v>
      </c>
      <c r="DZ34" s="29" t="s">
        <v>138</v>
      </c>
      <c r="EA34" s="29" t="s">
        <v>139</v>
      </c>
      <c r="EB34" s="29" t="s">
        <v>140</v>
      </c>
      <c r="EC34" s="29" t="s">
        <v>141</v>
      </c>
      <c r="ED34" s="29" t="s">
        <v>142</v>
      </c>
      <c r="EE34" s="29" t="s">
        <v>143</v>
      </c>
      <c r="EF34" s="29" t="s">
        <v>144</v>
      </c>
      <c r="EG34" s="29" t="s">
        <v>145</v>
      </c>
      <c r="EH34" s="29" t="s">
        <v>146</v>
      </c>
      <c r="EI34" s="29" t="s">
        <v>147</v>
      </c>
      <c r="EJ34" s="29" t="s">
        <v>148</v>
      </c>
      <c r="EK34" s="29" t="s">
        <v>149</v>
      </c>
      <c r="EL34" s="29" t="s">
        <v>150</v>
      </c>
      <c r="EM34" s="29" t="s">
        <v>151</v>
      </c>
      <c r="EN34" s="29" t="s">
        <v>152</v>
      </c>
      <c r="EO34" s="29" t="s">
        <v>153</v>
      </c>
      <c r="EP34" s="29" t="s">
        <v>154</v>
      </c>
      <c r="EQ34" s="29" t="s">
        <v>155</v>
      </c>
      <c r="ER34" s="29" t="s">
        <v>156</v>
      </c>
      <c r="ES34" s="29" t="s">
        <v>157</v>
      </c>
      <c r="ET34" s="29" t="s">
        <v>158</v>
      </c>
      <c r="EU34" s="29" t="s">
        <v>23</v>
      </c>
      <c r="EV34" s="12" t="s">
        <v>159</v>
      </c>
    </row>
    <row r="35" spans="1:152" x14ac:dyDescent="0.3">
      <c r="A35" s="22" t="s">
        <v>58</v>
      </c>
      <c r="B35" s="23">
        <v>221000</v>
      </c>
      <c r="D35" s="5" t="s">
        <v>6</v>
      </c>
      <c r="E35" s="34">
        <v>8.3658571516169165</v>
      </c>
      <c r="F35" s="34">
        <v>8.2864473116644959</v>
      </c>
      <c r="G35" s="34">
        <v>5.8958828375407704</v>
      </c>
      <c r="H35" s="34">
        <v>12.253151864768729</v>
      </c>
      <c r="I35" s="34">
        <v>11.569752716828379</v>
      </c>
      <c r="J35" s="34">
        <v>8.3705169702981923</v>
      </c>
      <c r="K35" s="34">
        <v>9.1625706793030428</v>
      </c>
      <c r="L35" s="34">
        <v>9.978189430482912</v>
      </c>
      <c r="M35" s="34">
        <v>9.2948817868197509</v>
      </c>
      <c r="N35" s="34">
        <v>15.199056708210994</v>
      </c>
      <c r="O35" s="34">
        <v>42.591344157458508</v>
      </c>
      <c r="P35" s="34">
        <v>18.450764506874535</v>
      </c>
      <c r="Q35" s="34">
        <v>9.7317190381731038</v>
      </c>
      <c r="R35" s="34">
        <v>9.4767199304693381</v>
      </c>
      <c r="S35" s="34">
        <v>10.552925763328709</v>
      </c>
      <c r="T35" s="34">
        <v>32.261427675113509</v>
      </c>
      <c r="U35" s="34">
        <v>25.334351373013632</v>
      </c>
      <c r="V35" s="34">
        <v>25.549914174095566</v>
      </c>
      <c r="W35" s="34">
        <v>10.161540900532401</v>
      </c>
      <c r="X35" s="34">
        <v>17.181856277956271</v>
      </c>
      <c r="Y35" s="34">
        <v>18.781391805427958</v>
      </c>
      <c r="Z35" s="34">
        <v>32.521621686091528</v>
      </c>
      <c r="AA35" s="34">
        <v>8.1167250280289327</v>
      </c>
      <c r="AB35" s="34">
        <v>8.3721447040614017</v>
      </c>
      <c r="AC35" s="34">
        <v>11.591057361042955</v>
      </c>
      <c r="AD35" s="34">
        <v>11.383464397980436</v>
      </c>
      <c r="AE35" s="34">
        <v>27.780827310899102</v>
      </c>
      <c r="AF35" s="34">
        <v>21.502861203328138</v>
      </c>
      <c r="AG35" s="34">
        <v>21.031746245917653</v>
      </c>
      <c r="AH35" s="34">
        <v>11.978761491281452</v>
      </c>
      <c r="AI35" s="34">
        <v>27.837976511310071</v>
      </c>
      <c r="AJ35" s="34">
        <v>11.638761789538977</v>
      </c>
      <c r="AK35" s="34">
        <v>19.196685450313186</v>
      </c>
      <c r="AL35" s="34">
        <v>15.154915824811519</v>
      </c>
      <c r="AM35" s="34">
        <v>10.937367295481129</v>
      </c>
      <c r="AN35" s="34">
        <v>17.405423571620556</v>
      </c>
      <c r="AO35" s="34">
        <v>22.606467940135122</v>
      </c>
      <c r="AP35" s="34">
        <v>31.462140429973196</v>
      </c>
      <c r="AQ35" s="34">
        <v>11.660750367394099</v>
      </c>
      <c r="AR35" s="34">
        <v>8.4701798200685481</v>
      </c>
      <c r="AS35" s="34">
        <v>45.684349282296594</v>
      </c>
      <c r="AT35" s="34">
        <v>16.890740604589492</v>
      </c>
      <c r="AU35" s="34">
        <v>17.206544296115545</v>
      </c>
      <c r="AV35" s="34">
        <v>28.337877264692139</v>
      </c>
      <c r="AW35" s="34">
        <v>18.368557371394616</v>
      </c>
      <c r="AX35" s="34">
        <v>20.896416696736395</v>
      </c>
      <c r="AY35" s="34">
        <v>13.549542054919183</v>
      </c>
      <c r="AZ35" s="34">
        <v>9.0833847072683263</v>
      </c>
      <c r="BA35" s="34">
        <v>13.920199533985691</v>
      </c>
      <c r="BB35" s="34">
        <v>10.255480092431304</v>
      </c>
      <c r="BC35" s="34">
        <v>12.866608314620263</v>
      </c>
      <c r="BD35" s="34">
        <v>11.295078551452141</v>
      </c>
      <c r="BE35" s="34">
        <v>31.520768507944087</v>
      </c>
      <c r="BF35" s="34">
        <v>14.226238231899179</v>
      </c>
      <c r="BG35" s="34">
        <v>14.540217394744662</v>
      </c>
      <c r="BH35" s="34">
        <v>17.017805922634132</v>
      </c>
      <c r="BI35" s="34">
        <v>15.263242006532362</v>
      </c>
      <c r="BJ35" s="34">
        <v>19.335793908837744</v>
      </c>
      <c r="BK35" s="34">
        <v>38.963567356045864</v>
      </c>
      <c r="BL35" s="34">
        <v>9.3952245054862971</v>
      </c>
      <c r="BM35" s="34">
        <v>16.635942097788273</v>
      </c>
      <c r="BN35" s="34">
        <v>13.974496974697432</v>
      </c>
      <c r="BO35" s="34">
        <v>71.150698772237234</v>
      </c>
      <c r="BP35" s="34">
        <v>9.4316073050547669</v>
      </c>
      <c r="BQ35" s="34">
        <v>9.8744960522475314</v>
      </c>
      <c r="BR35" s="34">
        <v>11.745661851942595</v>
      </c>
      <c r="BS35" s="34">
        <v>10.457676904873127</v>
      </c>
      <c r="BT35" s="34">
        <v>8.7536787846627888</v>
      </c>
      <c r="BU35" s="34">
        <v>9.2794493945796699</v>
      </c>
      <c r="BV35" s="34">
        <v>11.207041129411913</v>
      </c>
      <c r="BW35" s="34">
        <v>12.107368780969395</v>
      </c>
      <c r="BX35" s="34">
        <v>8.4272407267053548</v>
      </c>
      <c r="BY35" s="34">
        <v>8.3317110082936079</v>
      </c>
      <c r="BZ35" s="34">
        <v>20.765854962133492</v>
      </c>
      <c r="CA35" s="34">
        <v>15.696039357205237</v>
      </c>
      <c r="CB35" s="34">
        <v>38.123123445687071</v>
      </c>
      <c r="CC35" s="34">
        <v>47.676407473334088</v>
      </c>
      <c r="CD35" s="34">
        <v>8.5414278153475642</v>
      </c>
      <c r="CE35" s="34">
        <v>14.307447195772166</v>
      </c>
      <c r="CF35" s="34">
        <v>12.863716236905862</v>
      </c>
      <c r="CG35" s="34">
        <v>11.349240540771552</v>
      </c>
      <c r="CH35" s="34">
        <v>9.8802492993772102</v>
      </c>
      <c r="CI35" s="34">
        <v>21.314704171077651</v>
      </c>
      <c r="CJ35" s="34">
        <v>8.2823402715471097</v>
      </c>
      <c r="CK35" s="34">
        <v>25.208294781341991</v>
      </c>
      <c r="CL35" s="34">
        <v>15.68421114853048</v>
      </c>
      <c r="CM35" s="34">
        <v>14.676774220980079</v>
      </c>
      <c r="CN35" s="34">
        <v>14.835069811096883</v>
      </c>
      <c r="CO35" s="34">
        <v>39.642104825656865</v>
      </c>
      <c r="CP35" s="34">
        <v>9.3259066331977198</v>
      </c>
      <c r="CQ35" s="34">
        <v>9.3267961807484863</v>
      </c>
      <c r="CR35" s="34">
        <v>14.037250346411476</v>
      </c>
      <c r="CS35" s="34">
        <v>15.68525395599406</v>
      </c>
      <c r="CT35" s="34">
        <v>-5.2121638154974361</v>
      </c>
      <c r="CU35" s="34">
        <v>8.354381403729974</v>
      </c>
      <c r="CV35" s="34">
        <v>12.218537925588052</v>
      </c>
      <c r="CW35" s="34">
        <v>29.968693502812535</v>
      </c>
      <c r="CX35" s="34">
        <v>13.21083308395675</v>
      </c>
      <c r="CY35" s="34">
        <v>8.7865858501996534</v>
      </c>
      <c r="CZ35" s="34">
        <v>28.031746437343749</v>
      </c>
      <c r="DA35" s="34">
        <v>5.8667022563562119</v>
      </c>
      <c r="DB35" s="34">
        <v>10.978925111834032</v>
      </c>
      <c r="DC35" s="34">
        <v>13.096740465844499</v>
      </c>
      <c r="DD35" s="34">
        <v>13.495624413987301</v>
      </c>
      <c r="DE35" s="34">
        <v>12.700452240560704</v>
      </c>
      <c r="DF35" s="34">
        <v>11.826051985031974</v>
      </c>
      <c r="DG35" s="34">
        <v>16.064965983979508</v>
      </c>
      <c r="DH35" s="34">
        <v>8.4861068242768631</v>
      </c>
      <c r="DI35" s="34">
        <v>8.1616712422648021</v>
      </c>
      <c r="DJ35" s="34">
        <v>17.864022756627932</v>
      </c>
      <c r="DK35" s="34">
        <v>8.1616712422648021</v>
      </c>
      <c r="DL35" s="34">
        <v>8.4295039815735393</v>
      </c>
      <c r="DM35" s="34">
        <v>12.130032896833733</v>
      </c>
      <c r="DN35" s="34">
        <v>9.4285603532739533</v>
      </c>
      <c r="DO35" s="34">
        <v>29.00251651656006</v>
      </c>
      <c r="DP35" s="34">
        <v>73.48312437393372</v>
      </c>
      <c r="DQ35" s="34">
        <v>33.362654197602403</v>
      </c>
      <c r="DR35" s="34">
        <v>8.0520375708467498</v>
      </c>
      <c r="DS35" s="34">
        <v>20.5707038364704</v>
      </c>
      <c r="DT35" s="34">
        <v>14.945434565200628</v>
      </c>
      <c r="DU35" s="34">
        <v>8.2919197900671993</v>
      </c>
      <c r="DV35" s="34">
        <v>12.384348441811438</v>
      </c>
      <c r="DW35" s="34">
        <v>34.94291687469866</v>
      </c>
      <c r="DX35" s="34">
        <v>44.841043804515067</v>
      </c>
      <c r="DY35" s="34">
        <v>20.028240696253086</v>
      </c>
      <c r="DZ35" s="34">
        <v>12.825795276303632</v>
      </c>
      <c r="EA35" s="34">
        <v>13.807151663037921</v>
      </c>
      <c r="EB35" s="34">
        <v>13.254295326999218</v>
      </c>
      <c r="EC35" s="34">
        <v>15.143607980375926</v>
      </c>
      <c r="ED35" s="34">
        <v>9.2498432567223929</v>
      </c>
      <c r="EE35" s="34">
        <v>29.374277335797977</v>
      </c>
      <c r="EF35" s="34">
        <v>23.353687520894635</v>
      </c>
      <c r="EG35" s="34">
        <v>22.574056250575421</v>
      </c>
      <c r="EH35" s="34">
        <v>15.543705050240535</v>
      </c>
      <c r="EI35" s="34">
        <v>17.08742256801871</v>
      </c>
      <c r="EJ35" s="34">
        <v>21.623475100110163</v>
      </c>
      <c r="EK35" s="34">
        <v>10.155777706449031</v>
      </c>
      <c r="EL35" s="34">
        <v>15.656182182219821</v>
      </c>
      <c r="EM35" s="34">
        <v>13.80814395089239</v>
      </c>
      <c r="EN35" s="34">
        <v>12.529347377083457</v>
      </c>
      <c r="EO35" s="34">
        <v>19.445161981432971</v>
      </c>
      <c r="EP35" s="34">
        <v>14.82309060515308</v>
      </c>
      <c r="EQ35" s="34">
        <v>14.060840288192837</v>
      </c>
      <c r="ER35" s="34">
        <v>21.016302547482919</v>
      </c>
      <c r="ES35" s="34">
        <v>10.795368705553999</v>
      </c>
      <c r="ET35" s="34">
        <v>9.3497439567021683</v>
      </c>
      <c r="EU35" s="34">
        <v>16.917099092573125</v>
      </c>
      <c r="EV35" s="35">
        <v>14.612951853683562</v>
      </c>
    </row>
    <row r="36" spans="1:152" x14ac:dyDescent="0.3">
      <c r="A36" s="22" t="s">
        <v>59</v>
      </c>
      <c r="B36" s="23">
        <v>13000</v>
      </c>
      <c r="D36" s="3" t="s">
        <v>15</v>
      </c>
      <c r="E36" s="2">
        <v>5.8658571516169156</v>
      </c>
      <c r="F36" s="2">
        <v>10.786447311664485</v>
      </c>
      <c r="G36" s="2">
        <v>9.3958828375407695</v>
      </c>
      <c r="H36" s="2">
        <v>15.753151864768723</v>
      </c>
      <c r="I36" s="2">
        <v>9.0697527168283774</v>
      </c>
      <c r="J36" s="2">
        <v>5.8705169702981888</v>
      </c>
      <c r="K36" s="2">
        <v>6.6625706793030446</v>
      </c>
      <c r="L36" s="2">
        <v>6.4781894304829173</v>
      </c>
      <c r="M36" s="2">
        <v>11.794881786819753</v>
      </c>
      <c r="N36" s="2">
        <v>18.699056708211003</v>
      </c>
      <c r="O36" s="2">
        <v>42.591344157458508</v>
      </c>
      <c r="P36" s="2">
        <v>15.950764506874535</v>
      </c>
      <c r="Q36" s="2">
        <v>9.7317190381731038</v>
      </c>
      <c r="R36" s="2">
        <v>12.976719930469331</v>
      </c>
      <c r="S36" s="2">
        <v>8.052925763328707</v>
      </c>
      <c r="T36" s="2">
        <v>32.261427675113509</v>
      </c>
      <c r="U36" s="2">
        <v>22.834351373013625</v>
      </c>
      <c r="V36" s="2">
        <v>25.549914174095566</v>
      </c>
      <c r="W36" s="2">
        <v>10.161540900532401</v>
      </c>
      <c r="X36" s="2">
        <v>17.181856277956271</v>
      </c>
      <c r="Y36" s="2">
        <v>18.781391805427958</v>
      </c>
      <c r="Z36" s="2">
        <v>29.021621686091517</v>
      </c>
      <c r="AA36" s="2">
        <v>10.616725028028933</v>
      </c>
      <c r="AB36" s="2">
        <v>5.8721447040613999</v>
      </c>
      <c r="AC36" s="2">
        <v>11.591057361042955</v>
      </c>
      <c r="AD36" s="2">
        <v>8.8834643979804362</v>
      </c>
      <c r="AE36" s="2">
        <v>27.780827310899102</v>
      </c>
      <c r="AF36" s="2">
        <v>21.502861203328138</v>
      </c>
      <c r="AG36" s="2">
        <v>21.031746245917653</v>
      </c>
      <c r="AH36" s="2">
        <v>8.4787614912814568</v>
      </c>
      <c r="AI36" s="2">
        <v>27.837976511310071</v>
      </c>
      <c r="AJ36" s="2">
        <v>11.638761789538977</v>
      </c>
      <c r="AK36" s="2">
        <v>19.196685450313186</v>
      </c>
      <c r="AL36" s="2">
        <v>15.154915824811519</v>
      </c>
      <c r="AM36" s="2">
        <v>10.937367295481129</v>
      </c>
      <c r="AN36" s="2">
        <v>17.405423571620556</v>
      </c>
      <c r="AO36" s="2">
        <v>22.606467940135122</v>
      </c>
      <c r="AP36" s="2">
        <v>31.462140429973196</v>
      </c>
      <c r="AQ36" s="2">
        <v>11.660750367394099</v>
      </c>
      <c r="AR36" s="2">
        <v>5.9701798200685481</v>
      </c>
      <c r="AS36" s="2">
        <v>45.684349282296594</v>
      </c>
      <c r="AT36" s="2">
        <v>14.390740604589487</v>
      </c>
      <c r="AU36" s="2">
        <v>17.206544296115545</v>
      </c>
      <c r="AV36" s="2">
        <v>28.337877264692139</v>
      </c>
      <c r="AW36" s="2">
        <v>18.368557371394616</v>
      </c>
      <c r="AX36" s="2">
        <v>18.396416696736399</v>
      </c>
      <c r="AY36" s="2">
        <v>11.049542054919183</v>
      </c>
      <c r="AZ36" s="2">
        <v>5.5833847072683263</v>
      </c>
      <c r="BA36" s="2">
        <v>13.977177373611738</v>
      </c>
      <c r="BB36" s="2">
        <v>7.7554800924313056</v>
      </c>
      <c r="BC36" s="2">
        <v>12.866608314620263</v>
      </c>
      <c r="BD36" s="2">
        <v>8.7950785514521428</v>
      </c>
      <c r="BE36" s="2">
        <v>31.520768507944087</v>
      </c>
      <c r="BF36" s="2">
        <v>14.226238231899179</v>
      </c>
      <c r="BG36" s="2">
        <v>11.040217394744666</v>
      </c>
      <c r="BH36" s="2">
        <v>17.017805922634132</v>
      </c>
      <c r="BI36" s="2">
        <v>15.263242006532362</v>
      </c>
      <c r="BJ36" s="2">
        <v>19.335793908837744</v>
      </c>
      <c r="BK36" s="2">
        <v>36.463567356045878</v>
      </c>
      <c r="BL36" s="2">
        <v>5.8952245054862926</v>
      </c>
      <c r="BM36" s="2">
        <v>19.135942097788277</v>
      </c>
      <c r="BN36" s="2">
        <v>11.474496974697427</v>
      </c>
      <c r="BO36" s="2">
        <v>71.150698772237234</v>
      </c>
      <c r="BP36" s="2">
        <v>9.4316073050547669</v>
      </c>
      <c r="BQ36" s="2">
        <v>9.8744960522475314</v>
      </c>
      <c r="BR36" s="2">
        <v>11.745661851942595</v>
      </c>
      <c r="BS36" s="2">
        <v>10.457676904873127</v>
      </c>
      <c r="BT36" s="2">
        <v>6.2536787846627906</v>
      </c>
      <c r="BU36" s="2">
        <v>5.7794493945796646</v>
      </c>
      <c r="BV36" s="2">
        <v>14.707041129411918</v>
      </c>
      <c r="BW36" s="2">
        <v>9.6073687809693897</v>
      </c>
      <c r="BX36" s="2">
        <v>5.927240726705354</v>
      </c>
      <c r="BY36" s="2">
        <v>5.8317110082936132</v>
      </c>
      <c r="BZ36" s="2">
        <v>20.765854962133492</v>
      </c>
      <c r="CA36" s="2">
        <v>18.196039357205226</v>
      </c>
      <c r="CB36" s="2">
        <v>34.623123445687071</v>
      </c>
      <c r="CC36" s="2">
        <v>47.676407473334088</v>
      </c>
      <c r="CD36" s="2">
        <v>6.0414278153475642</v>
      </c>
      <c r="CE36" s="2">
        <v>14.307447195772166</v>
      </c>
      <c r="CF36" s="2">
        <v>10.36311170670324</v>
      </c>
      <c r="CG36" s="2">
        <v>7.8492405407715484</v>
      </c>
      <c r="CH36" s="2">
        <v>13.380249299377207</v>
      </c>
      <c r="CI36" s="2">
        <v>21.314704171077651</v>
      </c>
      <c r="CJ36" s="2">
        <v>5.7823402715471124</v>
      </c>
      <c r="CK36" s="2">
        <v>25.208294781341991</v>
      </c>
      <c r="CL36" s="2">
        <v>13.184211148530482</v>
      </c>
      <c r="CM36" s="2">
        <v>14.676774220980079</v>
      </c>
      <c r="CN36" s="2">
        <v>12.335069811096881</v>
      </c>
      <c r="CO36" s="2">
        <v>39.642104825656865</v>
      </c>
      <c r="CP36" s="2">
        <v>6.8259066331977163</v>
      </c>
      <c r="CQ36" s="2">
        <v>5.826796180748488</v>
      </c>
      <c r="CR36" s="2">
        <v>14.037250346411476</v>
      </c>
      <c r="CS36" s="2">
        <v>15.68525395599406</v>
      </c>
      <c r="CT36" s="2">
        <v>-1.7121638154974368</v>
      </c>
      <c r="CU36" s="2">
        <v>5.8543814037299731</v>
      </c>
      <c r="CV36" s="2">
        <v>14.718537925588024</v>
      </c>
      <c r="CW36" s="2">
        <v>29.968693502812535</v>
      </c>
      <c r="CX36" s="2">
        <v>9.7108330839567536</v>
      </c>
      <c r="CY36" s="2">
        <v>6.2865858501996561</v>
      </c>
      <c r="CZ36" s="2">
        <v>28.031746437343749</v>
      </c>
      <c r="DA36" s="2">
        <v>9.3667022563562021</v>
      </c>
      <c r="DB36" s="2">
        <v>8.4789251118340321</v>
      </c>
      <c r="DC36" s="2">
        <v>13.096740465844499</v>
      </c>
      <c r="DD36" s="2">
        <v>13.495624413987301</v>
      </c>
      <c r="DE36" s="2">
        <v>12.700452240560704</v>
      </c>
      <c r="DF36" s="2">
        <v>11.826051985031974</v>
      </c>
      <c r="DG36" s="2">
        <v>19.564965983979501</v>
      </c>
      <c r="DH36" s="2">
        <v>11.986106824276867</v>
      </c>
      <c r="DI36" s="2">
        <v>11.661671242264802</v>
      </c>
      <c r="DJ36" s="2">
        <v>20.364022756627929</v>
      </c>
      <c r="DK36" s="2">
        <v>5.6616712422648021</v>
      </c>
      <c r="DL36" s="2">
        <v>5.9295039815735384</v>
      </c>
      <c r="DM36" s="2">
        <v>12.130032896833733</v>
      </c>
      <c r="DN36" s="2">
        <v>12.928560353273953</v>
      </c>
      <c r="DO36" s="2">
        <v>29.00251651656006</v>
      </c>
      <c r="DP36" s="2">
        <v>73.48312437393372</v>
      </c>
      <c r="DQ36" s="2">
        <v>33.362654197602403</v>
      </c>
      <c r="DR36" s="2">
        <v>10.55203757084675</v>
      </c>
      <c r="DS36" s="2">
        <v>20.5707038364704</v>
      </c>
      <c r="DT36" s="2">
        <v>12.445434565200632</v>
      </c>
      <c r="DU36" s="2">
        <v>5.7919197900671966</v>
      </c>
      <c r="DV36" s="2">
        <v>8.8843484418114418</v>
      </c>
      <c r="DW36" s="2">
        <v>34.94291687469866</v>
      </c>
      <c r="DX36" s="2">
        <v>44.841043804515067</v>
      </c>
      <c r="DY36" s="2">
        <v>20.028240696253086</v>
      </c>
      <c r="DZ36" s="2">
        <v>16.325795276303626</v>
      </c>
      <c r="EA36" s="2">
        <v>17.307151663037921</v>
      </c>
      <c r="EB36" s="2">
        <v>9.7542953269992196</v>
      </c>
      <c r="EC36" s="2">
        <v>18.643607980375929</v>
      </c>
      <c r="ED36" s="2">
        <v>9.2498432567223929</v>
      </c>
      <c r="EE36" s="2">
        <v>29.374277335797977</v>
      </c>
      <c r="EF36" s="2">
        <v>23.353687520894635</v>
      </c>
      <c r="EG36" s="2">
        <v>22.574056250575421</v>
      </c>
      <c r="EH36" s="2">
        <v>19.043705050240533</v>
      </c>
      <c r="EI36" s="2">
        <v>14.587422568018711</v>
      </c>
      <c r="EJ36" s="2">
        <v>19.123475100110163</v>
      </c>
      <c r="EK36" s="2">
        <v>6.6557777064490313</v>
      </c>
      <c r="EL36" s="2">
        <v>15.656182182219821</v>
      </c>
      <c r="EM36" s="2">
        <v>13.80814395089239</v>
      </c>
      <c r="EN36" s="2">
        <v>12.529347377083457</v>
      </c>
      <c r="EO36" s="2">
        <v>19.445161981432971</v>
      </c>
      <c r="EP36" s="2">
        <v>14.82309060515308</v>
      </c>
      <c r="EQ36" s="2">
        <v>11.560840288192834</v>
      </c>
      <c r="ER36" s="2">
        <v>21.016302547482919</v>
      </c>
      <c r="ES36" s="2">
        <v>8.2953687055539884</v>
      </c>
      <c r="ET36" s="2">
        <v>9.3497439567021683</v>
      </c>
      <c r="EU36" s="2">
        <v>16.947112602374144</v>
      </c>
      <c r="EV36" s="31">
        <v>14.612951853683562</v>
      </c>
    </row>
    <row r="37" spans="1:152" x14ac:dyDescent="0.3">
      <c r="A37" s="22" t="s">
        <v>60</v>
      </c>
      <c r="B37" s="23">
        <v>17000</v>
      </c>
      <c r="D37" s="3" t="s">
        <v>4</v>
      </c>
      <c r="E37" s="2">
        <v>5.8658571516169156</v>
      </c>
      <c r="F37" s="2">
        <v>11.786447311664487</v>
      </c>
      <c r="G37" s="2">
        <v>9.3958828375407695</v>
      </c>
      <c r="H37" s="2">
        <v>15.753151864768723</v>
      </c>
      <c r="I37" s="2">
        <v>9.0697527168283774</v>
      </c>
      <c r="J37" s="2">
        <v>5.8705169702981888</v>
      </c>
      <c r="K37" s="2">
        <v>6.6625706793030446</v>
      </c>
      <c r="L37" s="2">
        <v>6.4781894304829173</v>
      </c>
      <c r="M37" s="2">
        <v>12.794881786819753</v>
      </c>
      <c r="N37" s="2">
        <v>18.699056708211003</v>
      </c>
      <c r="O37" s="2">
        <v>42.591344157458508</v>
      </c>
      <c r="P37" s="2">
        <v>15.950764506874535</v>
      </c>
      <c r="Q37" s="2">
        <v>10.581719038173103</v>
      </c>
      <c r="R37" s="2">
        <v>12.976719930469331</v>
      </c>
      <c r="S37" s="2">
        <v>8.052925763328707</v>
      </c>
      <c r="T37" s="2">
        <v>32.261427675113509</v>
      </c>
      <c r="U37" s="2">
        <v>22.834351373013625</v>
      </c>
      <c r="V37" s="2">
        <v>25.549914174095566</v>
      </c>
      <c r="W37" s="2">
        <v>10.161540900532401</v>
      </c>
      <c r="X37" s="2">
        <v>18.031856277956276</v>
      </c>
      <c r="Y37" s="2">
        <v>18.781391805427958</v>
      </c>
      <c r="Z37" s="2">
        <v>29.021621686091517</v>
      </c>
      <c r="AA37" s="2">
        <v>11.616725028028931</v>
      </c>
      <c r="AB37" s="2">
        <v>5.8721447040613999</v>
      </c>
      <c r="AC37" s="2">
        <v>11.591057361042955</v>
      </c>
      <c r="AD37" s="2">
        <v>8.8834643979804362</v>
      </c>
      <c r="AE37" s="2">
        <v>27.780827310899102</v>
      </c>
      <c r="AF37" s="2">
        <v>21.502861203328138</v>
      </c>
      <c r="AG37" s="2">
        <v>21.031746245917653</v>
      </c>
      <c r="AH37" s="2">
        <v>8.4787614912814568</v>
      </c>
      <c r="AI37" s="2">
        <v>27.837976511310071</v>
      </c>
      <c r="AJ37" s="2">
        <v>12.488761789538971</v>
      </c>
      <c r="AK37" s="2">
        <v>20.046685450313184</v>
      </c>
      <c r="AL37" s="2">
        <v>16.004915824811519</v>
      </c>
      <c r="AM37" s="2">
        <v>11.787367295481127</v>
      </c>
      <c r="AN37" s="2">
        <v>18.255423571620561</v>
      </c>
      <c r="AO37" s="2">
        <v>22.606467940135122</v>
      </c>
      <c r="AP37" s="2">
        <v>31.462140429973196</v>
      </c>
      <c r="AQ37" s="2">
        <v>12.510750367394103</v>
      </c>
      <c r="AR37" s="2">
        <v>5.9701798200685481</v>
      </c>
      <c r="AS37" s="2">
        <v>45.684349282296594</v>
      </c>
      <c r="AT37" s="2">
        <v>14.390740604589487</v>
      </c>
      <c r="AU37" s="2">
        <v>17.206544296115545</v>
      </c>
      <c r="AV37" s="2">
        <v>28.337877264692139</v>
      </c>
      <c r="AW37" s="2">
        <v>19.218557371394628</v>
      </c>
      <c r="AX37" s="2">
        <v>18.396416696736399</v>
      </c>
      <c r="AY37" s="2">
        <v>11.049542054919183</v>
      </c>
      <c r="AZ37" s="2">
        <v>5.5833847072683263</v>
      </c>
      <c r="BA37" s="2">
        <v>13.977177373611738</v>
      </c>
      <c r="BB37" s="2">
        <v>7.7554800924313056</v>
      </c>
      <c r="BC37" s="2">
        <v>13.716608314620265</v>
      </c>
      <c r="BD37" s="2">
        <v>8.7950785514521428</v>
      </c>
      <c r="BE37" s="2">
        <v>32.370768507944078</v>
      </c>
      <c r="BF37" s="2">
        <v>15.076238231899184</v>
      </c>
      <c r="BG37" s="2">
        <v>11.040217394744666</v>
      </c>
      <c r="BH37" s="2">
        <v>17.017805922634132</v>
      </c>
      <c r="BI37" s="2">
        <v>15.263242006532362</v>
      </c>
      <c r="BJ37" s="2">
        <v>19.335793908837744</v>
      </c>
      <c r="BK37" s="2">
        <v>36.463567356045878</v>
      </c>
      <c r="BL37" s="2">
        <v>5.8952245054862926</v>
      </c>
      <c r="BM37" s="2">
        <v>20.135942097788256</v>
      </c>
      <c r="BN37" s="2">
        <v>11.474496974697427</v>
      </c>
      <c r="BO37" s="2">
        <v>71.150698772237234</v>
      </c>
      <c r="BP37" s="2">
        <v>10.281607305054765</v>
      </c>
      <c r="BQ37" s="2">
        <v>10.724496052247527</v>
      </c>
      <c r="BR37" s="2">
        <v>11.745661851942595</v>
      </c>
      <c r="BS37" s="2">
        <v>10.457676904873127</v>
      </c>
      <c r="BT37" s="2">
        <v>6.2536787846627906</v>
      </c>
      <c r="BU37" s="2">
        <v>5.7794493945796646</v>
      </c>
      <c r="BV37" s="2">
        <v>14.707041129411918</v>
      </c>
      <c r="BW37" s="2">
        <v>9.6073687809693897</v>
      </c>
      <c r="BX37" s="2">
        <v>5.927240726705354</v>
      </c>
      <c r="BY37" s="2">
        <v>5.8317110082936132</v>
      </c>
      <c r="BZ37" s="2">
        <v>20.765854962133492</v>
      </c>
      <c r="CA37" s="2">
        <v>19.196039357205226</v>
      </c>
      <c r="CB37" s="2">
        <v>34.623123445687071</v>
      </c>
      <c r="CC37" s="2">
        <v>47.676407473334088</v>
      </c>
      <c r="CD37" s="2">
        <v>6.0414278153475642</v>
      </c>
      <c r="CE37" s="2">
        <v>15.157447195772175</v>
      </c>
      <c r="CF37" s="2">
        <v>10.36311170670324</v>
      </c>
      <c r="CG37" s="2">
        <v>7.8492405407715484</v>
      </c>
      <c r="CH37" s="2">
        <v>13.380249299377207</v>
      </c>
      <c r="CI37" s="2">
        <v>21.314704171077651</v>
      </c>
      <c r="CJ37" s="2">
        <v>5.7823402715471124</v>
      </c>
      <c r="CK37" s="2">
        <v>25.208294781341991</v>
      </c>
      <c r="CL37" s="2">
        <v>13.184211148530482</v>
      </c>
      <c r="CM37" s="2">
        <v>15.526774220980084</v>
      </c>
      <c r="CN37" s="2">
        <v>12.335069811096881</v>
      </c>
      <c r="CO37" s="2">
        <v>39.642104825656865</v>
      </c>
      <c r="CP37" s="2">
        <v>6.8259066331977163</v>
      </c>
      <c r="CQ37" s="2">
        <v>5.826796180748488</v>
      </c>
      <c r="CR37" s="2">
        <v>14.887250346411466</v>
      </c>
      <c r="CS37" s="2">
        <v>16.535253955994065</v>
      </c>
      <c r="CT37" s="2">
        <v>-1.7121638154974368</v>
      </c>
      <c r="CU37" s="2">
        <v>5.8543814037299731</v>
      </c>
      <c r="CV37" s="2">
        <v>15.718537925588032</v>
      </c>
      <c r="CW37" s="2">
        <v>29.968693502812535</v>
      </c>
      <c r="CX37" s="2">
        <v>9.7108330839567536</v>
      </c>
      <c r="CY37" s="2">
        <v>6.2865858501996561</v>
      </c>
      <c r="CZ37" s="2">
        <v>28.031746437343749</v>
      </c>
      <c r="DA37" s="2">
        <v>9.3667022563562021</v>
      </c>
      <c r="DB37" s="2">
        <v>8.4789251118340321</v>
      </c>
      <c r="DC37" s="2">
        <v>13.096740465844499</v>
      </c>
      <c r="DD37" s="2">
        <v>14.345624413987293</v>
      </c>
      <c r="DE37" s="2">
        <v>12.700452240560704</v>
      </c>
      <c r="DF37" s="2">
        <v>12.676051985031966</v>
      </c>
      <c r="DG37" s="2">
        <v>19.564965983979501</v>
      </c>
      <c r="DH37" s="2">
        <v>11.986106824276867</v>
      </c>
      <c r="DI37" s="2">
        <v>11.661671242264802</v>
      </c>
      <c r="DJ37" s="2">
        <v>21.364022756627929</v>
      </c>
      <c r="DK37" s="2">
        <v>5.6616712422648021</v>
      </c>
      <c r="DL37" s="2">
        <v>5.9295039815735384</v>
      </c>
      <c r="DM37" s="2">
        <v>12.130032896833733</v>
      </c>
      <c r="DN37" s="2">
        <v>12.928560353273953</v>
      </c>
      <c r="DO37" s="2">
        <v>29.00251651656006</v>
      </c>
      <c r="DP37" s="2">
        <v>73.48312437393372</v>
      </c>
      <c r="DQ37" s="2">
        <v>33.362654197602403</v>
      </c>
      <c r="DR37" s="2">
        <v>11.552037570846748</v>
      </c>
      <c r="DS37" s="2">
        <v>20.5707038364704</v>
      </c>
      <c r="DT37" s="2">
        <v>12.445434565200632</v>
      </c>
      <c r="DU37" s="2">
        <v>5.7919197900671966</v>
      </c>
      <c r="DV37" s="2">
        <v>8.8843484418114418</v>
      </c>
      <c r="DW37" s="2">
        <v>34.94291687469866</v>
      </c>
      <c r="DX37" s="2">
        <v>45.691043804515068</v>
      </c>
      <c r="DY37" s="2">
        <v>20.028240696253086</v>
      </c>
      <c r="DZ37" s="2">
        <v>16.325795276303626</v>
      </c>
      <c r="EA37" s="2">
        <v>17.307151663037921</v>
      </c>
      <c r="EB37" s="2">
        <v>9.7542953269992196</v>
      </c>
      <c r="EC37" s="2">
        <v>18.643607980375929</v>
      </c>
      <c r="ED37" s="2">
        <v>10.099843256722393</v>
      </c>
      <c r="EE37" s="2">
        <v>29.374277335797977</v>
      </c>
      <c r="EF37" s="2">
        <v>23.353687520894635</v>
      </c>
      <c r="EG37" s="2">
        <v>22.574056250575421</v>
      </c>
      <c r="EH37" s="2">
        <v>19.043705050240533</v>
      </c>
      <c r="EI37" s="2">
        <v>14.587422568018711</v>
      </c>
      <c r="EJ37" s="2">
        <v>19.123475100110163</v>
      </c>
      <c r="EK37" s="2">
        <v>6.6557777064490313</v>
      </c>
      <c r="EL37" s="2">
        <v>15.656182182219821</v>
      </c>
      <c r="EM37" s="2">
        <v>14.658143950892391</v>
      </c>
      <c r="EN37" s="2">
        <v>13.379347377083452</v>
      </c>
      <c r="EO37" s="2">
        <v>19.445161981432971</v>
      </c>
      <c r="EP37" s="2">
        <v>14.82309060515308</v>
      </c>
      <c r="EQ37" s="2">
        <v>11.560840288192834</v>
      </c>
      <c r="ER37" s="2">
        <v>21.016302547482919</v>
      </c>
      <c r="ES37" s="2">
        <v>8.2953687055539884</v>
      </c>
      <c r="ET37" s="2">
        <v>10.199743956702179</v>
      </c>
      <c r="EU37" s="2">
        <v>17.798913412962197</v>
      </c>
      <c r="EV37" s="31">
        <v>15.462951853683567</v>
      </c>
    </row>
    <row r="38" spans="1:152" x14ac:dyDescent="0.3">
      <c r="A38" s="22" t="s">
        <v>21</v>
      </c>
      <c r="B38" s="23">
        <v>77000</v>
      </c>
      <c r="D38" s="3" t="s">
        <v>20</v>
      </c>
      <c r="E38" s="2">
        <v>9.3658571516169147</v>
      </c>
      <c r="F38" s="2">
        <v>11.786447311664487</v>
      </c>
      <c r="G38" s="2">
        <v>8.3958828375407677</v>
      </c>
      <c r="H38" s="2">
        <v>14.753151864768725</v>
      </c>
      <c r="I38" s="2">
        <v>12.569752716828377</v>
      </c>
      <c r="J38" s="2">
        <v>9.3705169702981905</v>
      </c>
      <c r="K38" s="2">
        <v>10.162570679303046</v>
      </c>
      <c r="L38" s="2">
        <v>10.828189430482913</v>
      </c>
      <c r="M38" s="2">
        <v>12.794881786819753</v>
      </c>
      <c r="N38" s="2">
        <v>17.699056708210996</v>
      </c>
      <c r="O38" s="2">
        <v>42.591344157458508</v>
      </c>
      <c r="P38" s="2">
        <v>19.450764506874542</v>
      </c>
      <c r="Q38" s="2">
        <v>6.2317190381731029</v>
      </c>
      <c r="R38" s="2">
        <v>11.976719930469336</v>
      </c>
      <c r="S38" s="2">
        <v>11.552925763328709</v>
      </c>
      <c r="T38" s="2">
        <v>32.261427675113509</v>
      </c>
      <c r="U38" s="2">
        <v>26.334351373013618</v>
      </c>
      <c r="V38" s="2">
        <v>25.549914174095566</v>
      </c>
      <c r="W38" s="2">
        <v>10.161540900532401</v>
      </c>
      <c r="X38" s="2">
        <v>13.681856277956268</v>
      </c>
      <c r="Y38" s="2">
        <v>18.781391805427958</v>
      </c>
      <c r="Z38" s="2">
        <v>33.371621686091508</v>
      </c>
      <c r="AA38" s="2">
        <v>11.616725028028931</v>
      </c>
      <c r="AB38" s="2">
        <v>9.3721447040613999</v>
      </c>
      <c r="AC38" s="2">
        <v>11.591057361042955</v>
      </c>
      <c r="AD38" s="2">
        <v>12.383464397980424</v>
      </c>
      <c r="AE38" s="2">
        <v>27.780827310899102</v>
      </c>
      <c r="AF38" s="2">
        <v>21.502861203328138</v>
      </c>
      <c r="AG38" s="2">
        <v>19.181746245917655</v>
      </c>
      <c r="AH38" s="2">
        <v>12.828761491281453</v>
      </c>
      <c r="AI38" s="2">
        <v>27.837976511310071</v>
      </c>
      <c r="AJ38" s="2">
        <v>8.1387617895389752</v>
      </c>
      <c r="AK38" s="2">
        <v>15.69668545031319</v>
      </c>
      <c r="AL38" s="2">
        <v>11.654915824811519</v>
      </c>
      <c r="AM38" s="2">
        <v>7.4373672954811294</v>
      </c>
      <c r="AN38" s="2">
        <v>13.905423571620558</v>
      </c>
      <c r="AO38" s="2">
        <v>22.606467940135122</v>
      </c>
      <c r="AP38" s="2">
        <v>31.462140429973196</v>
      </c>
      <c r="AQ38" s="2">
        <v>8.1607503673941029</v>
      </c>
      <c r="AR38" s="2">
        <v>9.4701798200685516</v>
      </c>
      <c r="AS38" s="2">
        <v>45.684349282296594</v>
      </c>
      <c r="AT38" s="2">
        <v>17.890740604589485</v>
      </c>
      <c r="AU38" s="2">
        <v>17.206544296115545</v>
      </c>
      <c r="AV38" s="2">
        <v>26.48787726469212</v>
      </c>
      <c r="AW38" s="2">
        <v>14.868557371394621</v>
      </c>
      <c r="AX38" s="2">
        <v>21.896416696736395</v>
      </c>
      <c r="AY38" s="2">
        <v>14.549542054919183</v>
      </c>
      <c r="AZ38" s="2">
        <v>9.9333847072683259</v>
      </c>
      <c r="BA38" s="2">
        <v>13.960897990861438</v>
      </c>
      <c r="BB38" s="2">
        <v>11.255480092431299</v>
      </c>
      <c r="BC38" s="2">
        <v>9.3666083146202617</v>
      </c>
      <c r="BD38" s="2">
        <v>12.295078551452141</v>
      </c>
      <c r="BE38" s="2">
        <v>28.020768507944076</v>
      </c>
      <c r="BF38" s="2">
        <v>10.726238231899186</v>
      </c>
      <c r="BG38" s="2">
        <v>15.390217394744665</v>
      </c>
      <c r="BH38" s="2">
        <v>17.017805922634132</v>
      </c>
      <c r="BI38" s="2">
        <v>15.263242006532362</v>
      </c>
      <c r="BJ38" s="2">
        <v>19.335793908837744</v>
      </c>
      <c r="BK38" s="2">
        <v>39.963567356045893</v>
      </c>
      <c r="BL38" s="2">
        <v>10.245224505486298</v>
      </c>
      <c r="BM38" s="2">
        <v>20.135942097788256</v>
      </c>
      <c r="BN38" s="2">
        <v>14.974496974697427</v>
      </c>
      <c r="BO38" s="2">
        <v>71.150698772237234</v>
      </c>
      <c r="BP38" s="2">
        <v>5.931607305054766</v>
      </c>
      <c r="BQ38" s="2">
        <v>6.3744960522475358</v>
      </c>
      <c r="BR38" s="2">
        <v>11.745661851942595</v>
      </c>
      <c r="BS38" s="2">
        <v>10.457676904873127</v>
      </c>
      <c r="BT38" s="2">
        <v>9.7536787846627941</v>
      </c>
      <c r="BU38" s="2">
        <v>10.12944939457967</v>
      </c>
      <c r="BV38" s="2">
        <v>13.707041129411907</v>
      </c>
      <c r="BW38" s="2">
        <v>13.107368780969395</v>
      </c>
      <c r="BX38" s="2">
        <v>9.4272407267053548</v>
      </c>
      <c r="BY38" s="2">
        <v>9.3317110082936097</v>
      </c>
      <c r="BZ38" s="2">
        <v>20.765854962133492</v>
      </c>
      <c r="CA38" s="2">
        <v>19.196039357205226</v>
      </c>
      <c r="CB38" s="2">
        <v>38.973123445687079</v>
      </c>
      <c r="CC38" s="2">
        <v>45.826407473334093</v>
      </c>
      <c r="CD38" s="2">
        <v>9.5414278153475625</v>
      </c>
      <c r="CE38" s="2">
        <v>10.80744719577217</v>
      </c>
      <c r="CF38" s="2">
        <v>13.863625557375471</v>
      </c>
      <c r="CG38" s="2">
        <v>12.199240540771543</v>
      </c>
      <c r="CH38" s="2">
        <v>12.380249299377203</v>
      </c>
      <c r="CI38" s="2">
        <v>21.314704171077651</v>
      </c>
      <c r="CJ38" s="2">
        <v>9.2823402715471115</v>
      </c>
      <c r="CK38" s="2">
        <v>23.358294781341993</v>
      </c>
      <c r="CL38" s="2">
        <v>16.684211148530483</v>
      </c>
      <c r="CM38" s="2">
        <v>11.176774220980084</v>
      </c>
      <c r="CN38" s="2">
        <v>15.835069811096886</v>
      </c>
      <c r="CO38" s="2">
        <v>39.642104825656865</v>
      </c>
      <c r="CP38" s="2">
        <v>10.325906633197722</v>
      </c>
      <c r="CQ38" s="2">
        <v>10.176796180748488</v>
      </c>
      <c r="CR38" s="2">
        <v>10.537250346411474</v>
      </c>
      <c r="CS38" s="2">
        <v>12.18525395599406</v>
      </c>
      <c r="CT38" s="2">
        <v>-2.7121638154974357</v>
      </c>
      <c r="CU38" s="2">
        <v>9.3543814037299793</v>
      </c>
      <c r="CV38" s="2">
        <v>15.718537925588032</v>
      </c>
      <c r="CW38" s="2">
        <v>29.968693502812535</v>
      </c>
      <c r="CX38" s="2">
        <v>14.060833083956757</v>
      </c>
      <c r="CY38" s="2">
        <v>9.7865858501996534</v>
      </c>
      <c r="CZ38" s="2">
        <v>28.031746437343749</v>
      </c>
      <c r="DA38" s="2">
        <v>8.3667022563562075</v>
      </c>
      <c r="DB38" s="2">
        <v>11.978925111834025</v>
      </c>
      <c r="DC38" s="2">
        <v>13.096740465844499</v>
      </c>
      <c r="DD38" s="2">
        <v>9.9956244139873007</v>
      </c>
      <c r="DE38" s="2">
        <v>12.700452240560704</v>
      </c>
      <c r="DF38" s="2">
        <v>8.3260519850319685</v>
      </c>
      <c r="DG38" s="2">
        <v>18.564965983979508</v>
      </c>
      <c r="DH38" s="2">
        <v>10.986106824276867</v>
      </c>
      <c r="DI38" s="2">
        <v>10.6616712422648</v>
      </c>
      <c r="DJ38" s="2">
        <v>21.364022756627929</v>
      </c>
      <c r="DK38" s="2">
        <v>9.1616712422648039</v>
      </c>
      <c r="DL38" s="2">
        <v>9.4295039815735429</v>
      </c>
      <c r="DM38" s="2">
        <v>12.130032896833733</v>
      </c>
      <c r="DN38" s="2">
        <v>11.92856035327395</v>
      </c>
      <c r="DO38" s="2">
        <v>29.00251651656006</v>
      </c>
      <c r="DP38" s="2">
        <v>73.48312437393372</v>
      </c>
      <c r="DQ38" s="2">
        <v>33.362654197602403</v>
      </c>
      <c r="DR38" s="2">
        <v>11.552037570846748</v>
      </c>
      <c r="DS38" s="2">
        <v>20.5707038364704</v>
      </c>
      <c r="DT38" s="2">
        <v>15.94543456520063</v>
      </c>
      <c r="DU38" s="2">
        <v>9.2919197900671993</v>
      </c>
      <c r="DV38" s="2">
        <v>13.234348441811441</v>
      </c>
      <c r="DW38" s="2">
        <v>34.94291687469866</v>
      </c>
      <c r="DX38" s="2">
        <v>41.341043804515074</v>
      </c>
      <c r="DY38" s="2">
        <v>20.028240696253086</v>
      </c>
      <c r="DZ38" s="2">
        <v>15.325795276303628</v>
      </c>
      <c r="EA38" s="2">
        <v>16.307151663037928</v>
      </c>
      <c r="EB38" s="2">
        <v>14.104295326999226</v>
      </c>
      <c r="EC38" s="2">
        <v>17.643607980375922</v>
      </c>
      <c r="ED38" s="2">
        <v>5.7498432567223929</v>
      </c>
      <c r="EE38" s="2">
        <v>29.374277335797977</v>
      </c>
      <c r="EF38" s="2">
        <v>23.353687520894635</v>
      </c>
      <c r="EG38" s="2">
        <v>22.574056250575421</v>
      </c>
      <c r="EH38" s="2">
        <v>18.04370505024054</v>
      </c>
      <c r="EI38" s="2">
        <v>18.08742256801871</v>
      </c>
      <c r="EJ38" s="2">
        <v>22.623475100110159</v>
      </c>
      <c r="EK38" s="2">
        <v>11.005777706449031</v>
      </c>
      <c r="EL38" s="2">
        <v>15.656182182219821</v>
      </c>
      <c r="EM38" s="2">
        <v>10.30814395089239</v>
      </c>
      <c r="EN38" s="2">
        <v>9.029347377083452</v>
      </c>
      <c r="EO38" s="2">
        <v>17.595161981432973</v>
      </c>
      <c r="EP38" s="2">
        <v>12.973090605153081</v>
      </c>
      <c r="EQ38" s="2">
        <v>15.060840288192832</v>
      </c>
      <c r="ER38" s="2">
        <v>21.016302547482919</v>
      </c>
      <c r="ES38" s="2">
        <v>11.795368705553987</v>
      </c>
      <c r="ET38" s="2">
        <v>5.8497439567021745</v>
      </c>
      <c r="EU38" s="2">
        <v>13.501136920015972</v>
      </c>
      <c r="EV38" s="31">
        <v>11.112951853683562</v>
      </c>
    </row>
    <row r="39" spans="1:152" x14ac:dyDescent="0.3">
      <c r="A39" s="22" t="s">
        <v>61</v>
      </c>
      <c r="B39" s="23">
        <v>11000</v>
      </c>
      <c r="D39" s="3" t="s">
        <v>24</v>
      </c>
      <c r="E39" s="2">
        <v>10.215857151616914</v>
      </c>
      <c r="F39" s="2">
        <v>11.786447311664487</v>
      </c>
      <c r="G39" s="2">
        <v>9.3958828375407695</v>
      </c>
      <c r="H39" s="2">
        <v>15.753151864768723</v>
      </c>
      <c r="I39" s="2">
        <v>13.419752716828382</v>
      </c>
      <c r="J39" s="2">
        <v>10.220516970298192</v>
      </c>
      <c r="K39" s="2">
        <v>11.012570679303046</v>
      </c>
      <c r="L39" s="2">
        <v>10.828189430482913</v>
      </c>
      <c r="M39" s="2">
        <v>12.794881786819753</v>
      </c>
      <c r="N39" s="2">
        <v>18.699056708211003</v>
      </c>
      <c r="O39" s="2">
        <v>42.591344157458508</v>
      </c>
      <c r="P39" s="2">
        <v>20.300764506874536</v>
      </c>
      <c r="Q39" s="2">
        <v>6.2317190381731029</v>
      </c>
      <c r="R39" s="2">
        <v>12.976719930469331</v>
      </c>
      <c r="S39" s="2">
        <v>12.4029257633287</v>
      </c>
      <c r="T39" s="2">
        <v>32.261427675113509</v>
      </c>
      <c r="U39" s="2">
        <v>27.184351373013616</v>
      </c>
      <c r="V39" s="2">
        <v>25.549914174095566</v>
      </c>
      <c r="W39" s="2">
        <v>10.161540900532401</v>
      </c>
      <c r="X39" s="2">
        <v>13.681856277956268</v>
      </c>
      <c r="Y39" s="2">
        <v>18.781391805427958</v>
      </c>
      <c r="Z39" s="2">
        <v>33.371621686091508</v>
      </c>
      <c r="AA39" s="2">
        <v>11.616725028028931</v>
      </c>
      <c r="AB39" s="2">
        <v>10.222144704061401</v>
      </c>
      <c r="AC39" s="2">
        <v>11.591057361042955</v>
      </c>
      <c r="AD39" s="2">
        <v>13.233464397980431</v>
      </c>
      <c r="AE39" s="2">
        <v>27.780827310899102</v>
      </c>
      <c r="AF39" s="2">
        <v>21.502861203328138</v>
      </c>
      <c r="AG39" s="2">
        <v>16.681746245917648</v>
      </c>
      <c r="AH39" s="2">
        <v>12.828761491281453</v>
      </c>
      <c r="AI39" s="2">
        <v>27.837976511310071</v>
      </c>
      <c r="AJ39" s="2">
        <v>8.1387617895389752</v>
      </c>
      <c r="AK39" s="2">
        <v>15.69668545031319</v>
      </c>
      <c r="AL39" s="2">
        <v>11.654915824811519</v>
      </c>
      <c r="AM39" s="2">
        <v>7.4373672954811294</v>
      </c>
      <c r="AN39" s="2">
        <v>13.905423571620558</v>
      </c>
      <c r="AO39" s="2">
        <v>22.606467940135122</v>
      </c>
      <c r="AP39" s="2">
        <v>31.462140429973196</v>
      </c>
      <c r="AQ39" s="2">
        <v>8.1607503673941029</v>
      </c>
      <c r="AR39" s="2">
        <v>10.320179820068555</v>
      </c>
      <c r="AS39" s="2">
        <v>45.684349282296594</v>
      </c>
      <c r="AT39" s="2">
        <v>18.74074060458949</v>
      </c>
      <c r="AU39" s="2">
        <v>17.206544296115545</v>
      </c>
      <c r="AV39" s="2">
        <v>23.987877264692127</v>
      </c>
      <c r="AW39" s="2">
        <v>14.868557371394621</v>
      </c>
      <c r="AX39" s="2">
        <v>22.7464166967364</v>
      </c>
      <c r="AY39" s="2">
        <v>15.399542054919181</v>
      </c>
      <c r="AZ39" s="2">
        <v>9.9333847072683259</v>
      </c>
      <c r="BA39" s="2">
        <v>13.977177373611738</v>
      </c>
      <c r="BB39" s="2">
        <v>12.105480092431307</v>
      </c>
      <c r="BC39" s="2">
        <v>9.3666083146202617</v>
      </c>
      <c r="BD39" s="2">
        <v>13.145078551452141</v>
      </c>
      <c r="BE39" s="2">
        <v>28.020768507944076</v>
      </c>
      <c r="BF39" s="2">
        <v>10.726238231899186</v>
      </c>
      <c r="BG39" s="2">
        <v>15.390217394744665</v>
      </c>
      <c r="BH39" s="2">
        <v>17.017805922634132</v>
      </c>
      <c r="BI39" s="2">
        <v>15.263242006532362</v>
      </c>
      <c r="BJ39" s="2">
        <v>19.335793908837744</v>
      </c>
      <c r="BK39" s="2">
        <v>40.81356735604588</v>
      </c>
      <c r="BL39" s="2">
        <v>10.245224505486298</v>
      </c>
      <c r="BM39" s="2">
        <v>20.135942097788256</v>
      </c>
      <c r="BN39" s="2">
        <v>15.82449697469743</v>
      </c>
      <c r="BO39" s="2">
        <v>71.150698772237234</v>
      </c>
      <c r="BP39" s="2">
        <v>5.931607305054766</v>
      </c>
      <c r="BQ39" s="2">
        <v>6.3744960522475358</v>
      </c>
      <c r="BR39" s="2">
        <v>11.745661851942595</v>
      </c>
      <c r="BS39" s="2">
        <v>10.457676904873127</v>
      </c>
      <c r="BT39" s="2">
        <v>10.60367878466279</v>
      </c>
      <c r="BU39" s="2">
        <v>10.12944939457967</v>
      </c>
      <c r="BV39" s="2">
        <v>14.707041129411918</v>
      </c>
      <c r="BW39" s="2">
        <v>13.957368780969396</v>
      </c>
      <c r="BX39" s="2">
        <v>10.277240726705353</v>
      </c>
      <c r="BY39" s="2">
        <v>10.181711008293608</v>
      </c>
      <c r="BZ39" s="2">
        <v>20.765854962133492</v>
      </c>
      <c r="CA39" s="2">
        <v>19.196039357205226</v>
      </c>
      <c r="CB39" s="2">
        <v>38.973123445687079</v>
      </c>
      <c r="CC39" s="2">
        <v>43.326407473334079</v>
      </c>
      <c r="CD39" s="2">
        <v>10.391427815347562</v>
      </c>
      <c r="CE39" s="2">
        <v>10.80744719577217</v>
      </c>
      <c r="CF39" s="2">
        <v>14.713111706703238</v>
      </c>
      <c r="CG39" s="2">
        <v>12.199240540771543</v>
      </c>
      <c r="CH39" s="2">
        <v>13.380249299377207</v>
      </c>
      <c r="CI39" s="2">
        <v>21.314704171077651</v>
      </c>
      <c r="CJ39" s="2">
        <v>10.132340271547109</v>
      </c>
      <c r="CK39" s="2">
        <v>20.858294781341986</v>
      </c>
      <c r="CL39" s="2">
        <v>17.534211148530481</v>
      </c>
      <c r="CM39" s="2">
        <v>11.176774220980084</v>
      </c>
      <c r="CN39" s="2">
        <v>16.685069811096891</v>
      </c>
      <c r="CO39" s="2">
        <v>39.642104825656865</v>
      </c>
      <c r="CP39" s="2">
        <v>11.175906633197718</v>
      </c>
      <c r="CQ39" s="2">
        <v>10.176796180748488</v>
      </c>
      <c r="CR39" s="2">
        <v>10.537250346411474</v>
      </c>
      <c r="CS39" s="2">
        <v>12.18525395599406</v>
      </c>
      <c r="CT39" s="2">
        <v>-1.7121638154974368</v>
      </c>
      <c r="CU39" s="2">
        <v>10.20438140372997</v>
      </c>
      <c r="CV39" s="2">
        <v>15.718537925588032</v>
      </c>
      <c r="CW39" s="2">
        <v>29.968693502812535</v>
      </c>
      <c r="CX39" s="2">
        <v>14.060833083956757</v>
      </c>
      <c r="CY39" s="2">
        <v>10.636585850199655</v>
      </c>
      <c r="CZ39" s="2">
        <v>28.031746437343749</v>
      </c>
      <c r="DA39" s="2">
        <v>9.3667022563562021</v>
      </c>
      <c r="DB39" s="2">
        <v>12.828925111834026</v>
      </c>
      <c r="DC39" s="2">
        <v>13.096740465844499</v>
      </c>
      <c r="DD39" s="2">
        <v>9.9956244139873007</v>
      </c>
      <c r="DE39" s="2">
        <v>12.700452240560704</v>
      </c>
      <c r="DF39" s="2">
        <v>8.3260519850319685</v>
      </c>
      <c r="DG39" s="2">
        <v>19.564965983979501</v>
      </c>
      <c r="DH39" s="2">
        <v>11.986106824276867</v>
      </c>
      <c r="DI39" s="2">
        <v>11.661671242264802</v>
      </c>
      <c r="DJ39" s="2">
        <v>21.364022756627929</v>
      </c>
      <c r="DK39" s="2">
        <v>10.011671242264804</v>
      </c>
      <c r="DL39" s="2">
        <v>10.279503981573537</v>
      </c>
      <c r="DM39" s="2">
        <v>12.130032896833733</v>
      </c>
      <c r="DN39" s="2">
        <v>12.928560353273953</v>
      </c>
      <c r="DO39" s="2">
        <v>29.00251651656006</v>
      </c>
      <c r="DP39" s="2">
        <v>73.48312437393372</v>
      </c>
      <c r="DQ39" s="2">
        <v>33.362654197602403</v>
      </c>
      <c r="DR39" s="2">
        <v>11.552037570846748</v>
      </c>
      <c r="DS39" s="2">
        <v>20.5707038364704</v>
      </c>
      <c r="DT39" s="2">
        <v>16.795434565200633</v>
      </c>
      <c r="DU39" s="2">
        <v>10.141919790067201</v>
      </c>
      <c r="DV39" s="2">
        <v>13.234348441811441</v>
      </c>
      <c r="DW39" s="2">
        <v>34.94291687469866</v>
      </c>
      <c r="DX39" s="2">
        <v>41.341043804515074</v>
      </c>
      <c r="DY39" s="2">
        <v>20.028240696253086</v>
      </c>
      <c r="DZ39" s="2">
        <v>16.325795276303626</v>
      </c>
      <c r="EA39" s="2">
        <v>17.307151663037921</v>
      </c>
      <c r="EB39" s="2">
        <v>14.104295326999226</v>
      </c>
      <c r="EC39" s="2">
        <v>18.643607980375929</v>
      </c>
      <c r="ED39" s="2">
        <v>5.7498432567223929</v>
      </c>
      <c r="EE39" s="2">
        <v>29.374277335797977</v>
      </c>
      <c r="EF39" s="2">
        <v>23.353687520894635</v>
      </c>
      <c r="EG39" s="2">
        <v>22.574056250575421</v>
      </c>
      <c r="EH39" s="2">
        <v>19.043705050240533</v>
      </c>
      <c r="EI39" s="2">
        <v>18.937422568018714</v>
      </c>
      <c r="EJ39" s="2">
        <v>23.473475100110164</v>
      </c>
      <c r="EK39" s="2">
        <v>11.005777706449031</v>
      </c>
      <c r="EL39" s="2">
        <v>15.656182182219821</v>
      </c>
      <c r="EM39" s="2">
        <v>10.30814395089239</v>
      </c>
      <c r="EN39" s="2">
        <v>9.029347377083452</v>
      </c>
      <c r="EO39" s="2">
        <v>15.095161981432975</v>
      </c>
      <c r="EP39" s="2">
        <v>10.473090605153079</v>
      </c>
      <c r="EQ39" s="2">
        <v>15.910840288192833</v>
      </c>
      <c r="ER39" s="2">
        <v>21.016302547482919</v>
      </c>
      <c r="ES39" s="2">
        <v>12.645368705553993</v>
      </c>
      <c r="ET39" s="2">
        <v>5.8497439567021745</v>
      </c>
      <c r="EU39" s="2">
        <v>13.501136920015972</v>
      </c>
      <c r="EV39" s="31">
        <v>11.112951853683562</v>
      </c>
    </row>
    <row r="40" spans="1:152" x14ac:dyDescent="0.3">
      <c r="A40" s="22" t="s">
        <v>5</v>
      </c>
      <c r="B40" s="23">
        <v>12000</v>
      </c>
      <c r="D40" s="3" t="s">
        <v>21</v>
      </c>
      <c r="E40" s="2">
        <v>9.3658571516169147</v>
      </c>
      <c r="F40" s="2">
        <v>11.786447311664487</v>
      </c>
      <c r="G40" s="2">
        <v>8.3958828375407677</v>
      </c>
      <c r="H40" s="2">
        <v>14.753151864768725</v>
      </c>
      <c r="I40" s="2">
        <v>12.569752716828377</v>
      </c>
      <c r="J40" s="2">
        <v>9.3705169702981905</v>
      </c>
      <c r="K40" s="2">
        <v>10.162570679303046</v>
      </c>
      <c r="L40" s="2">
        <v>10.828189430482913</v>
      </c>
      <c r="M40" s="2">
        <v>12.794881786819753</v>
      </c>
      <c r="N40" s="2">
        <v>17.699056708210996</v>
      </c>
      <c r="O40" s="2">
        <v>42.591344157458508</v>
      </c>
      <c r="P40" s="2">
        <v>19.450764506874542</v>
      </c>
      <c r="Q40" s="2">
        <v>6.2317190381731029</v>
      </c>
      <c r="R40" s="2">
        <v>11.976719930469336</v>
      </c>
      <c r="S40" s="2">
        <v>11.552925763328709</v>
      </c>
      <c r="T40" s="2">
        <v>32.261427675113509</v>
      </c>
      <c r="U40" s="2">
        <v>26.334351373013618</v>
      </c>
      <c r="V40" s="2">
        <v>25.549914174095566</v>
      </c>
      <c r="W40" s="2">
        <v>10.161540900532401</v>
      </c>
      <c r="X40" s="2">
        <v>13.681856277956268</v>
      </c>
      <c r="Y40" s="2">
        <v>18.781391805427958</v>
      </c>
      <c r="Z40" s="2">
        <v>33.371621686091508</v>
      </c>
      <c r="AA40" s="2">
        <v>11.616725028028931</v>
      </c>
      <c r="AB40" s="2">
        <v>9.3721447040613999</v>
      </c>
      <c r="AC40" s="2">
        <v>11.591057361042955</v>
      </c>
      <c r="AD40" s="2">
        <v>12.383464397980424</v>
      </c>
      <c r="AE40" s="2">
        <v>27.780827310899102</v>
      </c>
      <c r="AF40" s="2">
        <v>21.502861203328138</v>
      </c>
      <c r="AG40" s="2">
        <v>19.181746245917655</v>
      </c>
      <c r="AH40" s="2">
        <v>12.828761491281453</v>
      </c>
      <c r="AI40" s="2">
        <v>27.837976511310071</v>
      </c>
      <c r="AJ40" s="2">
        <v>8.1387617895389752</v>
      </c>
      <c r="AK40" s="2">
        <v>15.69668545031319</v>
      </c>
      <c r="AL40" s="2">
        <v>11.654915824811519</v>
      </c>
      <c r="AM40" s="2">
        <v>7.4373672954811294</v>
      </c>
      <c r="AN40" s="2">
        <v>13.905423571620558</v>
      </c>
      <c r="AO40" s="2">
        <v>22.606467940135122</v>
      </c>
      <c r="AP40" s="2">
        <v>31.462140429973196</v>
      </c>
      <c r="AQ40" s="2">
        <v>8.1607503673941029</v>
      </c>
      <c r="AR40" s="2">
        <v>9.4701798200685516</v>
      </c>
      <c r="AS40" s="2">
        <v>45.684349282296594</v>
      </c>
      <c r="AT40" s="2">
        <v>17.890740604589485</v>
      </c>
      <c r="AU40" s="2">
        <v>17.206544296115545</v>
      </c>
      <c r="AV40" s="2">
        <v>26.48787726469212</v>
      </c>
      <c r="AW40" s="2">
        <v>14.868557371394621</v>
      </c>
      <c r="AX40" s="2">
        <v>21.896416696736395</v>
      </c>
      <c r="AY40" s="2">
        <v>14.549542054919183</v>
      </c>
      <c r="AZ40" s="2">
        <v>9.9333847072683259</v>
      </c>
      <c r="BA40" s="2">
        <v>13.960897990861438</v>
      </c>
      <c r="BB40" s="2">
        <v>11.255480092431299</v>
      </c>
      <c r="BC40" s="2">
        <v>9.3666083146202617</v>
      </c>
      <c r="BD40" s="2">
        <v>12.295078551452141</v>
      </c>
      <c r="BE40" s="2">
        <v>28.020768507944076</v>
      </c>
      <c r="BF40" s="2">
        <v>10.726238231899186</v>
      </c>
      <c r="BG40" s="2">
        <v>15.390217394744665</v>
      </c>
      <c r="BH40" s="2">
        <v>17.017805922634132</v>
      </c>
      <c r="BI40" s="2">
        <v>15.263242006532362</v>
      </c>
      <c r="BJ40" s="2">
        <v>19.335793908837744</v>
      </c>
      <c r="BK40" s="2">
        <v>39.963567356045893</v>
      </c>
      <c r="BL40" s="2">
        <v>10.245224505486298</v>
      </c>
      <c r="BM40" s="2">
        <v>20.135942097788256</v>
      </c>
      <c r="BN40" s="2">
        <v>14.974496974697427</v>
      </c>
      <c r="BO40" s="2">
        <v>71.150698772237234</v>
      </c>
      <c r="BP40" s="2">
        <v>5.931607305054766</v>
      </c>
      <c r="BQ40" s="2">
        <v>6.3744960522475358</v>
      </c>
      <c r="BR40" s="2">
        <v>11.745661851942595</v>
      </c>
      <c r="BS40" s="2">
        <v>10.457676904873127</v>
      </c>
      <c r="BT40" s="2">
        <v>9.7536787846627941</v>
      </c>
      <c r="BU40" s="2">
        <v>10.12944939457967</v>
      </c>
      <c r="BV40" s="2">
        <v>13.707041129411907</v>
      </c>
      <c r="BW40" s="2">
        <v>13.107368780969395</v>
      </c>
      <c r="BX40" s="2">
        <v>9.4272407267053548</v>
      </c>
      <c r="BY40" s="2">
        <v>9.3317110082936097</v>
      </c>
      <c r="BZ40" s="2">
        <v>20.765854962133492</v>
      </c>
      <c r="CA40" s="2">
        <v>19.196039357205226</v>
      </c>
      <c r="CB40" s="2">
        <v>38.973123445687079</v>
      </c>
      <c r="CC40" s="2">
        <v>45.826407473334093</v>
      </c>
      <c r="CD40" s="2">
        <v>9.5414278153475625</v>
      </c>
      <c r="CE40" s="2">
        <v>10.80744719577217</v>
      </c>
      <c r="CF40" s="2">
        <v>13.863625557375471</v>
      </c>
      <c r="CG40" s="2">
        <v>12.199240540771543</v>
      </c>
      <c r="CH40" s="2">
        <v>12.380249299377203</v>
      </c>
      <c r="CI40" s="2">
        <v>21.314704171077651</v>
      </c>
      <c r="CJ40" s="2">
        <v>9.2823402715471115</v>
      </c>
      <c r="CK40" s="2">
        <v>23.358294781341993</v>
      </c>
      <c r="CL40" s="2">
        <v>16.684211148530483</v>
      </c>
      <c r="CM40" s="2">
        <v>11.176774220980084</v>
      </c>
      <c r="CN40" s="2">
        <v>15.835069811096886</v>
      </c>
      <c r="CO40" s="2">
        <v>39.642104825656865</v>
      </c>
      <c r="CP40" s="2">
        <v>10.325906633197722</v>
      </c>
      <c r="CQ40" s="2">
        <v>10.176796180748488</v>
      </c>
      <c r="CR40" s="2">
        <v>10.537250346411474</v>
      </c>
      <c r="CS40" s="2">
        <v>12.18525395599406</v>
      </c>
      <c r="CT40" s="2">
        <v>-2.7121638154974357</v>
      </c>
      <c r="CU40" s="2">
        <v>9.3543814037299793</v>
      </c>
      <c r="CV40" s="2">
        <v>15.718537925588032</v>
      </c>
      <c r="CW40" s="2">
        <v>29.968693502812535</v>
      </c>
      <c r="CX40" s="2">
        <v>14.060833083956757</v>
      </c>
      <c r="CY40" s="2">
        <v>9.7865858501996534</v>
      </c>
      <c r="CZ40" s="2">
        <v>28.031746437343749</v>
      </c>
      <c r="DA40" s="2">
        <v>8.3667022563562075</v>
      </c>
      <c r="DB40" s="2">
        <v>11.978925111834025</v>
      </c>
      <c r="DC40" s="2">
        <v>13.096740465844499</v>
      </c>
      <c r="DD40" s="2">
        <v>9.9956244139873007</v>
      </c>
      <c r="DE40" s="2">
        <v>12.700452240560704</v>
      </c>
      <c r="DF40" s="2">
        <v>8.3260519850319685</v>
      </c>
      <c r="DG40" s="2">
        <v>18.564965983979508</v>
      </c>
      <c r="DH40" s="2">
        <v>10.986106824276867</v>
      </c>
      <c r="DI40" s="2">
        <v>10.6616712422648</v>
      </c>
      <c r="DJ40" s="2">
        <v>21.364022756627929</v>
      </c>
      <c r="DK40" s="2">
        <v>9.1616712422648039</v>
      </c>
      <c r="DL40" s="2">
        <v>9.4295039815735429</v>
      </c>
      <c r="DM40" s="2">
        <v>12.130032896833733</v>
      </c>
      <c r="DN40" s="2">
        <v>11.92856035327395</v>
      </c>
      <c r="DO40" s="2">
        <v>29.00251651656006</v>
      </c>
      <c r="DP40" s="2">
        <v>73.48312437393372</v>
      </c>
      <c r="DQ40" s="2">
        <v>33.362654197602403</v>
      </c>
      <c r="DR40" s="2">
        <v>11.552037570846748</v>
      </c>
      <c r="DS40" s="2">
        <v>20.5707038364704</v>
      </c>
      <c r="DT40" s="2">
        <v>15.94543456520063</v>
      </c>
      <c r="DU40" s="2">
        <v>9.2919197900671993</v>
      </c>
      <c r="DV40" s="2">
        <v>13.234348441811441</v>
      </c>
      <c r="DW40" s="2">
        <v>34.94291687469866</v>
      </c>
      <c r="DX40" s="2">
        <v>41.341043804515074</v>
      </c>
      <c r="DY40" s="2">
        <v>20.028240696253086</v>
      </c>
      <c r="DZ40" s="2">
        <v>15.325795276303628</v>
      </c>
      <c r="EA40" s="2">
        <v>16.307151663037928</v>
      </c>
      <c r="EB40" s="2">
        <v>14.104295326999226</v>
      </c>
      <c r="EC40" s="2">
        <v>17.643607980375922</v>
      </c>
      <c r="ED40" s="2">
        <v>5.7498432567223929</v>
      </c>
      <c r="EE40" s="2">
        <v>29.374277335797977</v>
      </c>
      <c r="EF40" s="2">
        <v>23.353687520894635</v>
      </c>
      <c r="EG40" s="2">
        <v>22.574056250575421</v>
      </c>
      <c r="EH40" s="2">
        <v>18.04370505024054</v>
      </c>
      <c r="EI40" s="2">
        <v>18.08742256801871</v>
      </c>
      <c r="EJ40" s="2">
        <v>22.623475100110159</v>
      </c>
      <c r="EK40" s="2">
        <v>11.005777706449031</v>
      </c>
      <c r="EL40" s="2">
        <v>15.656182182219821</v>
      </c>
      <c r="EM40" s="2">
        <v>10.30814395089239</v>
      </c>
      <c r="EN40" s="2">
        <v>9.029347377083452</v>
      </c>
      <c r="EO40" s="2">
        <v>17.595161981432973</v>
      </c>
      <c r="EP40" s="2">
        <v>12.973090605153081</v>
      </c>
      <c r="EQ40" s="2">
        <v>15.060840288192832</v>
      </c>
      <c r="ER40" s="2">
        <v>21.016302547482919</v>
      </c>
      <c r="ES40" s="2">
        <v>11.795368705553987</v>
      </c>
      <c r="ET40" s="2">
        <v>5.8497439567021745</v>
      </c>
      <c r="EU40" s="2">
        <v>13.501136920015972</v>
      </c>
      <c r="EV40" s="31">
        <v>11.112951853683562</v>
      </c>
    </row>
    <row r="41" spans="1:152" x14ac:dyDescent="0.3">
      <c r="A41" s="22" t="s">
        <v>62</v>
      </c>
      <c r="B41" s="23">
        <v>17000</v>
      </c>
      <c r="D41" s="3" t="s">
        <v>5</v>
      </c>
      <c r="E41" s="2">
        <v>9.3658571516169147</v>
      </c>
      <c r="F41" s="2">
        <v>11.786447311664487</v>
      </c>
      <c r="G41" s="2">
        <v>10.245882837540771</v>
      </c>
      <c r="H41" s="2">
        <v>16.603151864768723</v>
      </c>
      <c r="I41" s="2">
        <v>12.569752716828377</v>
      </c>
      <c r="J41" s="2">
        <v>9.3705169702981905</v>
      </c>
      <c r="K41" s="2">
        <v>10.162570679303046</v>
      </c>
      <c r="L41" s="2">
        <v>10.828189430482913</v>
      </c>
      <c r="M41" s="2">
        <v>12.794881786819753</v>
      </c>
      <c r="N41" s="2">
        <v>19.549056708211001</v>
      </c>
      <c r="O41" s="2">
        <v>38.241344157458492</v>
      </c>
      <c r="P41" s="2">
        <v>19.450764506874542</v>
      </c>
      <c r="Q41" s="2">
        <v>9.7317190381731038</v>
      </c>
      <c r="R41" s="2">
        <v>13.826719930469341</v>
      </c>
      <c r="S41" s="2">
        <v>11.552925763328709</v>
      </c>
      <c r="T41" s="2">
        <v>28.011427675113534</v>
      </c>
      <c r="U41" s="2">
        <v>26.334351373013618</v>
      </c>
      <c r="V41" s="2">
        <v>21.199914174095575</v>
      </c>
      <c r="W41" s="2">
        <v>5.8115409005324015</v>
      </c>
      <c r="X41" s="2">
        <v>17.181856277956271</v>
      </c>
      <c r="Y41" s="2">
        <v>14.431391805427959</v>
      </c>
      <c r="Z41" s="2">
        <v>33.371621686091508</v>
      </c>
      <c r="AA41" s="2">
        <v>11.616725028028931</v>
      </c>
      <c r="AB41" s="2">
        <v>9.3721447040613999</v>
      </c>
      <c r="AC41" s="2">
        <v>7.2410573610429614</v>
      </c>
      <c r="AD41" s="2">
        <v>12.383464397980424</v>
      </c>
      <c r="AE41" s="2">
        <v>23.530827310899081</v>
      </c>
      <c r="AF41" s="2">
        <v>17.152861203328136</v>
      </c>
      <c r="AG41" s="2">
        <v>21.031746245917653</v>
      </c>
      <c r="AH41" s="2">
        <v>12.828761491281453</v>
      </c>
      <c r="AI41" s="2">
        <v>23.487976511310073</v>
      </c>
      <c r="AJ41" s="2">
        <v>11.638761789538977</v>
      </c>
      <c r="AK41" s="2">
        <v>19.196685450313186</v>
      </c>
      <c r="AL41" s="2">
        <v>15.154915824811519</v>
      </c>
      <c r="AM41" s="2">
        <v>10.937367295481129</v>
      </c>
      <c r="AN41" s="2">
        <v>17.405423571620556</v>
      </c>
      <c r="AO41" s="2">
        <v>18.256467940135114</v>
      </c>
      <c r="AP41" s="2">
        <v>27.112140429973181</v>
      </c>
      <c r="AQ41" s="2">
        <v>11.660750367394099</v>
      </c>
      <c r="AR41" s="2">
        <v>9.4701798200685516</v>
      </c>
      <c r="AS41" s="2">
        <v>41.334349282296593</v>
      </c>
      <c r="AT41" s="2">
        <v>17.890740604589485</v>
      </c>
      <c r="AU41" s="2">
        <v>12.856544296115553</v>
      </c>
      <c r="AV41" s="2">
        <v>28.337877264692139</v>
      </c>
      <c r="AW41" s="2">
        <v>18.368557371394616</v>
      </c>
      <c r="AX41" s="2">
        <v>21.896416696736395</v>
      </c>
      <c r="AY41" s="2">
        <v>14.549542054919183</v>
      </c>
      <c r="AZ41" s="2">
        <v>9.9333847072683259</v>
      </c>
      <c r="BA41" s="2">
        <v>9.7118301639132909</v>
      </c>
      <c r="BB41" s="2">
        <v>11.255480092431299</v>
      </c>
      <c r="BC41" s="2">
        <v>12.866608314620263</v>
      </c>
      <c r="BD41" s="2">
        <v>12.295078551452141</v>
      </c>
      <c r="BE41" s="2">
        <v>31.520768507944087</v>
      </c>
      <c r="BF41" s="2">
        <v>14.226238231899179</v>
      </c>
      <c r="BG41" s="2">
        <v>15.390217394744665</v>
      </c>
      <c r="BH41" s="2">
        <v>12.767805922634137</v>
      </c>
      <c r="BI41" s="2">
        <v>15.263242006532362</v>
      </c>
      <c r="BJ41" s="2">
        <v>14.985793908837742</v>
      </c>
      <c r="BK41" s="2">
        <v>39.963567356045893</v>
      </c>
      <c r="BL41" s="2">
        <v>10.245224505486298</v>
      </c>
      <c r="BM41" s="2">
        <v>20.135942097788256</v>
      </c>
      <c r="BN41" s="2">
        <v>14.974496974697427</v>
      </c>
      <c r="BO41" s="2">
        <v>71.150698772237234</v>
      </c>
      <c r="BP41" s="2">
        <v>9.4316073050547669</v>
      </c>
      <c r="BQ41" s="2">
        <v>9.8744960522475314</v>
      </c>
      <c r="BR41" s="2">
        <v>11.745661851942595</v>
      </c>
      <c r="BS41" s="2">
        <v>10.457676904873127</v>
      </c>
      <c r="BT41" s="2">
        <v>9.7536787846627941</v>
      </c>
      <c r="BU41" s="2">
        <v>10.12944939457967</v>
      </c>
      <c r="BV41" s="2">
        <v>15.557041129411923</v>
      </c>
      <c r="BW41" s="2">
        <v>13.107368780969395</v>
      </c>
      <c r="BX41" s="2">
        <v>9.4272407267053548</v>
      </c>
      <c r="BY41" s="2">
        <v>9.3317110082936097</v>
      </c>
      <c r="BZ41" s="2">
        <v>16.515854962133496</v>
      </c>
      <c r="CA41" s="2">
        <v>19.196039357205226</v>
      </c>
      <c r="CB41" s="2">
        <v>38.973123445687079</v>
      </c>
      <c r="CC41" s="2">
        <v>47.676407473334088</v>
      </c>
      <c r="CD41" s="2">
        <v>9.5414278153475625</v>
      </c>
      <c r="CE41" s="2">
        <v>14.307447195772166</v>
      </c>
      <c r="CF41" s="2">
        <v>13.863625557375471</v>
      </c>
      <c r="CG41" s="2">
        <v>12.199240540771543</v>
      </c>
      <c r="CH41" s="2">
        <v>14.23024929937721</v>
      </c>
      <c r="CI41" s="2">
        <v>16.964704171077649</v>
      </c>
      <c r="CJ41" s="2">
        <v>9.2823402715471115</v>
      </c>
      <c r="CK41" s="2">
        <v>25.208294781341991</v>
      </c>
      <c r="CL41" s="2">
        <v>16.684211148530483</v>
      </c>
      <c r="CM41" s="2">
        <v>14.676774220980079</v>
      </c>
      <c r="CN41" s="2">
        <v>15.835069811096886</v>
      </c>
      <c r="CO41" s="2">
        <v>35.392104825656872</v>
      </c>
      <c r="CP41" s="2">
        <v>10.325906633197722</v>
      </c>
      <c r="CQ41" s="2">
        <v>10.176796180748488</v>
      </c>
      <c r="CR41" s="2">
        <v>14.037250346411476</v>
      </c>
      <c r="CS41" s="2">
        <v>15.68525395599406</v>
      </c>
      <c r="CT41" s="2">
        <v>-0.86216381549743704</v>
      </c>
      <c r="CU41" s="2">
        <v>9.3543814037299793</v>
      </c>
      <c r="CV41" s="2">
        <v>15.718537925588032</v>
      </c>
      <c r="CW41" s="2">
        <v>25.61869350281253</v>
      </c>
      <c r="CX41" s="2">
        <v>14.060833083956757</v>
      </c>
      <c r="CY41" s="2">
        <v>9.7865858501996534</v>
      </c>
      <c r="CZ41" s="2">
        <v>23.681746437343737</v>
      </c>
      <c r="DA41" s="2">
        <v>10.216702256356212</v>
      </c>
      <c r="DB41" s="2">
        <v>11.978925111834025</v>
      </c>
      <c r="DC41" s="2">
        <v>8.7467404658444945</v>
      </c>
      <c r="DD41" s="2">
        <v>13.495624413987301</v>
      </c>
      <c r="DE41" s="2">
        <v>8.4504522405607077</v>
      </c>
      <c r="DF41" s="2">
        <v>11.826051985031974</v>
      </c>
      <c r="DG41" s="2">
        <v>20.414965983979506</v>
      </c>
      <c r="DH41" s="2">
        <v>12.836106824276863</v>
      </c>
      <c r="DI41" s="2">
        <v>12.511671242264802</v>
      </c>
      <c r="DJ41" s="2">
        <v>21.364022756627929</v>
      </c>
      <c r="DK41" s="2">
        <v>9.1616712422648039</v>
      </c>
      <c r="DL41" s="2">
        <v>9.4295039815735429</v>
      </c>
      <c r="DM41" s="2">
        <v>7.7800328968337231</v>
      </c>
      <c r="DN41" s="2">
        <v>13.778560353273953</v>
      </c>
      <c r="DO41" s="2">
        <v>24.652516516560059</v>
      </c>
      <c r="DP41" s="2">
        <v>69.133124373933711</v>
      </c>
      <c r="DQ41" s="2">
        <v>29.012654197602409</v>
      </c>
      <c r="DR41" s="2">
        <v>11.552037570846748</v>
      </c>
      <c r="DS41" s="2">
        <v>16.220703836470403</v>
      </c>
      <c r="DT41" s="2">
        <v>15.94543456520063</v>
      </c>
      <c r="DU41" s="2">
        <v>9.2919197900671993</v>
      </c>
      <c r="DV41" s="2">
        <v>13.234348441811441</v>
      </c>
      <c r="DW41" s="2">
        <v>30.592916874698656</v>
      </c>
      <c r="DX41" s="2">
        <v>44.841043804515067</v>
      </c>
      <c r="DY41" s="2">
        <v>15.678240696253091</v>
      </c>
      <c r="DZ41" s="2">
        <v>17.175795276303635</v>
      </c>
      <c r="EA41" s="2">
        <v>18.157151663037929</v>
      </c>
      <c r="EB41" s="2">
        <v>14.104295326999226</v>
      </c>
      <c r="EC41" s="2">
        <v>19.49360798037592</v>
      </c>
      <c r="ED41" s="2">
        <v>9.2498432567223929</v>
      </c>
      <c r="EE41" s="2">
        <v>25.066107269846512</v>
      </c>
      <c r="EF41" s="2">
        <v>19.003687520894641</v>
      </c>
      <c r="EG41" s="2">
        <v>18.224056250575419</v>
      </c>
      <c r="EH41" s="2">
        <v>19.893705050240545</v>
      </c>
      <c r="EI41" s="2">
        <v>18.08742256801871</v>
      </c>
      <c r="EJ41" s="2">
        <v>22.623475100110159</v>
      </c>
      <c r="EK41" s="2">
        <v>11.005777706449031</v>
      </c>
      <c r="EL41" s="2">
        <v>15.656182182219821</v>
      </c>
      <c r="EM41" s="2">
        <v>13.80814395089239</v>
      </c>
      <c r="EN41" s="2">
        <v>12.529347377083457</v>
      </c>
      <c r="EO41" s="2">
        <v>19.445161981432971</v>
      </c>
      <c r="EP41" s="2">
        <v>14.82309060515308</v>
      </c>
      <c r="EQ41" s="2">
        <v>15.060840288192832</v>
      </c>
      <c r="ER41" s="2">
        <v>21.016302547482919</v>
      </c>
      <c r="ES41" s="2">
        <v>11.795368705553987</v>
      </c>
      <c r="ET41" s="2">
        <v>9.3497439567021683</v>
      </c>
      <c r="EU41" s="2">
        <v>16.959118006294549</v>
      </c>
      <c r="EV41" s="31">
        <v>14.612951853683562</v>
      </c>
    </row>
    <row r="42" spans="1:152" x14ac:dyDescent="0.3">
      <c r="A42" s="22" t="s">
        <v>63</v>
      </c>
      <c r="B42" s="23">
        <v>21000</v>
      </c>
      <c r="D42" s="3" t="s">
        <v>16</v>
      </c>
      <c r="E42" s="2">
        <v>5.8658571516169156</v>
      </c>
      <c r="F42" s="2">
        <v>10.786447311664485</v>
      </c>
      <c r="G42" s="2">
        <v>9.3958828375407695</v>
      </c>
      <c r="H42" s="2">
        <v>15.753151864768723</v>
      </c>
      <c r="I42" s="2">
        <v>9.0697527168283774</v>
      </c>
      <c r="J42" s="2">
        <v>5.8705169702981888</v>
      </c>
      <c r="K42" s="2">
        <v>6.6625706793030446</v>
      </c>
      <c r="L42" s="2">
        <v>6.4781894304829173</v>
      </c>
      <c r="M42" s="2">
        <v>11.794881786819753</v>
      </c>
      <c r="N42" s="2">
        <v>18.699056708211003</v>
      </c>
      <c r="O42" s="2">
        <v>42.591344157458508</v>
      </c>
      <c r="P42" s="2">
        <v>15.950764506874535</v>
      </c>
      <c r="Q42" s="2">
        <v>9.7317190381731038</v>
      </c>
      <c r="R42" s="2">
        <v>12.976719930469331</v>
      </c>
      <c r="S42" s="2">
        <v>8.052925763328707</v>
      </c>
      <c r="T42" s="2">
        <v>32.261427675113509</v>
      </c>
      <c r="U42" s="2">
        <v>22.834351373013625</v>
      </c>
      <c r="V42" s="2">
        <v>25.549914174095566</v>
      </c>
      <c r="W42" s="2">
        <v>10.161540900532401</v>
      </c>
      <c r="X42" s="2">
        <v>17.181856277956271</v>
      </c>
      <c r="Y42" s="2">
        <v>18.781391805427958</v>
      </c>
      <c r="Z42" s="2">
        <v>29.021621686091517</v>
      </c>
      <c r="AA42" s="2">
        <v>10.616725028028933</v>
      </c>
      <c r="AB42" s="2">
        <v>5.8721447040613999</v>
      </c>
      <c r="AC42" s="2">
        <v>11.591057361042955</v>
      </c>
      <c r="AD42" s="2">
        <v>8.8834643979804362</v>
      </c>
      <c r="AE42" s="2">
        <v>27.780827310899102</v>
      </c>
      <c r="AF42" s="2">
        <v>21.502861203328138</v>
      </c>
      <c r="AG42" s="2">
        <v>21.031746245917653</v>
      </c>
      <c r="AH42" s="2">
        <v>8.4787614912814568</v>
      </c>
      <c r="AI42" s="2">
        <v>27.837976511310071</v>
      </c>
      <c r="AJ42" s="2">
        <v>11.638761789538977</v>
      </c>
      <c r="AK42" s="2">
        <v>19.196685450313186</v>
      </c>
      <c r="AL42" s="2">
        <v>15.154915824811519</v>
      </c>
      <c r="AM42" s="2">
        <v>10.937367295481129</v>
      </c>
      <c r="AN42" s="2">
        <v>17.405423571620556</v>
      </c>
      <c r="AO42" s="2">
        <v>22.606467940135122</v>
      </c>
      <c r="AP42" s="2">
        <v>31.462140429973196</v>
      </c>
      <c r="AQ42" s="2">
        <v>11.660750367394099</v>
      </c>
      <c r="AR42" s="2">
        <v>5.9701798200685481</v>
      </c>
      <c r="AS42" s="2">
        <v>45.684349282296594</v>
      </c>
      <c r="AT42" s="2">
        <v>14.390740604589487</v>
      </c>
      <c r="AU42" s="2">
        <v>17.206544296115545</v>
      </c>
      <c r="AV42" s="2">
        <v>28.337877264692139</v>
      </c>
      <c r="AW42" s="2">
        <v>18.368557371394616</v>
      </c>
      <c r="AX42" s="2">
        <v>18.396416696736399</v>
      </c>
      <c r="AY42" s="2">
        <v>11.049542054919183</v>
      </c>
      <c r="AZ42" s="2">
        <v>5.5833847072683263</v>
      </c>
      <c r="BA42" s="2">
        <v>13.977177373611738</v>
      </c>
      <c r="BB42" s="2">
        <v>7.7554800924313056</v>
      </c>
      <c r="BC42" s="2">
        <v>12.866608314620263</v>
      </c>
      <c r="BD42" s="2">
        <v>8.7950785514521428</v>
      </c>
      <c r="BE42" s="2">
        <v>31.520768507944087</v>
      </c>
      <c r="BF42" s="2">
        <v>14.226238231899179</v>
      </c>
      <c r="BG42" s="2">
        <v>11.040217394744666</v>
      </c>
      <c r="BH42" s="2">
        <v>17.017805922634132</v>
      </c>
      <c r="BI42" s="2">
        <v>15.263242006532362</v>
      </c>
      <c r="BJ42" s="2">
        <v>19.335793908837744</v>
      </c>
      <c r="BK42" s="2">
        <v>36.463567356045878</v>
      </c>
      <c r="BL42" s="2">
        <v>5.8952245054862926</v>
      </c>
      <c r="BM42" s="2">
        <v>19.135942097788277</v>
      </c>
      <c r="BN42" s="2">
        <v>11.474496974697427</v>
      </c>
      <c r="BO42" s="2">
        <v>71.150698772237234</v>
      </c>
      <c r="BP42" s="2">
        <v>9.4316073050547669</v>
      </c>
      <c r="BQ42" s="2">
        <v>9.8744960522475314</v>
      </c>
      <c r="BR42" s="2">
        <v>11.745661851942595</v>
      </c>
      <c r="BS42" s="2">
        <v>10.457676904873127</v>
      </c>
      <c r="BT42" s="2">
        <v>6.2536787846627906</v>
      </c>
      <c r="BU42" s="2">
        <v>5.7794493945796646</v>
      </c>
      <c r="BV42" s="2">
        <v>14.707041129411918</v>
      </c>
      <c r="BW42" s="2">
        <v>9.6073687809693897</v>
      </c>
      <c r="BX42" s="2">
        <v>5.927240726705354</v>
      </c>
      <c r="BY42" s="2">
        <v>5.8317110082936132</v>
      </c>
      <c r="BZ42" s="2">
        <v>20.765854962133492</v>
      </c>
      <c r="CA42" s="2">
        <v>18.196039357205226</v>
      </c>
      <c r="CB42" s="2">
        <v>34.623123445687071</v>
      </c>
      <c r="CC42" s="2">
        <v>47.676407473334088</v>
      </c>
      <c r="CD42" s="2">
        <v>6.0414278153475642</v>
      </c>
      <c r="CE42" s="2">
        <v>14.307447195772166</v>
      </c>
      <c r="CF42" s="2">
        <v>10.36311170670324</v>
      </c>
      <c r="CG42" s="2">
        <v>7.8492405407715484</v>
      </c>
      <c r="CH42" s="2">
        <v>13.380249299377207</v>
      </c>
      <c r="CI42" s="2">
        <v>21.314704171077651</v>
      </c>
      <c r="CJ42" s="2">
        <v>5.7823402715471124</v>
      </c>
      <c r="CK42" s="2">
        <v>25.208294781341991</v>
      </c>
      <c r="CL42" s="2">
        <v>13.184211148530482</v>
      </c>
      <c r="CM42" s="2">
        <v>14.676774220980079</v>
      </c>
      <c r="CN42" s="2">
        <v>12.335069811096881</v>
      </c>
      <c r="CO42" s="2">
        <v>39.642104825656865</v>
      </c>
      <c r="CP42" s="2">
        <v>6.8259066331977163</v>
      </c>
      <c r="CQ42" s="2">
        <v>5.826796180748488</v>
      </c>
      <c r="CR42" s="2">
        <v>14.037250346411476</v>
      </c>
      <c r="CS42" s="2">
        <v>15.68525395599406</v>
      </c>
      <c r="CT42" s="2">
        <v>-1.7121638154974368</v>
      </c>
      <c r="CU42" s="2">
        <v>5.8543814037299731</v>
      </c>
      <c r="CV42" s="2">
        <v>14.718537925588024</v>
      </c>
      <c r="CW42" s="2">
        <v>29.968693502812535</v>
      </c>
      <c r="CX42" s="2">
        <v>9.7108330839567536</v>
      </c>
      <c r="CY42" s="2">
        <v>6.2865858501996561</v>
      </c>
      <c r="CZ42" s="2">
        <v>28.031746437343749</v>
      </c>
      <c r="DA42" s="2">
        <v>9.3667022563562021</v>
      </c>
      <c r="DB42" s="2">
        <v>8.4789251118340321</v>
      </c>
      <c r="DC42" s="2">
        <v>13.096740465844499</v>
      </c>
      <c r="DD42" s="2">
        <v>13.495624413987301</v>
      </c>
      <c r="DE42" s="2">
        <v>12.700452240560704</v>
      </c>
      <c r="DF42" s="2">
        <v>11.826051985031974</v>
      </c>
      <c r="DG42" s="2">
        <v>19.564965983979501</v>
      </c>
      <c r="DH42" s="2">
        <v>11.986106824276867</v>
      </c>
      <c r="DI42" s="2">
        <v>11.661671242264802</v>
      </c>
      <c r="DJ42" s="2">
        <v>20.364022756627929</v>
      </c>
      <c r="DK42" s="2">
        <v>5.6616712422648021</v>
      </c>
      <c r="DL42" s="2">
        <v>5.9295039815735384</v>
      </c>
      <c r="DM42" s="2">
        <v>12.130032896833733</v>
      </c>
      <c r="DN42" s="2">
        <v>12.928560353273953</v>
      </c>
      <c r="DO42" s="2">
        <v>29.00251651656006</v>
      </c>
      <c r="DP42" s="2">
        <v>73.48312437393372</v>
      </c>
      <c r="DQ42" s="2">
        <v>33.362654197602403</v>
      </c>
      <c r="DR42" s="2">
        <v>10.55203757084675</v>
      </c>
      <c r="DS42" s="2">
        <v>20.5707038364704</v>
      </c>
      <c r="DT42" s="2">
        <v>12.445434565200632</v>
      </c>
      <c r="DU42" s="2">
        <v>5.7919197900671966</v>
      </c>
      <c r="DV42" s="2">
        <v>8.8843484418114418</v>
      </c>
      <c r="DW42" s="2">
        <v>34.94291687469866</v>
      </c>
      <c r="DX42" s="2">
        <v>44.841043804515067</v>
      </c>
      <c r="DY42" s="2">
        <v>20.028240696253086</v>
      </c>
      <c r="DZ42" s="2">
        <v>16.325795276303626</v>
      </c>
      <c r="EA42" s="2">
        <v>17.307151663037921</v>
      </c>
      <c r="EB42" s="2">
        <v>9.7542953269992196</v>
      </c>
      <c r="EC42" s="2">
        <v>18.643607980375929</v>
      </c>
      <c r="ED42" s="2">
        <v>9.2498432567223929</v>
      </c>
      <c r="EE42" s="2">
        <v>29.374277335797977</v>
      </c>
      <c r="EF42" s="2">
        <v>23.353687520894635</v>
      </c>
      <c r="EG42" s="2">
        <v>22.574056250575421</v>
      </c>
      <c r="EH42" s="2">
        <v>19.043705050240533</v>
      </c>
      <c r="EI42" s="2">
        <v>14.587422568018711</v>
      </c>
      <c r="EJ42" s="2">
        <v>19.123475100110163</v>
      </c>
      <c r="EK42" s="2">
        <v>6.6557777064490313</v>
      </c>
      <c r="EL42" s="2">
        <v>15.656182182219821</v>
      </c>
      <c r="EM42" s="2">
        <v>13.80814395089239</v>
      </c>
      <c r="EN42" s="2">
        <v>12.529347377083457</v>
      </c>
      <c r="EO42" s="2">
        <v>19.445161981432971</v>
      </c>
      <c r="EP42" s="2">
        <v>14.82309060515308</v>
      </c>
      <c r="EQ42" s="2">
        <v>11.560840288192834</v>
      </c>
      <c r="ER42" s="2">
        <v>21.016302547482919</v>
      </c>
      <c r="ES42" s="2">
        <v>8.2953687055539884</v>
      </c>
      <c r="ET42" s="2">
        <v>9.3497439567021683</v>
      </c>
      <c r="EU42" s="2">
        <v>16.947112602374144</v>
      </c>
      <c r="EV42" s="31">
        <v>14.612951853683562</v>
      </c>
    </row>
    <row r="43" spans="1:152" x14ac:dyDescent="0.3">
      <c r="A43" s="22" t="s">
        <v>16</v>
      </c>
      <c r="B43" s="23">
        <v>13000</v>
      </c>
      <c r="D43" s="3" t="s">
        <v>17</v>
      </c>
      <c r="E43" s="2">
        <v>5.8658571516169156</v>
      </c>
      <c r="F43" s="2">
        <v>10.786447311664485</v>
      </c>
      <c r="G43" s="2">
        <v>9.3958828375407695</v>
      </c>
      <c r="H43" s="2">
        <v>15.753151864768723</v>
      </c>
      <c r="I43" s="2">
        <v>9.0697527168283774</v>
      </c>
      <c r="J43" s="2">
        <v>5.8705169702981888</v>
      </c>
      <c r="K43" s="2">
        <v>6.6625706793030446</v>
      </c>
      <c r="L43" s="2">
        <v>6.4781894304829173</v>
      </c>
      <c r="M43" s="2">
        <v>11.794881786819753</v>
      </c>
      <c r="N43" s="2">
        <v>18.699056708211003</v>
      </c>
      <c r="O43" s="2">
        <v>42.591344157458508</v>
      </c>
      <c r="P43" s="2">
        <v>15.950764506874535</v>
      </c>
      <c r="Q43" s="2">
        <v>9.7317190381731038</v>
      </c>
      <c r="R43" s="2">
        <v>12.976719930469331</v>
      </c>
      <c r="S43" s="2">
        <v>8.052925763328707</v>
      </c>
      <c r="T43" s="2">
        <v>32.261427675113509</v>
      </c>
      <c r="U43" s="2">
        <v>22.834351373013625</v>
      </c>
      <c r="V43" s="2">
        <v>25.549914174095566</v>
      </c>
      <c r="W43" s="2">
        <v>10.161540900532401</v>
      </c>
      <c r="X43" s="2">
        <v>17.181856277956271</v>
      </c>
      <c r="Y43" s="2">
        <v>18.781391805427958</v>
      </c>
      <c r="Z43" s="2">
        <v>29.021621686091517</v>
      </c>
      <c r="AA43" s="2">
        <v>10.616725028028933</v>
      </c>
      <c r="AB43" s="2">
        <v>5.8721447040613999</v>
      </c>
      <c r="AC43" s="2">
        <v>11.591057361042955</v>
      </c>
      <c r="AD43" s="2">
        <v>8.8834643979804362</v>
      </c>
      <c r="AE43" s="2">
        <v>27.780827310899102</v>
      </c>
      <c r="AF43" s="2">
        <v>21.502861203328138</v>
      </c>
      <c r="AG43" s="2">
        <v>21.031746245917653</v>
      </c>
      <c r="AH43" s="2">
        <v>8.4787614912814568</v>
      </c>
      <c r="AI43" s="2">
        <v>27.837976511310071</v>
      </c>
      <c r="AJ43" s="2">
        <v>11.638761789538977</v>
      </c>
      <c r="AK43" s="2">
        <v>19.196685450313186</v>
      </c>
      <c r="AL43" s="2">
        <v>15.154915824811519</v>
      </c>
      <c r="AM43" s="2">
        <v>10.937367295481129</v>
      </c>
      <c r="AN43" s="2">
        <v>17.405423571620556</v>
      </c>
      <c r="AO43" s="2">
        <v>22.606467940135122</v>
      </c>
      <c r="AP43" s="2">
        <v>31.462140429973196</v>
      </c>
      <c r="AQ43" s="2">
        <v>11.660750367394099</v>
      </c>
      <c r="AR43" s="2">
        <v>5.9701798200685481</v>
      </c>
      <c r="AS43" s="2">
        <v>45.684349282296594</v>
      </c>
      <c r="AT43" s="2">
        <v>14.390740604589487</v>
      </c>
      <c r="AU43" s="2">
        <v>17.206544296115545</v>
      </c>
      <c r="AV43" s="2">
        <v>28.337877264692139</v>
      </c>
      <c r="AW43" s="2">
        <v>18.368557371394616</v>
      </c>
      <c r="AX43" s="2">
        <v>18.396416696736399</v>
      </c>
      <c r="AY43" s="2">
        <v>11.049542054919183</v>
      </c>
      <c r="AZ43" s="2">
        <v>5.5833847072683263</v>
      </c>
      <c r="BA43" s="2">
        <v>13.977177373611738</v>
      </c>
      <c r="BB43" s="2">
        <v>7.7554800924313056</v>
      </c>
      <c r="BC43" s="2">
        <v>12.866608314620263</v>
      </c>
      <c r="BD43" s="2">
        <v>8.7950785514521428</v>
      </c>
      <c r="BE43" s="2">
        <v>31.520768507944087</v>
      </c>
      <c r="BF43" s="2">
        <v>14.226238231899179</v>
      </c>
      <c r="BG43" s="2">
        <v>11.040217394744666</v>
      </c>
      <c r="BH43" s="2">
        <v>17.017805922634132</v>
      </c>
      <c r="BI43" s="2">
        <v>15.263242006532362</v>
      </c>
      <c r="BJ43" s="2">
        <v>19.335793908837744</v>
      </c>
      <c r="BK43" s="2">
        <v>36.463567356045878</v>
      </c>
      <c r="BL43" s="2">
        <v>5.8952245054862926</v>
      </c>
      <c r="BM43" s="2">
        <v>19.135942097788277</v>
      </c>
      <c r="BN43" s="2">
        <v>11.474496974697427</v>
      </c>
      <c r="BO43" s="2">
        <v>71.150698772237234</v>
      </c>
      <c r="BP43" s="2">
        <v>9.4316073050547669</v>
      </c>
      <c r="BQ43" s="2">
        <v>9.8744960522475314</v>
      </c>
      <c r="BR43" s="2">
        <v>11.745661851942595</v>
      </c>
      <c r="BS43" s="2">
        <v>10.457676904873127</v>
      </c>
      <c r="BT43" s="2">
        <v>6.2536787846627906</v>
      </c>
      <c r="BU43" s="2">
        <v>5.7794493945796646</v>
      </c>
      <c r="BV43" s="2">
        <v>14.707041129411918</v>
      </c>
      <c r="BW43" s="2">
        <v>9.6073687809693897</v>
      </c>
      <c r="BX43" s="2">
        <v>5.927240726705354</v>
      </c>
      <c r="BY43" s="2">
        <v>5.8317110082936132</v>
      </c>
      <c r="BZ43" s="2">
        <v>20.765854962133492</v>
      </c>
      <c r="CA43" s="2">
        <v>18.196039357205226</v>
      </c>
      <c r="CB43" s="2">
        <v>34.623123445687071</v>
      </c>
      <c r="CC43" s="2">
        <v>47.676407473334088</v>
      </c>
      <c r="CD43" s="2">
        <v>6.0414278153475642</v>
      </c>
      <c r="CE43" s="2">
        <v>14.307447195772166</v>
      </c>
      <c r="CF43" s="2">
        <v>10.36311170670324</v>
      </c>
      <c r="CG43" s="2">
        <v>7.8492405407715484</v>
      </c>
      <c r="CH43" s="2">
        <v>13.380249299377207</v>
      </c>
      <c r="CI43" s="2">
        <v>21.314704171077651</v>
      </c>
      <c r="CJ43" s="2">
        <v>5.7823402715471124</v>
      </c>
      <c r="CK43" s="2">
        <v>25.208294781341991</v>
      </c>
      <c r="CL43" s="2">
        <v>13.184211148530482</v>
      </c>
      <c r="CM43" s="2">
        <v>14.676774220980079</v>
      </c>
      <c r="CN43" s="2">
        <v>12.335069811096881</v>
      </c>
      <c r="CO43" s="2">
        <v>39.642104825656865</v>
      </c>
      <c r="CP43" s="2">
        <v>6.8259066331977163</v>
      </c>
      <c r="CQ43" s="2">
        <v>5.826796180748488</v>
      </c>
      <c r="CR43" s="2">
        <v>14.037250346411476</v>
      </c>
      <c r="CS43" s="2">
        <v>15.68525395599406</v>
      </c>
      <c r="CT43" s="2">
        <v>-1.7121638154974368</v>
      </c>
      <c r="CU43" s="2">
        <v>5.8543814037299731</v>
      </c>
      <c r="CV43" s="2">
        <v>14.718537925588024</v>
      </c>
      <c r="CW43" s="2">
        <v>29.968693502812535</v>
      </c>
      <c r="CX43" s="2">
        <v>9.7108330839567536</v>
      </c>
      <c r="CY43" s="2">
        <v>6.2865858501996561</v>
      </c>
      <c r="CZ43" s="2">
        <v>28.031746437343749</v>
      </c>
      <c r="DA43" s="2">
        <v>9.3667022563562021</v>
      </c>
      <c r="DB43" s="2">
        <v>8.4789251118340321</v>
      </c>
      <c r="DC43" s="2">
        <v>13.096740465844499</v>
      </c>
      <c r="DD43" s="2">
        <v>13.495624413987301</v>
      </c>
      <c r="DE43" s="2">
        <v>12.700452240560704</v>
      </c>
      <c r="DF43" s="2">
        <v>11.826051985031974</v>
      </c>
      <c r="DG43" s="2">
        <v>19.564965983979501</v>
      </c>
      <c r="DH43" s="2">
        <v>11.986106824276867</v>
      </c>
      <c r="DI43" s="2">
        <v>11.661671242264802</v>
      </c>
      <c r="DJ43" s="2">
        <v>20.364022756627929</v>
      </c>
      <c r="DK43" s="2">
        <v>5.6616712422648021</v>
      </c>
      <c r="DL43" s="2">
        <v>5.9295039815735384</v>
      </c>
      <c r="DM43" s="2">
        <v>12.130032896833733</v>
      </c>
      <c r="DN43" s="2">
        <v>12.928560353273953</v>
      </c>
      <c r="DO43" s="2">
        <v>29.00251651656006</v>
      </c>
      <c r="DP43" s="2">
        <v>73.48312437393372</v>
      </c>
      <c r="DQ43" s="2">
        <v>33.362654197602403</v>
      </c>
      <c r="DR43" s="2">
        <v>10.55203757084675</v>
      </c>
      <c r="DS43" s="2">
        <v>20.5707038364704</v>
      </c>
      <c r="DT43" s="2">
        <v>12.445434565200632</v>
      </c>
      <c r="DU43" s="2">
        <v>5.7919197900671966</v>
      </c>
      <c r="DV43" s="2">
        <v>8.8843484418114418</v>
      </c>
      <c r="DW43" s="2">
        <v>34.94291687469866</v>
      </c>
      <c r="DX43" s="2">
        <v>44.841043804515067</v>
      </c>
      <c r="DY43" s="2">
        <v>20.028240696253086</v>
      </c>
      <c r="DZ43" s="2">
        <v>16.325795276303626</v>
      </c>
      <c r="EA43" s="2">
        <v>17.307151663037921</v>
      </c>
      <c r="EB43" s="2">
        <v>9.7542953269992196</v>
      </c>
      <c r="EC43" s="2">
        <v>18.643607980375929</v>
      </c>
      <c r="ED43" s="2">
        <v>9.2498432567223929</v>
      </c>
      <c r="EE43" s="2">
        <v>29.374277335797977</v>
      </c>
      <c r="EF43" s="2">
        <v>23.353687520894635</v>
      </c>
      <c r="EG43" s="2">
        <v>22.574056250575421</v>
      </c>
      <c r="EH43" s="2">
        <v>19.043705050240533</v>
      </c>
      <c r="EI43" s="2">
        <v>14.587422568018711</v>
      </c>
      <c r="EJ43" s="2">
        <v>19.123475100110163</v>
      </c>
      <c r="EK43" s="2">
        <v>6.6557777064490313</v>
      </c>
      <c r="EL43" s="2">
        <v>15.656182182219821</v>
      </c>
      <c r="EM43" s="2">
        <v>13.80814395089239</v>
      </c>
      <c r="EN43" s="2">
        <v>12.529347377083457</v>
      </c>
      <c r="EO43" s="2">
        <v>19.445161981432971</v>
      </c>
      <c r="EP43" s="2">
        <v>14.82309060515308</v>
      </c>
      <c r="EQ43" s="2">
        <v>11.560840288192834</v>
      </c>
      <c r="ER43" s="2">
        <v>21.016302547482919</v>
      </c>
      <c r="ES43" s="2">
        <v>8.2953687055539884</v>
      </c>
      <c r="ET43" s="2">
        <v>9.3497439567021683</v>
      </c>
      <c r="EU43" s="2">
        <v>16.947112602374144</v>
      </c>
      <c r="EV43" s="31">
        <v>14.612951853683562</v>
      </c>
    </row>
    <row r="44" spans="1:152" x14ac:dyDescent="0.3">
      <c r="A44" s="22" t="s">
        <v>64</v>
      </c>
      <c r="B44" s="23">
        <v>5000</v>
      </c>
      <c r="D44" s="3" t="s">
        <v>29</v>
      </c>
      <c r="E44" s="2">
        <v>9.3658571516169147</v>
      </c>
      <c r="F44" s="2">
        <v>12.636447311664492</v>
      </c>
      <c r="G44" s="2">
        <v>10.245882837540771</v>
      </c>
      <c r="H44" s="2">
        <v>16.603151864768723</v>
      </c>
      <c r="I44" s="2">
        <v>12.569752716828377</v>
      </c>
      <c r="J44" s="2">
        <v>9.3705169702981905</v>
      </c>
      <c r="K44" s="2">
        <v>10.162570679303046</v>
      </c>
      <c r="L44" s="2">
        <v>10.828189430482913</v>
      </c>
      <c r="M44" s="2">
        <v>13.644881786819747</v>
      </c>
      <c r="N44" s="2">
        <v>19.549056708211001</v>
      </c>
      <c r="O44" s="2">
        <v>40.741344157458485</v>
      </c>
      <c r="P44" s="2">
        <v>19.450764506874542</v>
      </c>
      <c r="Q44" s="2">
        <v>10.581719038173103</v>
      </c>
      <c r="R44" s="2">
        <v>13.826719930469341</v>
      </c>
      <c r="S44" s="2">
        <v>11.552925763328709</v>
      </c>
      <c r="T44" s="2">
        <v>25.511427675113534</v>
      </c>
      <c r="U44" s="2">
        <v>26.334351373013618</v>
      </c>
      <c r="V44" s="2">
        <v>23.699914174095571</v>
      </c>
      <c r="W44" s="2">
        <v>8.3115409005324015</v>
      </c>
      <c r="X44" s="2">
        <v>18.031856277956276</v>
      </c>
      <c r="Y44" s="2">
        <v>16.931391805427964</v>
      </c>
      <c r="Z44" s="2">
        <v>33.371621686091508</v>
      </c>
      <c r="AA44" s="2">
        <v>12.466725028028931</v>
      </c>
      <c r="AB44" s="2">
        <v>9.3721447040613999</v>
      </c>
      <c r="AC44" s="2">
        <v>9.7410573610429605</v>
      </c>
      <c r="AD44" s="2">
        <v>12.383464397980424</v>
      </c>
      <c r="AE44" s="2">
        <v>21.030827310899095</v>
      </c>
      <c r="AF44" s="2">
        <v>19.652861203328147</v>
      </c>
      <c r="AG44" s="2">
        <v>23.43174624591764</v>
      </c>
      <c r="AH44" s="2">
        <v>12.828761491281453</v>
      </c>
      <c r="AI44" s="2">
        <v>25.987976511310073</v>
      </c>
      <c r="AJ44" s="2">
        <v>12.488761789538971</v>
      </c>
      <c r="AK44" s="2">
        <v>20.046685450313184</v>
      </c>
      <c r="AL44" s="2">
        <v>16.004915824811519</v>
      </c>
      <c r="AM44" s="2">
        <v>11.787367295481127</v>
      </c>
      <c r="AN44" s="2">
        <v>18.255423571620561</v>
      </c>
      <c r="AO44" s="2">
        <v>20.756467940135106</v>
      </c>
      <c r="AP44" s="2">
        <v>29.612140429973188</v>
      </c>
      <c r="AQ44" s="2">
        <v>12.510750367394103</v>
      </c>
      <c r="AR44" s="2">
        <v>9.4701798200685516</v>
      </c>
      <c r="AS44" s="2">
        <v>43.8343492822966</v>
      </c>
      <c r="AT44" s="2">
        <v>17.890740604589485</v>
      </c>
      <c r="AU44" s="2">
        <v>15.356544296115553</v>
      </c>
      <c r="AV44" s="2">
        <v>30.73787726469212</v>
      </c>
      <c r="AW44" s="2">
        <v>19.218557371394628</v>
      </c>
      <c r="AX44" s="2">
        <v>21.896416696736395</v>
      </c>
      <c r="AY44" s="2">
        <v>14.549542054919183</v>
      </c>
      <c r="AZ44" s="2">
        <v>9.9333847072683259</v>
      </c>
      <c r="BA44" s="2">
        <v>12.171131707037546</v>
      </c>
      <c r="BB44" s="2">
        <v>11.255480092431299</v>
      </c>
      <c r="BC44" s="2">
        <v>13.716608314620265</v>
      </c>
      <c r="BD44" s="2">
        <v>12.295078551452141</v>
      </c>
      <c r="BE44" s="2">
        <v>32.370768507944078</v>
      </c>
      <c r="BF44" s="2">
        <v>15.076238231899184</v>
      </c>
      <c r="BG44" s="2">
        <v>15.390217394744665</v>
      </c>
      <c r="BH44" s="2">
        <v>10.267805922634137</v>
      </c>
      <c r="BI44" s="2">
        <v>16.263242006532366</v>
      </c>
      <c r="BJ44" s="2">
        <v>17.485793908837742</v>
      </c>
      <c r="BK44" s="2">
        <v>39.963567356045893</v>
      </c>
      <c r="BL44" s="2">
        <v>10.245224505486298</v>
      </c>
      <c r="BM44" s="2">
        <v>20.985942097788282</v>
      </c>
      <c r="BN44" s="2">
        <v>14.974496974697427</v>
      </c>
      <c r="BO44" s="2">
        <v>72.150698772237206</v>
      </c>
      <c r="BP44" s="2">
        <v>10.281607305054765</v>
      </c>
      <c r="BQ44" s="2">
        <v>10.724496052247527</v>
      </c>
      <c r="BR44" s="2">
        <v>12.745661851942595</v>
      </c>
      <c r="BS44" s="2">
        <v>11.457676904873123</v>
      </c>
      <c r="BT44" s="2">
        <v>9.7536787846627941</v>
      </c>
      <c r="BU44" s="2">
        <v>10.12944939457967</v>
      </c>
      <c r="BV44" s="2">
        <v>15.557041129411923</v>
      </c>
      <c r="BW44" s="2">
        <v>13.107368780969395</v>
      </c>
      <c r="BX44" s="2">
        <v>9.4272407267053548</v>
      </c>
      <c r="BY44" s="2">
        <v>9.3317110082936097</v>
      </c>
      <c r="BZ44" s="2">
        <v>14.015854962133494</v>
      </c>
      <c r="CA44" s="2">
        <v>20.046039357205228</v>
      </c>
      <c r="CB44" s="2">
        <v>38.973123445687079</v>
      </c>
      <c r="CC44" s="2">
        <v>50.076407473334086</v>
      </c>
      <c r="CD44" s="2">
        <v>9.5414278153475625</v>
      </c>
      <c r="CE44" s="2">
        <v>15.157447195772175</v>
      </c>
      <c r="CF44" s="2">
        <v>13.863625557375471</v>
      </c>
      <c r="CG44" s="2">
        <v>12.199240540771543</v>
      </c>
      <c r="CH44" s="2">
        <v>14.23024929937721</v>
      </c>
      <c r="CI44" s="2">
        <v>19.464704171077646</v>
      </c>
      <c r="CJ44" s="2">
        <v>9.2823402715471115</v>
      </c>
      <c r="CK44" s="2">
        <v>27.608294781341989</v>
      </c>
      <c r="CL44" s="2">
        <v>16.684211148530483</v>
      </c>
      <c r="CM44" s="2">
        <v>15.526774220980084</v>
      </c>
      <c r="CN44" s="2">
        <v>15.835069811096886</v>
      </c>
      <c r="CO44" s="2">
        <v>32.892104825656872</v>
      </c>
      <c r="CP44" s="2">
        <v>10.325906633197722</v>
      </c>
      <c r="CQ44" s="2">
        <v>10.176796180748488</v>
      </c>
      <c r="CR44" s="2">
        <v>14.887250346411466</v>
      </c>
      <c r="CS44" s="2">
        <v>16.535253955994065</v>
      </c>
      <c r="CT44" s="2">
        <v>-0.86216381549743704</v>
      </c>
      <c r="CU44" s="2">
        <v>9.3543814037299793</v>
      </c>
      <c r="CV44" s="2">
        <v>16.568537925588043</v>
      </c>
      <c r="CW44" s="2">
        <v>28.11869350281254</v>
      </c>
      <c r="CX44" s="2">
        <v>14.060833083956757</v>
      </c>
      <c r="CY44" s="2">
        <v>9.7865858501996534</v>
      </c>
      <c r="CZ44" s="2">
        <v>26.181746437343744</v>
      </c>
      <c r="DA44" s="2">
        <v>10.216702256356212</v>
      </c>
      <c r="DB44" s="2">
        <v>11.978925111834025</v>
      </c>
      <c r="DC44" s="2">
        <v>11.2467404658445</v>
      </c>
      <c r="DD44" s="2">
        <v>14.345624413987293</v>
      </c>
      <c r="DE44" s="2">
        <v>5.9504522405607059</v>
      </c>
      <c r="DF44" s="2">
        <v>12.676051985031966</v>
      </c>
      <c r="DG44" s="2">
        <v>20.414965983979506</v>
      </c>
      <c r="DH44" s="2">
        <v>12.836106824276863</v>
      </c>
      <c r="DI44" s="2">
        <v>12.511671242264802</v>
      </c>
      <c r="DJ44" s="2">
        <v>22.214022756627926</v>
      </c>
      <c r="DK44" s="2">
        <v>9.1616712422648039</v>
      </c>
      <c r="DL44" s="2">
        <v>9.4295039815735429</v>
      </c>
      <c r="DM44" s="2">
        <v>10.280032896833726</v>
      </c>
      <c r="DN44" s="2">
        <v>13.778560353273953</v>
      </c>
      <c r="DO44" s="2">
        <v>27.152516516560059</v>
      </c>
      <c r="DP44" s="2">
        <v>71.633124373933711</v>
      </c>
      <c r="DQ44" s="2">
        <v>31.512654197602416</v>
      </c>
      <c r="DR44" s="2">
        <v>12.402037570846748</v>
      </c>
      <c r="DS44" s="2">
        <v>18.720703836470406</v>
      </c>
      <c r="DT44" s="2">
        <v>15.94543456520063</v>
      </c>
      <c r="DU44" s="2">
        <v>9.2919197900671993</v>
      </c>
      <c r="DV44" s="2">
        <v>13.234348441811441</v>
      </c>
      <c r="DW44" s="2">
        <v>33.092916874698652</v>
      </c>
      <c r="DX44" s="2">
        <v>45.691043804515068</v>
      </c>
      <c r="DY44" s="2">
        <v>18.178240696253091</v>
      </c>
      <c r="DZ44" s="2">
        <v>17.175795276303635</v>
      </c>
      <c r="EA44" s="2">
        <v>18.157151663037929</v>
      </c>
      <c r="EB44" s="2">
        <v>14.104295326999226</v>
      </c>
      <c r="EC44" s="2">
        <v>19.49360798037592</v>
      </c>
      <c r="ED44" s="2">
        <v>10.099843256722393</v>
      </c>
      <c r="EE44" s="2">
        <v>25.474610567419418</v>
      </c>
      <c r="EF44" s="2">
        <v>21.503687520894641</v>
      </c>
      <c r="EG44" s="2">
        <v>20.724056250575412</v>
      </c>
      <c r="EH44" s="2">
        <v>19.893705050240545</v>
      </c>
      <c r="EI44" s="2">
        <v>18.08742256801871</v>
      </c>
      <c r="EJ44" s="2">
        <v>22.623475100110159</v>
      </c>
      <c r="EK44" s="2">
        <v>11.005777706449031</v>
      </c>
      <c r="EL44" s="2">
        <v>16.656182182219819</v>
      </c>
      <c r="EM44" s="2">
        <v>14.658143950892391</v>
      </c>
      <c r="EN44" s="2">
        <v>13.379347377083452</v>
      </c>
      <c r="EO44" s="2">
        <v>21.845161981432977</v>
      </c>
      <c r="EP44" s="2">
        <v>17.223090605153072</v>
      </c>
      <c r="EQ44" s="2">
        <v>15.060840288192832</v>
      </c>
      <c r="ER44" s="2">
        <v>22.016302547482923</v>
      </c>
      <c r="ES44" s="2">
        <v>11.795368705553987</v>
      </c>
      <c r="ET44" s="2">
        <v>10.199743956702179</v>
      </c>
      <c r="EU44" s="2">
        <v>17.809118006294543</v>
      </c>
      <c r="EV44" s="31">
        <v>15.462951853683567</v>
      </c>
    </row>
    <row r="45" spans="1:152" x14ac:dyDescent="0.3">
      <c r="A45" s="22" t="s">
        <v>65</v>
      </c>
      <c r="B45" s="23">
        <v>16000</v>
      </c>
      <c r="D45" s="3" t="s">
        <v>22</v>
      </c>
      <c r="E45" s="2">
        <v>9.3658571516169147</v>
      </c>
      <c r="F45" s="2">
        <v>11.786447311664487</v>
      </c>
      <c r="G45" s="2">
        <v>8.3958828375407677</v>
      </c>
      <c r="H45" s="2">
        <v>14.753151864768725</v>
      </c>
      <c r="I45" s="2">
        <v>12.569752716828377</v>
      </c>
      <c r="J45" s="2">
        <v>9.3705169702981905</v>
      </c>
      <c r="K45" s="2">
        <v>10.162570679303046</v>
      </c>
      <c r="L45" s="2">
        <v>10.828189430482913</v>
      </c>
      <c r="M45" s="2">
        <v>12.794881786819753</v>
      </c>
      <c r="N45" s="2">
        <v>17.699056708210996</v>
      </c>
      <c r="O45" s="2">
        <v>42.591344157458508</v>
      </c>
      <c r="P45" s="2">
        <v>19.450764506874542</v>
      </c>
      <c r="Q45" s="2">
        <v>6.2317190381731029</v>
      </c>
      <c r="R45" s="2">
        <v>11.976719930469336</v>
      </c>
      <c r="S45" s="2">
        <v>11.552925763328709</v>
      </c>
      <c r="T45" s="2">
        <v>32.261427675113509</v>
      </c>
      <c r="U45" s="2">
        <v>26.334351373013618</v>
      </c>
      <c r="V45" s="2">
        <v>25.549914174095566</v>
      </c>
      <c r="W45" s="2">
        <v>10.161540900532401</v>
      </c>
      <c r="X45" s="2">
        <v>13.681856277956268</v>
      </c>
      <c r="Y45" s="2">
        <v>18.781391805427958</v>
      </c>
      <c r="Z45" s="2">
        <v>33.371621686091508</v>
      </c>
      <c r="AA45" s="2">
        <v>11.616725028028931</v>
      </c>
      <c r="AB45" s="2">
        <v>9.3721447040613999</v>
      </c>
      <c r="AC45" s="2">
        <v>11.591057361042955</v>
      </c>
      <c r="AD45" s="2">
        <v>12.383464397980424</v>
      </c>
      <c r="AE45" s="2">
        <v>27.780827310899102</v>
      </c>
      <c r="AF45" s="2">
        <v>21.502861203328138</v>
      </c>
      <c r="AG45" s="2">
        <v>19.181746245917655</v>
      </c>
      <c r="AH45" s="2">
        <v>12.828761491281453</v>
      </c>
      <c r="AI45" s="2">
        <v>27.837976511310071</v>
      </c>
      <c r="AJ45" s="2">
        <v>8.1387617895389752</v>
      </c>
      <c r="AK45" s="2">
        <v>15.69668545031319</v>
      </c>
      <c r="AL45" s="2">
        <v>11.654915824811519</v>
      </c>
      <c r="AM45" s="2">
        <v>7.4373672954811294</v>
      </c>
      <c r="AN45" s="2">
        <v>13.905423571620558</v>
      </c>
      <c r="AO45" s="2">
        <v>22.606467940135122</v>
      </c>
      <c r="AP45" s="2">
        <v>31.462140429973196</v>
      </c>
      <c r="AQ45" s="2">
        <v>8.1607503673941029</v>
      </c>
      <c r="AR45" s="2">
        <v>9.4701798200685516</v>
      </c>
      <c r="AS45" s="2">
        <v>45.684349282296594</v>
      </c>
      <c r="AT45" s="2">
        <v>17.890740604589485</v>
      </c>
      <c r="AU45" s="2">
        <v>17.206544296115545</v>
      </c>
      <c r="AV45" s="2">
        <v>26.48787726469212</v>
      </c>
      <c r="AW45" s="2">
        <v>14.868557371394621</v>
      </c>
      <c r="AX45" s="2">
        <v>21.896416696736395</v>
      </c>
      <c r="AY45" s="2">
        <v>14.549542054919183</v>
      </c>
      <c r="AZ45" s="2">
        <v>9.9333847072683259</v>
      </c>
      <c r="BA45" s="2">
        <v>13.960897990861438</v>
      </c>
      <c r="BB45" s="2">
        <v>11.255480092431299</v>
      </c>
      <c r="BC45" s="2">
        <v>9.3666083146202617</v>
      </c>
      <c r="BD45" s="2">
        <v>12.295078551452141</v>
      </c>
      <c r="BE45" s="2">
        <v>28.020768507944076</v>
      </c>
      <c r="BF45" s="2">
        <v>10.726238231899186</v>
      </c>
      <c r="BG45" s="2">
        <v>15.390217394744665</v>
      </c>
      <c r="BH45" s="2">
        <v>17.017805922634132</v>
      </c>
      <c r="BI45" s="2">
        <v>15.263242006532362</v>
      </c>
      <c r="BJ45" s="2">
        <v>19.335793908837744</v>
      </c>
      <c r="BK45" s="2">
        <v>39.963567356045893</v>
      </c>
      <c r="BL45" s="2">
        <v>10.245224505486298</v>
      </c>
      <c r="BM45" s="2">
        <v>20.135942097788256</v>
      </c>
      <c r="BN45" s="2">
        <v>14.974496974697427</v>
      </c>
      <c r="BO45" s="2">
        <v>71.150698772237234</v>
      </c>
      <c r="BP45" s="2">
        <v>5.931607305054766</v>
      </c>
      <c r="BQ45" s="2">
        <v>6.3744960522475358</v>
      </c>
      <c r="BR45" s="2">
        <v>11.745661851942595</v>
      </c>
      <c r="BS45" s="2">
        <v>10.457676904873127</v>
      </c>
      <c r="BT45" s="2">
        <v>9.7536787846627941</v>
      </c>
      <c r="BU45" s="2">
        <v>10.12944939457967</v>
      </c>
      <c r="BV45" s="2">
        <v>13.707041129411907</v>
      </c>
      <c r="BW45" s="2">
        <v>13.107368780969395</v>
      </c>
      <c r="BX45" s="2">
        <v>9.4272407267053548</v>
      </c>
      <c r="BY45" s="2">
        <v>9.3317110082936097</v>
      </c>
      <c r="BZ45" s="2">
        <v>20.765854962133492</v>
      </c>
      <c r="CA45" s="2">
        <v>19.196039357205226</v>
      </c>
      <c r="CB45" s="2">
        <v>38.973123445687079</v>
      </c>
      <c r="CC45" s="2">
        <v>45.826407473334093</v>
      </c>
      <c r="CD45" s="2">
        <v>9.5414278153475625</v>
      </c>
      <c r="CE45" s="2">
        <v>10.80744719577217</v>
      </c>
      <c r="CF45" s="2">
        <v>13.863625557375471</v>
      </c>
      <c r="CG45" s="2">
        <v>12.199240540771543</v>
      </c>
      <c r="CH45" s="2">
        <v>12.380249299377203</v>
      </c>
      <c r="CI45" s="2">
        <v>21.314704171077651</v>
      </c>
      <c r="CJ45" s="2">
        <v>9.2823402715471115</v>
      </c>
      <c r="CK45" s="2">
        <v>23.358294781341993</v>
      </c>
      <c r="CL45" s="2">
        <v>16.684211148530483</v>
      </c>
      <c r="CM45" s="2">
        <v>11.176774220980084</v>
      </c>
      <c r="CN45" s="2">
        <v>15.835069811096886</v>
      </c>
      <c r="CO45" s="2">
        <v>39.642104825656865</v>
      </c>
      <c r="CP45" s="2">
        <v>10.325906633197722</v>
      </c>
      <c r="CQ45" s="2">
        <v>10.176796180748488</v>
      </c>
      <c r="CR45" s="2">
        <v>10.537250346411474</v>
      </c>
      <c r="CS45" s="2">
        <v>12.18525395599406</v>
      </c>
      <c r="CT45" s="2">
        <v>-2.7121638154974357</v>
      </c>
      <c r="CU45" s="2">
        <v>9.3543814037299793</v>
      </c>
      <c r="CV45" s="2">
        <v>15.718537925588032</v>
      </c>
      <c r="CW45" s="2">
        <v>29.968693502812535</v>
      </c>
      <c r="CX45" s="2">
        <v>14.060833083956757</v>
      </c>
      <c r="CY45" s="2">
        <v>9.7865858501996534</v>
      </c>
      <c r="CZ45" s="2">
        <v>28.031746437343749</v>
      </c>
      <c r="DA45" s="2">
        <v>8.3667022563562075</v>
      </c>
      <c r="DB45" s="2">
        <v>11.978925111834025</v>
      </c>
      <c r="DC45" s="2">
        <v>13.096740465844499</v>
      </c>
      <c r="DD45" s="2">
        <v>9.9956244139873007</v>
      </c>
      <c r="DE45" s="2">
        <v>12.700452240560704</v>
      </c>
      <c r="DF45" s="2">
        <v>8.3260519850319685</v>
      </c>
      <c r="DG45" s="2">
        <v>18.564965983979508</v>
      </c>
      <c r="DH45" s="2">
        <v>10.986106824276867</v>
      </c>
      <c r="DI45" s="2">
        <v>10.6616712422648</v>
      </c>
      <c r="DJ45" s="2">
        <v>21.364022756627929</v>
      </c>
      <c r="DK45" s="2">
        <v>9.1616712422648039</v>
      </c>
      <c r="DL45" s="2">
        <v>9.4295039815735429</v>
      </c>
      <c r="DM45" s="2">
        <v>12.130032896833733</v>
      </c>
      <c r="DN45" s="2">
        <v>11.92856035327395</v>
      </c>
      <c r="DO45" s="2">
        <v>29.00251651656006</v>
      </c>
      <c r="DP45" s="2">
        <v>73.48312437393372</v>
      </c>
      <c r="DQ45" s="2">
        <v>33.362654197602403</v>
      </c>
      <c r="DR45" s="2">
        <v>11.552037570846748</v>
      </c>
      <c r="DS45" s="2">
        <v>20.5707038364704</v>
      </c>
      <c r="DT45" s="2">
        <v>15.94543456520063</v>
      </c>
      <c r="DU45" s="2">
        <v>9.2919197900671993</v>
      </c>
      <c r="DV45" s="2">
        <v>13.234348441811441</v>
      </c>
      <c r="DW45" s="2">
        <v>34.94291687469866</v>
      </c>
      <c r="DX45" s="2">
        <v>41.341043804515074</v>
      </c>
      <c r="DY45" s="2">
        <v>20.028240696253086</v>
      </c>
      <c r="DZ45" s="2">
        <v>15.325795276303628</v>
      </c>
      <c r="EA45" s="2">
        <v>16.307151663037928</v>
      </c>
      <c r="EB45" s="2">
        <v>14.104295326999226</v>
      </c>
      <c r="EC45" s="2">
        <v>17.643607980375922</v>
      </c>
      <c r="ED45" s="2">
        <v>5.7498432567223929</v>
      </c>
      <c r="EE45" s="2">
        <v>29.374277335797977</v>
      </c>
      <c r="EF45" s="2">
        <v>23.353687520894635</v>
      </c>
      <c r="EG45" s="2">
        <v>22.574056250575421</v>
      </c>
      <c r="EH45" s="2">
        <v>18.04370505024054</v>
      </c>
      <c r="EI45" s="2">
        <v>18.08742256801871</v>
      </c>
      <c r="EJ45" s="2">
        <v>22.623475100110159</v>
      </c>
      <c r="EK45" s="2">
        <v>11.005777706449031</v>
      </c>
      <c r="EL45" s="2">
        <v>15.656182182219821</v>
      </c>
      <c r="EM45" s="2">
        <v>10.30814395089239</v>
      </c>
      <c r="EN45" s="2">
        <v>9.029347377083452</v>
      </c>
      <c r="EO45" s="2">
        <v>17.595161981432973</v>
      </c>
      <c r="EP45" s="2">
        <v>12.973090605153081</v>
      </c>
      <c r="EQ45" s="2">
        <v>15.060840288192832</v>
      </c>
      <c r="ER45" s="2">
        <v>21.016302547482919</v>
      </c>
      <c r="ES45" s="2">
        <v>11.795368705553987</v>
      </c>
      <c r="ET45" s="2">
        <v>5.8497439567021745</v>
      </c>
      <c r="EU45" s="2">
        <v>13.501136920015972</v>
      </c>
      <c r="EV45" s="31">
        <v>11.112951853683562</v>
      </c>
    </row>
    <row r="46" spans="1:152" x14ac:dyDescent="0.3">
      <c r="A46" s="22" t="s">
        <v>66</v>
      </c>
      <c r="B46" s="23">
        <v>10000</v>
      </c>
      <c r="D46" s="3" t="s">
        <v>7</v>
      </c>
      <c r="E46" s="2">
        <v>8.3658571516169165</v>
      </c>
      <c r="F46" s="2">
        <v>8.2864473116644959</v>
      </c>
      <c r="G46" s="2">
        <v>8.3958828375407677</v>
      </c>
      <c r="H46" s="2">
        <v>14.753151864768725</v>
      </c>
      <c r="I46" s="2">
        <v>11.569752716828379</v>
      </c>
      <c r="J46" s="2">
        <v>8.3705169702981923</v>
      </c>
      <c r="K46" s="2">
        <v>9.1625706793030428</v>
      </c>
      <c r="L46" s="2">
        <v>9.978189430482912</v>
      </c>
      <c r="M46" s="2">
        <v>9.2948817868197509</v>
      </c>
      <c r="N46" s="2">
        <v>17.699056708210996</v>
      </c>
      <c r="O46" s="2">
        <v>42.591344157458508</v>
      </c>
      <c r="P46" s="2">
        <v>18.450764506874535</v>
      </c>
      <c r="Q46" s="2">
        <v>8.731719038173102</v>
      </c>
      <c r="R46" s="2">
        <v>11.976719930469336</v>
      </c>
      <c r="S46" s="2">
        <v>10.552925763328709</v>
      </c>
      <c r="T46" s="2">
        <v>32.261427675113509</v>
      </c>
      <c r="U46" s="2">
        <v>25.334351373013632</v>
      </c>
      <c r="V46" s="2">
        <v>25.549914174095566</v>
      </c>
      <c r="W46" s="2">
        <v>10.161540900532401</v>
      </c>
      <c r="X46" s="2">
        <v>16.181856277956268</v>
      </c>
      <c r="Y46" s="2">
        <v>18.781391805427958</v>
      </c>
      <c r="Z46" s="2">
        <v>32.521621686091528</v>
      </c>
      <c r="AA46" s="2">
        <v>8.1167250280289327</v>
      </c>
      <c r="AB46" s="2">
        <v>8.3721447040614017</v>
      </c>
      <c r="AC46" s="2">
        <v>11.591057361042955</v>
      </c>
      <c r="AD46" s="2">
        <v>11.383464397980436</v>
      </c>
      <c r="AE46" s="2">
        <v>27.780827310899102</v>
      </c>
      <c r="AF46" s="2">
        <v>21.502861203328138</v>
      </c>
      <c r="AG46" s="2">
        <v>21.031746245917653</v>
      </c>
      <c r="AH46" s="2">
        <v>11.978761491281452</v>
      </c>
      <c r="AI46" s="2">
        <v>27.837976511310071</v>
      </c>
      <c r="AJ46" s="2">
        <v>10.638761789538977</v>
      </c>
      <c r="AK46" s="2">
        <v>18.196685450313186</v>
      </c>
      <c r="AL46" s="2">
        <v>14.154915824811523</v>
      </c>
      <c r="AM46" s="2">
        <v>9.9373672954811312</v>
      </c>
      <c r="AN46" s="2">
        <v>16.405423571620553</v>
      </c>
      <c r="AO46" s="2">
        <v>22.606467940135122</v>
      </c>
      <c r="AP46" s="2">
        <v>31.462140429973196</v>
      </c>
      <c r="AQ46" s="2">
        <v>10.660750367394098</v>
      </c>
      <c r="AR46" s="2">
        <v>8.4701798200685481</v>
      </c>
      <c r="AS46" s="2">
        <v>45.684349282296594</v>
      </c>
      <c r="AT46" s="2">
        <v>16.890740604589492</v>
      </c>
      <c r="AU46" s="2">
        <v>17.206544296115545</v>
      </c>
      <c r="AV46" s="2">
        <v>28.337877264692139</v>
      </c>
      <c r="AW46" s="2">
        <v>17.368557371394619</v>
      </c>
      <c r="AX46" s="2">
        <v>20.896416696736395</v>
      </c>
      <c r="AY46" s="2">
        <v>13.549542054919183</v>
      </c>
      <c r="AZ46" s="2">
        <v>9.0833847072683263</v>
      </c>
      <c r="BA46" s="2">
        <v>13.960897990861438</v>
      </c>
      <c r="BB46" s="2">
        <v>10.255480092431304</v>
      </c>
      <c r="BC46" s="2">
        <v>11.866608314620258</v>
      </c>
      <c r="BD46" s="2">
        <v>11.295078551452141</v>
      </c>
      <c r="BE46" s="2">
        <v>30.52076850794408</v>
      </c>
      <c r="BF46" s="2">
        <v>13.226238231899179</v>
      </c>
      <c r="BG46" s="2">
        <v>14.540217394744662</v>
      </c>
      <c r="BH46" s="2">
        <v>17.017805922634132</v>
      </c>
      <c r="BI46" s="2">
        <v>12.763242006532368</v>
      </c>
      <c r="BJ46" s="2">
        <v>19.335793908837744</v>
      </c>
      <c r="BK46" s="2">
        <v>38.963567356045864</v>
      </c>
      <c r="BL46" s="2">
        <v>9.3952245054862971</v>
      </c>
      <c r="BM46" s="2">
        <v>16.635942097788273</v>
      </c>
      <c r="BN46" s="2">
        <v>13.974496974697432</v>
      </c>
      <c r="BO46" s="2">
        <v>68.65069877223722</v>
      </c>
      <c r="BP46" s="2">
        <v>8.4316073050547633</v>
      </c>
      <c r="BQ46" s="2">
        <v>8.8744960522475331</v>
      </c>
      <c r="BR46" s="2">
        <v>9.2456618519425948</v>
      </c>
      <c r="BS46" s="2">
        <v>7.9576769048731233</v>
      </c>
      <c r="BT46" s="2">
        <v>8.7536787846627888</v>
      </c>
      <c r="BU46" s="2">
        <v>9.2794493945796699</v>
      </c>
      <c r="BV46" s="2">
        <v>13.707041129411907</v>
      </c>
      <c r="BW46" s="2">
        <v>12.107368780969395</v>
      </c>
      <c r="BX46" s="2">
        <v>8.4272407267053548</v>
      </c>
      <c r="BY46" s="2">
        <v>8.3317110082936079</v>
      </c>
      <c r="BZ46" s="2">
        <v>20.765854962133492</v>
      </c>
      <c r="CA46" s="2">
        <v>15.696039357205237</v>
      </c>
      <c r="CB46" s="2">
        <v>38.123123445687071</v>
      </c>
      <c r="CC46" s="2">
        <v>47.676407473334088</v>
      </c>
      <c r="CD46" s="2">
        <v>8.5414278153475642</v>
      </c>
      <c r="CE46" s="2">
        <v>13.307447195772159</v>
      </c>
      <c r="CF46" s="2">
        <v>12.863716236905862</v>
      </c>
      <c r="CG46" s="2">
        <v>11.349240540771552</v>
      </c>
      <c r="CH46" s="2">
        <v>12.380249299377203</v>
      </c>
      <c r="CI46" s="2">
        <v>21.314704171077651</v>
      </c>
      <c r="CJ46" s="2">
        <v>8.2823402715471097</v>
      </c>
      <c r="CK46" s="2">
        <v>25.208294781341991</v>
      </c>
      <c r="CL46" s="2">
        <v>15.68421114853048</v>
      </c>
      <c r="CM46" s="2">
        <v>13.676774220980086</v>
      </c>
      <c r="CN46" s="2">
        <v>14.835069811096883</v>
      </c>
      <c r="CO46" s="2">
        <v>39.642104825656865</v>
      </c>
      <c r="CP46" s="2">
        <v>9.3259066331977198</v>
      </c>
      <c r="CQ46" s="2">
        <v>9.3267961807484863</v>
      </c>
      <c r="CR46" s="2">
        <v>13.037250346411472</v>
      </c>
      <c r="CS46" s="2">
        <v>14.685253955994055</v>
      </c>
      <c r="CT46" s="2">
        <v>-2.7121638154974357</v>
      </c>
      <c r="CU46" s="2">
        <v>8.354381403729974</v>
      </c>
      <c r="CV46" s="2">
        <v>12.218537925588052</v>
      </c>
      <c r="CW46" s="2">
        <v>29.968693502812535</v>
      </c>
      <c r="CX46" s="2">
        <v>13.21083308395675</v>
      </c>
      <c r="CY46" s="2">
        <v>8.7865858501996534</v>
      </c>
      <c r="CZ46" s="2">
        <v>28.031746437343749</v>
      </c>
      <c r="DA46" s="2">
        <v>8.3667022563562075</v>
      </c>
      <c r="DB46" s="2">
        <v>10.978925111834032</v>
      </c>
      <c r="DC46" s="2">
        <v>13.096740465844499</v>
      </c>
      <c r="DD46" s="2">
        <v>12.495624413987299</v>
      </c>
      <c r="DE46" s="2">
        <v>12.700452240560704</v>
      </c>
      <c r="DF46" s="2">
        <v>10.826051985031972</v>
      </c>
      <c r="DG46" s="2">
        <v>18.564965983979508</v>
      </c>
      <c r="DH46" s="2">
        <v>10.986106824276867</v>
      </c>
      <c r="DI46" s="2">
        <v>10.6616712422648</v>
      </c>
      <c r="DJ46" s="2">
        <v>17.864022756627932</v>
      </c>
      <c r="DK46" s="2">
        <v>8.1616712422648021</v>
      </c>
      <c r="DL46" s="2">
        <v>8.4295039815735393</v>
      </c>
      <c r="DM46" s="2">
        <v>12.130032896833733</v>
      </c>
      <c r="DN46" s="2">
        <v>11.92856035327395</v>
      </c>
      <c r="DO46" s="2">
        <v>29.00251651656006</v>
      </c>
      <c r="DP46" s="2">
        <v>73.48312437393372</v>
      </c>
      <c r="DQ46" s="2">
        <v>33.362654197602403</v>
      </c>
      <c r="DR46" s="2">
        <v>8.0520375708467498</v>
      </c>
      <c r="DS46" s="2">
        <v>20.5707038364704</v>
      </c>
      <c r="DT46" s="2">
        <v>14.945434565200628</v>
      </c>
      <c r="DU46" s="2">
        <v>8.2919197900671993</v>
      </c>
      <c r="DV46" s="2">
        <v>12.384348441811438</v>
      </c>
      <c r="DW46" s="2">
        <v>34.94291687469866</v>
      </c>
      <c r="DX46" s="2">
        <v>43.841043804515074</v>
      </c>
      <c r="DY46" s="2">
        <v>20.028240696253086</v>
      </c>
      <c r="DZ46" s="2">
        <v>15.325795276303628</v>
      </c>
      <c r="EA46" s="2">
        <v>16.307151663037928</v>
      </c>
      <c r="EB46" s="2">
        <v>13.254295326999218</v>
      </c>
      <c r="EC46" s="2">
        <v>17.643607980375922</v>
      </c>
      <c r="ED46" s="2">
        <v>8.2498432567223965</v>
      </c>
      <c r="EE46" s="2">
        <v>29.374277335797977</v>
      </c>
      <c r="EF46" s="2">
        <v>23.353687520894635</v>
      </c>
      <c r="EG46" s="2">
        <v>22.574056250575421</v>
      </c>
      <c r="EH46" s="2">
        <v>18.04370505024054</v>
      </c>
      <c r="EI46" s="2">
        <v>17.08742256801871</v>
      </c>
      <c r="EJ46" s="2">
        <v>21.623475100110163</v>
      </c>
      <c r="EK46" s="2">
        <v>10.155777706449031</v>
      </c>
      <c r="EL46" s="2">
        <v>13.156182182219819</v>
      </c>
      <c r="EM46" s="2">
        <v>12.808143950892388</v>
      </c>
      <c r="EN46" s="2">
        <v>11.529347377083456</v>
      </c>
      <c r="EO46" s="2">
        <v>19.445161981432971</v>
      </c>
      <c r="EP46" s="2">
        <v>14.82309060515308</v>
      </c>
      <c r="EQ46" s="2">
        <v>14.060840288192837</v>
      </c>
      <c r="ER46" s="2">
        <v>18.516302547482915</v>
      </c>
      <c r="ES46" s="2">
        <v>10.795368705553999</v>
      </c>
      <c r="ET46" s="2">
        <v>8.3497439567021718</v>
      </c>
      <c r="EU46" s="2">
        <v>15.929104496493526</v>
      </c>
      <c r="EV46" s="31">
        <v>13.612951853683565</v>
      </c>
    </row>
    <row r="47" spans="1:152" x14ac:dyDescent="0.3">
      <c r="A47" s="22" t="s">
        <v>67</v>
      </c>
      <c r="B47" s="23">
        <v>14000</v>
      </c>
      <c r="D47" s="3" t="s">
        <v>18</v>
      </c>
      <c r="E47" s="2">
        <v>5.8658571516169156</v>
      </c>
      <c r="F47" s="2">
        <v>10.786447311664485</v>
      </c>
      <c r="G47" s="2">
        <v>9.3958828375407695</v>
      </c>
      <c r="H47" s="2">
        <v>15.753151864768723</v>
      </c>
      <c r="I47" s="2">
        <v>9.0697527168283774</v>
      </c>
      <c r="J47" s="2">
        <v>5.8705169702981888</v>
      </c>
      <c r="K47" s="2">
        <v>6.6625706793030446</v>
      </c>
      <c r="L47" s="2">
        <v>6.4781894304829173</v>
      </c>
      <c r="M47" s="2">
        <v>11.794881786819753</v>
      </c>
      <c r="N47" s="2">
        <v>18.699056708211003</v>
      </c>
      <c r="O47" s="2">
        <v>42.591344157458508</v>
      </c>
      <c r="P47" s="2">
        <v>15.950764506874535</v>
      </c>
      <c r="Q47" s="2">
        <v>9.7317190381731038</v>
      </c>
      <c r="R47" s="2">
        <v>12.976719930469331</v>
      </c>
      <c r="S47" s="2">
        <v>8.052925763328707</v>
      </c>
      <c r="T47" s="2">
        <v>32.261427675113509</v>
      </c>
      <c r="U47" s="2">
        <v>22.834351373013625</v>
      </c>
      <c r="V47" s="2">
        <v>25.549914174095566</v>
      </c>
      <c r="W47" s="2">
        <v>10.161540900532401</v>
      </c>
      <c r="X47" s="2">
        <v>17.181856277956271</v>
      </c>
      <c r="Y47" s="2">
        <v>18.781391805427958</v>
      </c>
      <c r="Z47" s="2">
        <v>29.021621686091517</v>
      </c>
      <c r="AA47" s="2">
        <v>10.616725028028933</v>
      </c>
      <c r="AB47" s="2">
        <v>5.8721447040613999</v>
      </c>
      <c r="AC47" s="2">
        <v>11.591057361042955</v>
      </c>
      <c r="AD47" s="2">
        <v>8.8834643979804362</v>
      </c>
      <c r="AE47" s="2">
        <v>27.780827310899102</v>
      </c>
      <c r="AF47" s="2">
        <v>21.502861203328138</v>
      </c>
      <c r="AG47" s="2">
        <v>21.031746245917653</v>
      </c>
      <c r="AH47" s="2">
        <v>8.4787614912814568</v>
      </c>
      <c r="AI47" s="2">
        <v>27.837976511310071</v>
      </c>
      <c r="AJ47" s="2">
        <v>11.638761789538977</v>
      </c>
      <c r="AK47" s="2">
        <v>19.196685450313186</v>
      </c>
      <c r="AL47" s="2">
        <v>15.154915824811519</v>
      </c>
      <c r="AM47" s="2">
        <v>10.937367295481129</v>
      </c>
      <c r="AN47" s="2">
        <v>17.405423571620556</v>
      </c>
      <c r="AO47" s="2">
        <v>22.606467940135122</v>
      </c>
      <c r="AP47" s="2">
        <v>31.462140429973196</v>
      </c>
      <c r="AQ47" s="2">
        <v>11.660750367394099</v>
      </c>
      <c r="AR47" s="2">
        <v>5.9701798200685481</v>
      </c>
      <c r="AS47" s="2">
        <v>45.684349282296594</v>
      </c>
      <c r="AT47" s="2">
        <v>14.390740604589487</v>
      </c>
      <c r="AU47" s="2">
        <v>17.206544296115545</v>
      </c>
      <c r="AV47" s="2">
        <v>28.337877264692139</v>
      </c>
      <c r="AW47" s="2">
        <v>18.368557371394616</v>
      </c>
      <c r="AX47" s="2">
        <v>18.396416696736399</v>
      </c>
      <c r="AY47" s="2">
        <v>11.049542054919183</v>
      </c>
      <c r="AZ47" s="2">
        <v>5.5833847072683263</v>
      </c>
      <c r="BA47" s="2">
        <v>13.977177373611738</v>
      </c>
      <c r="BB47" s="2">
        <v>7.7554800924313056</v>
      </c>
      <c r="BC47" s="2">
        <v>12.866608314620263</v>
      </c>
      <c r="BD47" s="2">
        <v>8.7950785514521428</v>
      </c>
      <c r="BE47" s="2">
        <v>31.520768507944087</v>
      </c>
      <c r="BF47" s="2">
        <v>14.226238231899179</v>
      </c>
      <c r="BG47" s="2">
        <v>11.040217394744666</v>
      </c>
      <c r="BH47" s="2">
        <v>17.017805922634132</v>
      </c>
      <c r="BI47" s="2">
        <v>15.263242006532362</v>
      </c>
      <c r="BJ47" s="2">
        <v>19.335793908837744</v>
      </c>
      <c r="BK47" s="2">
        <v>36.463567356045878</v>
      </c>
      <c r="BL47" s="2">
        <v>5.8952245054862926</v>
      </c>
      <c r="BM47" s="2">
        <v>19.135942097788277</v>
      </c>
      <c r="BN47" s="2">
        <v>11.474496974697427</v>
      </c>
      <c r="BO47" s="2">
        <v>71.150698772237234</v>
      </c>
      <c r="BP47" s="2">
        <v>9.4316073050547669</v>
      </c>
      <c r="BQ47" s="2">
        <v>9.8744960522475314</v>
      </c>
      <c r="BR47" s="2">
        <v>11.745661851942595</v>
      </c>
      <c r="BS47" s="2">
        <v>10.457676904873127</v>
      </c>
      <c r="BT47" s="2">
        <v>6.2536787846627906</v>
      </c>
      <c r="BU47" s="2">
        <v>5.7794493945796646</v>
      </c>
      <c r="BV47" s="2">
        <v>14.707041129411918</v>
      </c>
      <c r="BW47" s="2">
        <v>9.6073687809693897</v>
      </c>
      <c r="BX47" s="2">
        <v>5.927240726705354</v>
      </c>
      <c r="BY47" s="2">
        <v>5.8317110082936132</v>
      </c>
      <c r="BZ47" s="2">
        <v>20.765854962133492</v>
      </c>
      <c r="CA47" s="2">
        <v>18.196039357205226</v>
      </c>
      <c r="CB47" s="2">
        <v>34.623123445687071</v>
      </c>
      <c r="CC47" s="2">
        <v>47.676407473334088</v>
      </c>
      <c r="CD47" s="2">
        <v>6.0414278153475642</v>
      </c>
      <c r="CE47" s="2">
        <v>14.307447195772166</v>
      </c>
      <c r="CF47" s="2">
        <v>10.36311170670324</v>
      </c>
      <c r="CG47" s="2">
        <v>7.8492405407715484</v>
      </c>
      <c r="CH47" s="2">
        <v>13.380249299377207</v>
      </c>
      <c r="CI47" s="2">
        <v>21.314704171077651</v>
      </c>
      <c r="CJ47" s="2">
        <v>5.7823402715471124</v>
      </c>
      <c r="CK47" s="2">
        <v>25.208294781341991</v>
      </c>
      <c r="CL47" s="2">
        <v>13.184211148530482</v>
      </c>
      <c r="CM47" s="2">
        <v>14.676774220980079</v>
      </c>
      <c r="CN47" s="2">
        <v>12.335069811096881</v>
      </c>
      <c r="CO47" s="2">
        <v>39.642104825656865</v>
      </c>
      <c r="CP47" s="2">
        <v>6.8259066331977163</v>
      </c>
      <c r="CQ47" s="2">
        <v>5.826796180748488</v>
      </c>
      <c r="CR47" s="2">
        <v>14.037250346411476</v>
      </c>
      <c r="CS47" s="2">
        <v>15.68525395599406</v>
      </c>
      <c r="CT47" s="2">
        <v>-1.7121638154974368</v>
      </c>
      <c r="CU47" s="2">
        <v>5.8543814037299731</v>
      </c>
      <c r="CV47" s="2">
        <v>14.718537925588024</v>
      </c>
      <c r="CW47" s="2">
        <v>29.968693502812535</v>
      </c>
      <c r="CX47" s="2">
        <v>9.7108330839567536</v>
      </c>
      <c r="CY47" s="2">
        <v>6.2865858501996561</v>
      </c>
      <c r="CZ47" s="2">
        <v>28.031746437343749</v>
      </c>
      <c r="DA47" s="2">
        <v>9.3667022563562021</v>
      </c>
      <c r="DB47" s="2">
        <v>8.4789251118340321</v>
      </c>
      <c r="DC47" s="2">
        <v>13.096740465844499</v>
      </c>
      <c r="DD47" s="2">
        <v>13.495624413987301</v>
      </c>
      <c r="DE47" s="2">
        <v>12.700452240560704</v>
      </c>
      <c r="DF47" s="2">
        <v>11.826051985031974</v>
      </c>
      <c r="DG47" s="2">
        <v>19.564965983979501</v>
      </c>
      <c r="DH47" s="2">
        <v>11.986106824276867</v>
      </c>
      <c r="DI47" s="2">
        <v>11.661671242264802</v>
      </c>
      <c r="DJ47" s="2">
        <v>20.364022756627929</v>
      </c>
      <c r="DK47" s="2">
        <v>5.6616712422648021</v>
      </c>
      <c r="DL47" s="2">
        <v>5.9295039815735384</v>
      </c>
      <c r="DM47" s="2">
        <v>12.130032896833733</v>
      </c>
      <c r="DN47" s="2">
        <v>12.928560353273953</v>
      </c>
      <c r="DO47" s="2">
        <v>29.00251651656006</v>
      </c>
      <c r="DP47" s="2">
        <v>73.48312437393372</v>
      </c>
      <c r="DQ47" s="2">
        <v>33.362654197602403</v>
      </c>
      <c r="DR47" s="2">
        <v>10.55203757084675</v>
      </c>
      <c r="DS47" s="2">
        <v>20.5707038364704</v>
      </c>
      <c r="DT47" s="2">
        <v>12.445434565200632</v>
      </c>
      <c r="DU47" s="2">
        <v>5.7919197900671966</v>
      </c>
      <c r="DV47" s="2">
        <v>8.8843484418114418</v>
      </c>
      <c r="DW47" s="2">
        <v>34.94291687469866</v>
      </c>
      <c r="DX47" s="2">
        <v>44.841043804515067</v>
      </c>
      <c r="DY47" s="2">
        <v>20.028240696253086</v>
      </c>
      <c r="DZ47" s="2">
        <v>16.325795276303626</v>
      </c>
      <c r="EA47" s="2">
        <v>17.307151663037921</v>
      </c>
      <c r="EB47" s="2">
        <v>9.7542953269992196</v>
      </c>
      <c r="EC47" s="2">
        <v>18.643607980375929</v>
      </c>
      <c r="ED47" s="2">
        <v>9.2498432567223929</v>
      </c>
      <c r="EE47" s="2">
        <v>29.374277335797977</v>
      </c>
      <c r="EF47" s="2">
        <v>23.353687520894635</v>
      </c>
      <c r="EG47" s="2">
        <v>22.574056250575421</v>
      </c>
      <c r="EH47" s="2">
        <v>19.043705050240533</v>
      </c>
      <c r="EI47" s="2">
        <v>14.587422568018711</v>
      </c>
      <c r="EJ47" s="2">
        <v>19.123475100110163</v>
      </c>
      <c r="EK47" s="2">
        <v>6.6557777064490313</v>
      </c>
      <c r="EL47" s="2">
        <v>15.656182182219821</v>
      </c>
      <c r="EM47" s="2">
        <v>13.80814395089239</v>
      </c>
      <c r="EN47" s="2">
        <v>12.529347377083457</v>
      </c>
      <c r="EO47" s="2">
        <v>19.445161981432971</v>
      </c>
      <c r="EP47" s="2">
        <v>14.82309060515308</v>
      </c>
      <c r="EQ47" s="2">
        <v>11.560840288192834</v>
      </c>
      <c r="ER47" s="2">
        <v>21.016302547482919</v>
      </c>
      <c r="ES47" s="2">
        <v>8.2953687055539884</v>
      </c>
      <c r="ET47" s="2">
        <v>9.3497439567021683</v>
      </c>
      <c r="EU47" s="2">
        <v>16.947112602374144</v>
      </c>
      <c r="EV47" s="31">
        <v>14.612951853683562</v>
      </c>
    </row>
    <row r="48" spans="1:152" x14ac:dyDescent="0.3">
      <c r="A48" s="22" t="s">
        <v>68</v>
      </c>
      <c r="B48" s="23">
        <v>5000</v>
      </c>
      <c r="D48" s="3" t="s">
        <v>26</v>
      </c>
      <c r="E48" s="2">
        <v>9.3658571516169147</v>
      </c>
      <c r="F48" s="2">
        <v>11.786447311664487</v>
      </c>
      <c r="G48" s="2">
        <v>10.245882837540771</v>
      </c>
      <c r="H48" s="2">
        <v>16.603151864768723</v>
      </c>
      <c r="I48" s="2">
        <v>12.569752716828377</v>
      </c>
      <c r="J48" s="2">
        <v>9.3705169702981905</v>
      </c>
      <c r="K48" s="2">
        <v>10.162570679303046</v>
      </c>
      <c r="L48" s="2">
        <v>10.828189430482913</v>
      </c>
      <c r="M48" s="2">
        <v>12.794881786819753</v>
      </c>
      <c r="N48" s="2">
        <v>19.549056708211001</v>
      </c>
      <c r="O48" s="2">
        <v>38.241344157458492</v>
      </c>
      <c r="P48" s="2">
        <v>19.450764506874542</v>
      </c>
      <c r="Q48" s="2">
        <v>9.7317190381731038</v>
      </c>
      <c r="R48" s="2">
        <v>13.826719930469341</v>
      </c>
      <c r="S48" s="2">
        <v>11.552925763328709</v>
      </c>
      <c r="T48" s="2">
        <v>28.011427675113534</v>
      </c>
      <c r="U48" s="2">
        <v>26.334351373013618</v>
      </c>
      <c r="V48" s="2">
        <v>21.199914174095575</v>
      </c>
      <c r="W48" s="2">
        <v>5.8115409005324015</v>
      </c>
      <c r="X48" s="2">
        <v>17.181856277956271</v>
      </c>
      <c r="Y48" s="2">
        <v>14.431391805427959</v>
      </c>
      <c r="Z48" s="2">
        <v>33.371621686091508</v>
      </c>
      <c r="AA48" s="2">
        <v>11.616725028028931</v>
      </c>
      <c r="AB48" s="2">
        <v>9.3721447040613999</v>
      </c>
      <c r="AC48" s="2">
        <v>7.2410573610429614</v>
      </c>
      <c r="AD48" s="2">
        <v>12.383464397980424</v>
      </c>
      <c r="AE48" s="2">
        <v>23.530827310899081</v>
      </c>
      <c r="AF48" s="2">
        <v>17.152861203328136</v>
      </c>
      <c r="AG48" s="2">
        <v>21.031746245917653</v>
      </c>
      <c r="AH48" s="2">
        <v>12.828761491281453</v>
      </c>
      <c r="AI48" s="2">
        <v>23.487976511310073</v>
      </c>
      <c r="AJ48" s="2">
        <v>11.638761789538977</v>
      </c>
      <c r="AK48" s="2">
        <v>19.196685450313186</v>
      </c>
      <c r="AL48" s="2">
        <v>15.154915824811519</v>
      </c>
      <c r="AM48" s="2">
        <v>10.937367295481129</v>
      </c>
      <c r="AN48" s="2">
        <v>17.405423571620556</v>
      </c>
      <c r="AO48" s="2">
        <v>18.256467940135114</v>
      </c>
      <c r="AP48" s="2">
        <v>27.112140429973181</v>
      </c>
      <c r="AQ48" s="2">
        <v>11.660750367394099</v>
      </c>
      <c r="AR48" s="2">
        <v>9.4701798200685516</v>
      </c>
      <c r="AS48" s="2">
        <v>41.334349282296593</v>
      </c>
      <c r="AT48" s="2">
        <v>17.890740604589485</v>
      </c>
      <c r="AU48" s="2">
        <v>12.856544296115553</v>
      </c>
      <c r="AV48" s="2">
        <v>28.337877264692139</v>
      </c>
      <c r="AW48" s="2">
        <v>18.368557371394616</v>
      </c>
      <c r="AX48" s="2">
        <v>21.896416696736395</v>
      </c>
      <c r="AY48" s="2">
        <v>14.549542054919183</v>
      </c>
      <c r="AZ48" s="2">
        <v>9.9333847072683259</v>
      </c>
      <c r="BA48" s="2">
        <v>9.7118301639132909</v>
      </c>
      <c r="BB48" s="2">
        <v>11.255480092431299</v>
      </c>
      <c r="BC48" s="2">
        <v>12.866608314620263</v>
      </c>
      <c r="BD48" s="2">
        <v>12.295078551452141</v>
      </c>
      <c r="BE48" s="2">
        <v>31.520768507944087</v>
      </c>
      <c r="BF48" s="2">
        <v>14.226238231899179</v>
      </c>
      <c r="BG48" s="2">
        <v>15.390217394744665</v>
      </c>
      <c r="BH48" s="2">
        <v>12.767805922634137</v>
      </c>
      <c r="BI48" s="2">
        <v>15.263242006532362</v>
      </c>
      <c r="BJ48" s="2">
        <v>14.985793908837742</v>
      </c>
      <c r="BK48" s="2">
        <v>39.963567356045893</v>
      </c>
      <c r="BL48" s="2">
        <v>10.245224505486298</v>
      </c>
      <c r="BM48" s="2">
        <v>20.135942097788256</v>
      </c>
      <c r="BN48" s="2">
        <v>14.974496974697427</v>
      </c>
      <c r="BO48" s="2">
        <v>71.150698772237234</v>
      </c>
      <c r="BP48" s="2">
        <v>9.4316073050547669</v>
      </c>
      <c r="BQ48" s="2">
        <v>9.8744960522475314</v>
      </c>
      <c r="BR48" s="2">
        <v>11.745661851942595</v>
      </c>
      <c r="BS48" s="2">
        <v>10.457676904873127</v>
      </c>
      <c r="BT48" s="2">
        <v>9.7536787846627941</v>
      </c>
      <c r="BU48" s="2">
        <v>10.12944939457967</v>
      </c>
      <c r="BV48" s="2">
        <v>15.557041129411923</v>
      </c>
      <c r="BW48" s="2">
        <v>13.107368780969395</v>
      </c>
      <c r="BX48" s="2">
        <v>9.4272407267053548</v>
      </c>
      <c r="BY48" s="2">
        <v>9.3317110082936097</v>
      </c>
      <c r="BZ48" s="2">
        <v>16.515854962133496</v>
      </c>
      <c r="CA48" s="2">
        <v>19.196039357205226</v>
      </c>
      <c r="CB48" s="2">
        <v>38.973123445687079</v>
      </c>
      <c r="CC48" s="2">
        <v>47.676407473334088</v>
      </c>
      <c r="CD48" s="2">
        <v>9.5414278153475625</v>
      </c>
      <c r="CE48" s="2">
        <v>14.307447195772166</v>
      </c>
      <c r="CF48" s="2">
        <v>13.863625557375471</v>
      </c>
      <c r="CG48" s="2">
        <v>12.199240540771543</v>
      </c>
      <c r="CH48" s="2">
        <v>14.23024929937721</v>
      </c>
      <c r="CI48" s="2">
        <v>16.964704171077649</v>
      </c>
      <c r="CJ48" s="2">
        <v>9.2823402715471115</v>
      </c>
      <c r="CK48" s="2">
        <v>25.208294781341991</v>
      </c>
      <c r="CL48" s="2">
        <v>16.684211148530483</v>
      </c>
      <c r="CM48" s="2">
        <v>14.676774220980079</v>
      </c>
      <c r="CN48" s="2">
        <v>15.835069811096886</v>
      </c>
      <c r="CO48" s="2">
        <v>35.392104825656872</v>
      </c>
      <c r="CP48" s="2">
        <v>10.325906633197722</v>
      </c>
      <c r="CQ48" s="2">
        <v>10.176796180748488</v>
      </c>
      <c r="CR48" s="2">
        <v>14.037250346411476</v>
      </c>
      <c r="CS48" s="2">
        <v>15.68525395599406</v>
      </c>
      <c r="CT48" s="2">
        <v>-0.86216381549743704</v>
      </c>
      <c r="CU48" s="2">
        <v>9.3543814037299793</v>
      </c>
      <c r="CV48" s="2">
        <v>15.718537925588032</v>
      </c>
      <c r="CW48" s="2">
        <v>25.61869350281253</v>
      </c>
      <c r="CX48" s="2">
        <v>14.060833083956757</v>
      </c>
      <c r="CY48" s="2">
        <v>9.7865858501996534</v>
      </c>
      <c r="CZ48" s="2">
        <v>23.681746437343737</v>
      </c>
      <c r="DA48" s="2">
        <v>10.216702256356212</v>
      </c>
      <c r="DB48" s="2">
        <v>11.978925111834025</v>
      </c>
      <c r="DC48" s="2">
        <v>8.7467404658444945</v>
      </c>
      <c r="DD48" s="2">
        <v>13.495624413987301</v>
      </c>
      <c r="DE48" s="2">
        <v>8.4504522405607077</v>
      </c>
      <c r="DF48" s="2">
        <v>11.826051985031974</v>
      </c>
      <c r="DG48" s="2">
        <v>20.414965983979506</v>
      </c>
      <c r="DH48" s="2">
        <v>12.836106824276863</v>
      </c>
      <c r="DI48" s="2">
        <v>12.511671242264802</v>
      </c>
      <c r="DJ48" s="2">
        <v>21.364022756627929</v>
      </c>
      <c r="DK48" s="2">
        <v>9.1616712422648039</v>
      </c>
      <c r="DL48" s="2">
        <v>9.4295039815735429</v>
      </c>
      <c r="DM48" s="2">
        <v>7.7800328968337231</v>
      </c>
      <c r="DN48" s="2">
        <v>13.778560353273953</v>
      </c>
      <c r="DO48" s="2">
        <v>24.652516516560059</v>
      </c>
      <c r="DP48" s="2">
        <v>69.133124373933711</v>
      </c>
      <c r="DQ48" s="2">
        <v>29.012654197602409</v>
      </c>
      <c r="DR48" s="2">
        <v>11.552037570846748</v>
      </c>
      <c r="DS48" s="2">
        <v>16.220703836470403</v>
      </c>
      <c r="DT48" s="2">
        <v>15.94543456520063</v>
      </c>
      <c r="DU48" s="2">
        <v>9.2919197900671993</v>
      </c>
      <c r="DV48" s="2">
        <v>13.234348441811441</v>
      </c>
      <c r="DW48" s="2">
        <v>30.592916874698656</v>
      </c>
      <c r="DX48" s="2">
        <v>44.841043804515067</v>
      </c>
      <c r="DY48" s="2">
        <v>15.678240696253091</v>
      </c>
      <c r="DZ48" s="2">
        <v>17.175795276303635</v>
      </c>
      <c r="EA48" s="2">
        <v>18.157151663037929</v>
      </c>
      <c r="EB48" s="2">
        <v>14.104295326999226</v>
      </c>
      <c r="EC48" s="2">
        <v>19.49360798037592</v>
      </c>
      <c r="ED48" s="2">
        <v>9.2498432567223929</v>
      </c>
      <c r="EE48" s="2">
        <v>25.066107269846512</v>
      </c>
      <c r="EF48" s="2">
        <v>19.003687520894641</v>
      </c>
      <c r="EG48" s="2">
        <v>18.224056250575419</v>
      </c>
      <c r="EH48" s="2">
        <v>19.893705050240545</v>
      </c>
      <c r="EI48" s="2">
        <v>18.08742256801871</v>
      </c>
      <c r="EJ48" s="2">
        <v>22.623475100110159</v>
      </c>
      <c r="EK48" s="2">
        <v>11.005777706449031</v>
      </c>
      <c r="EL48" s="2">
        <v>15.656182182219821</v>
      </c>
      <c r="EM48" s="2">
        <v>13.80814395089239</v>
      </c>
      <c r="EN48" s="2">
        <v>12.529347377083457</v>
      </c>
      <c r="EO48" s="2">
        <v>19.445161981432971</v>
      </c>
      <c r="EP48" s="2">
        <v>14.82309060515308</v>
      </c>
      <c r="EQ48" s="2">
        <v>15.060840288192832</v>
      </c>
      <c r="ER48" s="2">
        <v>21.016302547482919</v>
      </c>
      <c r="ES48" s="2">
        <v>11.795368705553987</v>
      </c>
      <c r="ET48" s="2">
        <v>9.3497439567021683</v>
      </c>
      <c r="EU48" s="2">
        <v>16.959118006294549</v>
      </c>
      <c r="EV48" s="31">
        <v>14.612951853683562</v>
      </c>
    </row>
    <row r="49" spans="1:152" x14ac:dyDescent="0.3">
      <c r="A49" s="22" t="s">
        <v>69</v>
      </c>
      <c r="B49" s="23">
        <v>9000</v>
      </c>
      <c r="D49" s="3" t="s">
        <v>19</v>
      </c>
      <c r="E49" s="2">
        <v>5.8658571516169156</v>
      </c>
      <c r="F49" s="2">
        <v>10.786447311664485</v>
      </c>
      <c r="G49" s="2">
        <v>9.3958828375407695</v>
      </c>
      <c r="H49" s="2">
        <v>15.753151864768723</v>
      </c>
      <c r="I49" s="2">
        <v>9.0697527168283774</v>
      </c>
      <c r="J49" s="2">
        <v>5.8705169702981888</v>
      </c>
      <c r="K49" s="2">
        <v>6.6625706793030446</v>
      </c>
      <c r="L49" s="2">
        <v>6.4781894304829173</v>
      </c>
      <c r="M49" s="2">
        <v>11.794881786819753</v>
      </c>
      <c r="N49" s="2">
        <v>18.699056708211003</v>
      </c>
      <c r="O49" s="2">
        <v>42.591344157458508</v>
      </c>
      <c r="P49" s="2">
        <v>15.950764506874535</v>
      </c>
      <c r="Q49" s="2">
        <v>9.7317190381731038</v>
      </c>
      <c r="R49" s="2">
        <v>12.976719930469331</v>
      </c>
      <c r="S49" s="2">
        <v>8.052925763328707</v>
      </c>
      <c r="T49" s="2">
        <v>32.261427675113509</v>
      </c>
      <c r="U49" s="2">
        <v>22.834351373013625</v>
      </c>
      <c r="V49" s="2">
        <v>25.549914174095566</v>
      </c>
      <c r="W49" s="2">
        <v>10.161540900532401</v>
      </c>
      <c r="X49" s="2">
        <v>17.181856277956271</v>
      </c>
      <c r="Y49" s="2">
        <v>18.781391805427958</v>
      </c>
      <c r="Z49" s="2">
        <v>29.021621686091517</v>
      </c>
      <c r="AA49" s="2">
        <v>10.616725028028933</v>
      </c>
      <c r="AB49" s="2">
        <v>5.8721447040613999</v>
      </c>
      <c r="AC49" s="2">
        <v>11.591057361042955</v>
      </c>
      <c r="AD49" s="2">
        <v>8.8834643979804362</v>
      </c>
      <c r="AE49" s="2">
        <v>27.780827310899102</v>
      </c>
      <c r="AF49" s="2">
        <v>21.502861203328138</v>
      </c>
      <c r="AG49" s="2">
        <v>21.031746245917653</v>
      </c>
      <c r="AH49" s="2">
        <v>8.4787614912814568</v>
      </c>
      <c r="AI49" s="2">
        <v>27.837976511310071</v>
      </c>
      <c r="AJ49" s="2">
        <v>11.638761789538977</v>
      </c>
      <c r="AK49" s="2">
        <v>19.196685450313186</v>
      </c>
      <c r="AL49" s="2">
        <v>15.154915824811519</v>
      </c>
      <c r="AM49" s="2">
        <v>10.937367295481129</v>
      </c>
      <c r="AN49" s="2">
        <v>17.405423571620556</v>
      </c>
      <c r="AO49" s="2">
        <v>22.606467940135122</v>
      </c>
      <c r="AP49" s="2">
        <v>31.462140429973196</v>
      </c>
      <c r="AQ49" s="2">
        <v>11.660750367394099</v>
      </c>
      <c r="AR49" s="2">
        <v>5.9701798200685481</v>
      </c>
      <c r="AS49" s="2">
        <v>45.684349282296594</v>
      </c>
      <c r="AT49" s="2">
        <v>14.390740604589487</v>
      </c>
      <c r="AU49" s="2">
        <v>17.206544296115545</v>
      </c>
      <c r="AV49" s="2">
        <v>28.337877264692139</v>
      </c>
      <c r="AW49" s="2">
        <v>18.368557371394616</v>
      </c>
      <c r="AX49" s="2">
        <v>18.396416696736399</v>
      </c>
      <c r="AY49" s="2">
        <v>11.049542054919183</v>
      </c>
      <c r="AZ49" s="2">
        <v>5.5833847072683263</v>
      </c>
      <c r="BA49" s="2">
        <v>13.977177373611738</v>
      </c>
      <c r="BB49" s="2">
        <v>7.7554800924313056</v>
      </c>
      <c r="BC49" s="2">
        <v>12.866608314620263</v>
      </c>
      <c r="BD49" s="2">
        <v>8.7950785514521428</v>
      </c>
      <c r="BE49" s="2">
        <v>31.520768507944087</v>
      </c>
      <c r="BF49" s="2">
        <v>14.226238231899179</v>
      </c>
      <c r="BG49" s="2">
        <v>11.040217394744666</v>
      </c>
      <c r="BH49" s="2">
        <v>17.017805922634132</v>
      </c>
      <c r="BI49" s="2">
        <v>15.263242006532362</v>
      </c>
      <c r="BJ49" s="2">
        <v>19.335793908837744</v>
      </c>
      <c r="BK49" s="2">
        <v>36.463567356045878</v>
      </c>
      <c r="BL49" s="2">
        <v>5.8952245054862926</v>
      </c>
      <c r="BM49" s="2">
        <v>19.135942097788277</v>
      </c>
      <c r="BN49" s="2">
        <v>11.474496974697427</v>
      </c>
      <c r="BO49" s="2">
        <v>71.150698772237234</v>
      </c>
      <c r="BP49" s="2">
        <v>9.4316073050547669</v>
      </c>
      <c r="BQ49" s="2">
        <v>9.8744960522475314</v>
      </c>
      <c r="BR49" s="2">
        <v>11.745661851942595</v>
      </c>
      <c r="BS49" s="2">
        <v>10.457676904873127</v>
      </c>
      <c r="BT49" s="2">
        <v>6.2536787846627906</v>
      </c>
      <c r="BU49" s="2">
        <v>5.7794493945796646</v>
      </c>
      <c r="BV49" s="2">
        <v>14.707041129411918</v>
      </c>
      <c r="BW49" s="2">
        <v>9.6073687809693897</v>
      </c>
      <c r="BX49" s="2">
        <v>5.927240726705354</v>
      </c>
      <c r="BY49" s="2">
        <v>5.8317110082936132</v>
      </c>
      <c r="BZ49" s="2">
        <v>20.765854962133492</v>
      </c>
      <c r="CA49" s="2">
        <v>18.196039357205226</v>
      </c>
      <c r="CB49" s="2">
        <v>34.623123445687071</v>
      </c>
      <c r="CC49" s="2">
        <v>47.676407473334088</v>
      </c>
      <c r="CD49" s="2">
        <v>6.0414278153475642</v>
      </c>
      <c r="CE49" s="2">
        <v>14.307447195772166</v>
      </c>
      <c r="CF49" s="2">
        <v>10.36311170670324</v>
      </c>
      <c r="CG49" s="2">
        <v>7.8492405407715484</v>
      </c>
      <c r="CH49" s="2">
        <v>13.380249299377207</v>
      </c>
      <c r="CI49" s="2">
        <v>21.314704171077651</v>
      </c>
      <c r="CJ49" s="2">
        <v>5.7823402715471124</v>
      </c>
      <c r="CK49" s="2">
        <v>25.208294781341991</v>
      </c>
      <c r="CL49" s="2">
        <v>13.184211148530482</v>
      </c>
      <c r="CM49" s="2">
        <v>14.676774220980079</v>
      </c>
      <c r="CN49" s="2">
        <v>12.335069811096881</v>
      </c>
      <c r="CO49" s="2">
        <v>39.642104825656865</v>
      </c>
      <c r="CP49" s="2">
        <v>6.8259066331977163</v>
      </c>
      <c r="CQ49" s="2">
        <v>5.826796180748488</v>
      </c>
      <c r="CR49" s="2">
        <v>14.037250346411476</v>
      </c>
      <c r="CS49" s="2">
        <v>15.68525395599406</v>
      </c>
      <c r="CT49" s="2">
        <v>-1.7121638154974368</v>
      </c>
      <c r="CU49" s="2">
        <v>5.8543814037299731</v>
      </c>
      <c r="CV49" s="2">
        <v>14.718537925588024</v>
      </c>
      <c r="CW49" s="2">
        <v>29.968693502812535</v>
      </c>
      <c r="CX49" s="2">
        <v>9.7108330839567536</v>
      </c>
      <c r="CY49" s="2">
        <v>6.2865858501996561</v>
      </c>
      <c r="CZ49" s="2">
        <v>28.031746437343749</v>
      </c>
      <c r="DA49" s="2">
        <v>9.3667022563562021</v>
      </c>
      <c r="DB49" s="2">
        <v>8.4789251118340321</v>
      </c>
      <c r="DC49" s="2">
        <v>13.096740465844499</v>
      </c>
      <c r="DD49" s="2">
        <v>13.495624413987301</v>
      </c>
      <c r="DE49" s="2">
        <v>12.700452240560704</v>
      </c>
      <c r="DF49" s="2">
        <v>11.826051985031974</v>
      </c>
      <c r="DG49" s="2">
        <v>19.564965983979501</v>
      </c>
      <c r="DH49" s="2">
        <v>11.986106824276867</v>
      </c>
      <c r="DI49" s="2">
        <v>11.661671242264802</v>
      </c>
      <c r="DJ49" s="2">
        <v>20.364022756627929</v>
      </c>
      <c r="DK49" s="2">
        <v>5.6616712422648021</v>
      </c>
      <c r="DL49" s="2">
        <v>5.9295039815735384</v>
      </c>
      <c r="DM49" s="2">
        <v>12.130032896833733</v>
      </c>
      <c r="DN49" s="2">
        <v>12.928560353273953</v>
      </c>
      <c r="DO49" s="2">
        <v>29.00251651656006</v>
      </c>
      <c r="DP49" s="2">
        <v>73.48312437393372</v>
      </c>
      <c r="DQ49" s="2">
        <v>33.362654197602403</v>
      </c>
      <c r="DR49" s="2">
        <v>10.55203757084675</v>
      </c>
      <c r="DS49" s="2">
        <v>20.5707038364704</v>
      </c>
      <c r="DT49" s="2">
        <v>12.445434565200632</v>
      </c>
      <c r="DU49" s="2">
        <v>5.7919197900671966</v>
      </c>
      <c r="DV49" s="2">
        <v>8.8843484418114418</v>
      </c>
      <c r="DW49" s="2">
        <v>34.94291687469866</v>
      </c>
      <c r="DX49" s="2">
        <v>44.841043804515067</v>
      </c>
      <c r="DY49" s="2">
        <v>20.028240696253086</v>
      </c>
      <c r="DZ49" s="2">
        <v>16.325795276303626</v>
      </c>
      <c r="EA49" s="2">
        <v>17.307151663037921</v>
      </c>
      <c r="EB49" s="2">
        <v>9.7542953269992196</v>
      </c>
      <c r="EC49" s="2">
        <v>18.643607980375929</v>
      </c>
      <c r="ED49" s="2">
        <v>9.2498432567223929</v>
      </c>
      <c r="EE49" s="2">
        <v>29.374277335797977</v>
      </c>
      <c r="EF49" s="2">
        <v>23.353687520894635</v>
      </c>
      <c r="EG49" s="2">
        <v>22.574056250575421</v>
      </c>
      <c r="EH49" s="2">
        <v>19.043705050240533</v>
      </c>
      <c r="EI49" s="2">
        <v>14.587422568018711</v>
      </c>
      <c r="EJ49" s="2">
        <v>19.123475100110163</v>
      </c>
      <c r="EK49" s="2">
        <v>6.6557777064490313</v>
      </c>
      <c r="EL49" s="2">
        <v>15.656182182219821</v>
      </c>
      <c r="EM49" s="2">
        <v>13.80814395089239</v>
      </c>
      <c r="EN49" s="2">
        <v>12.529347377083457</v>
      </c>
      <c r="EO49" s="2">
        <v>19.445161981432971</v>
      </c>
      <c r="EP49" s="2">
        <v>14.82309060515308</v>
      </c>
      <c r="EQ49" s="2">
        <v>11.560840288192834</v>
      </c>
      <c r="ER49" s="2">
        <v>21.016302547482919</v>
      </c>
      <c r="ES49" s="2">
        <v>8.2953687055539884</v>
      </c>
      <c r="ET49" s="2">
        <v>9.3497439567021683</v>
      </c>
      <c r="EU49" s="2">
        <v>16.947112602374144</v>
      </c>
      <c r="EV49" s="31">
        <v>14.612951853683562</v>
      </c>
    </row>
    <row r="50" spans="1:152" x14ac:dyDescent="0.3">
      <c r="A50" s="22" t="s">
        <v>70</v>
      </c>
      <c r="B50" s="23">
        <v>9000</v>
      </c>
      <c r="D50" s="3" t="s">
        <v>12</v>
      </c>
      <c r="E50" s="2">
        <v>5.8658571516169156</v>
      </c>
      <c r="F50" s="2">
        <v>11.786447311664487</v>
      </c>
      <c r="G50" s="2">
        <v>9.3958828375407695</v>
      </c>
      <c r="H50" s="2">
        <v>15.753151864768723</v>
      </c>
      <c r="I50" s="2">
        <v>9.0697527168283774</v>
      </c>
      <c r="J50" s="2">
        <v>5.8705169702981888</v>
      </c>
      <c r="K50" s="2">
        <v>6.6625706793030446</v>
      </c>
      <c r="L50" s="2">
        <v>6.4781894304829173</v>
      </c>
      <c r="M50" s="2">
        <v>12.794881786819753</v>
      </c>
      <c r="N50" s="2">
        <v>18.699056708211003</v>
      </c>
      <c r="O50" s="2">
        <v>42.591344157458508</v>
      </c>
      <c r="P50" s="2">
        <v>15.950764506874535</v>
      </c>
      <c r="Q50" s="2">
        <v>10.581719038173103</v>
      </c>
      <c r="R50" s="2">
        <v>12.976719930469331</v>
      </c>
      <c r="S50" s="2">
        <v>8.052925763328707</v>
      </c>
      <c r="T50" s="2">
        <v>32.261427675113509</v>
      </c>
      <c r="U50" s="2">
        <v>22.834351373013625</v>
      </c>
      <c r="V50" s="2">
        <v>25.549914174095566</v>
      </c>
      <c r="W50" s="2">
        <v>10.161540900532401</v>
      </c>
      <c r="X50" s="2">
        <v>18.031856277956276</v>
      </c>
      <c r="Y50" s="2">
        <v>18.781391805427958</v>
      </c>
      <c r="Z50" s="2">
        <v>29.021621686091517</v>
      </c>
      <c r="AA50" s="2">
        <v>11.616725028028931</v>
      </c>
      <c r="AB50" s="2">
        <v>5.8721447040613999</v>
      </c>
      <c r="AC50" s="2">
        <v>11.591057361042955</v>
      </c>
      <c r="AD50" s="2">
        <v>8.8834643979804362</v>
      </c>
      <c r="AE50" s="2">
        <v>27.780827310899102</v>
      </c>
      <c r="AF50" s="2">
        <v>21.502861203328138</v>
      </c>
      <c r="AG50" s="2">
        <v>21.031746245917653</v>
      </c>
      <c r="AH50" s="2">
        <v>8.4787614912814568</v>
      </c>
      <c r="AI50" s="2">
        <v>27.837976511310071</v>
      </c>
      <c r="AJ50" s="2">
        <v>12.488761789538971</v>
      </c>
      <c r="AK50" s="2">
        <v>20.046685450313184</v>
      </c>
      <c r="AL50" s="2">
        <v>16.004915824811519</v>
      </c>
      <c r="AM50" s="2">
        <v>11.787367295481127</v>
      </c>
      <c r="AN50" s="2">
        <v>18.255423571620561</v>
      </c>
      <c r="AO50" s="2">
        <v>22.606467940135122</v>
      </c>
      <c r="AP50" s="2">
        <v>31.462140429973196</v>
      </c>
      <c r="AQ50" s="2">
        <v>12.510750367394103</v>
      </c>
      <c r="AR50" s="2">
        <v>5.9701798200685481</v>
      </c>
      <c r="AS50" s="2">
        <v>45.684349282296594</v>
      </c>
      <c r="AT50" s="2">
        <v>14.390740604589487</v>
      </c>
      <c r="AU50" s="2">
        <v>17.206544296115545</v>
      </c>
      <c r="AV50" s="2">
        <v>28.337877264692139</v>
      </c>
      <c r="AW50" s="2">
        <v>19.218557371394628</v>
      </c>
      <c r="AX50" s="2">
        <v>18.396416696736399</v>
      </c>
      <c r="AY50" s="2">
        <v>11.049542054919183</v>
      </c>
      <c r="AZ50" s="2">
        <v>5.5833847072683263</v>
      </c>
      <c r="BA50" s="2">
        <v>13.977177373611738</v>
      </c>
      <c r="BB50" s="2">
        <v>7.7554800924313056</v>
      </c>
      <c r="BC50" s="2">
        <v>13.716608314620265</v>
      </c>
      <c r="BD50" s="2">
        <v>8.7950785514521428</v>
      </c>
      <c r="BE50" s="2">
        <v>32.370768507944078</v>
      </c>
      <c r="BF50" s="2">
        <v>15.076238231899184</v>
      </c>
      <c r="BG50" s="2">
        <v>11.040217394744666</v>
      </c>
      <c r="BH50" s="2">
        <v>17.017805922634132</v>
      </c>
      <c r="BI50" s="2">
        <v>15.263242006532362</v>
      </c>
      <c r="BJ50" s="2">
        <v>19.335793908837744</v>
      </c>
      <c r="BK50" s="2">
        <v>36.463567356045878</v>
      </c>
      <c r="BL50" s="2">
        <v>5.8952245054862926</v>
      </c>
      <c r="BM50" s="2">
        <v>20.135942097788256</v>
      </c>
      <c r="BN50" s="2">
        <v>11.474496974697427</v>
      </c>
      <c r="BO50" s="2">
        <v>71.150698772237234</v>
      </c>
      <c r="BP50" s="2">
        <v>10.281607305054765</v>
      </c>
      <c r="BQ50" s="2">
        <v>10.724496052247527</v>
      </c>
      <c r="BR50" s="2">
        <v>11.745661851942595</v>
      </c>
      <c r="BS50" s="2">
        <v>10.457676904873127</v>
      </c>
      <c r="BT50" s="2">
        <v>6.2536787846627906</v>
      </c>
      <c r="BU50" s="2">
        <v>5.7794493945796646</v>
      </c>
      <c r="BV50" s="2">
        <v>14.707041129411918</v>
      </c>
      <c r="BW50" s="2">
        <v>9.6073687809693897</v>
      </c>
      <c r="BX50" s="2">
        <v>5.927240726705354</v>
      </c>
      <c r="BY50" s="2">
        <v>5.8317110082936132</v>
      </c>
      <c r="BZ50" s="2">
        <v>20.765854962133492</v>
      </c>
      <c r="CA50" s="2">
        <v>19.196039357205226</v>
      </c>
      <c r="CB50" s="2">
        <v>34.623123445687071</v>
      </c>
      <c r="CC50" s="2">
        <v>47.676407473334088</v>
      </c>
      <c r="CD50" s="2">
        <v>6.0414278153475642</v>
      </c>
      <c r="CE50" s="2">
        <v>15.157447195772175</v>
      </c>
      <c r="CF50" s="2">
        <v>10.36311170670324</v>
      </c>
      <c r="CG50" s="2">
        <v>7.8492405407715484</v>
      </c>
      <c r="CH50" s="2">
        <v>13.380249299377207</v>
      </c>
      <c r="CI50" s="2">
        <v>21.314704171077651</v>
      </c>
      <c r="CJ50" s="2">
        <v>5.7823402715471124</v>
      </c>
      <c r="CK50" s="2">
        <v>25.208294781341991</v>
      </c>
      <c r="CL50" s="2">
        <v>13.184211148530482</v>
      </c>
      <c r="CM50" s="2">
        <v>15.526774220980084</v>
      </c>
      <c r="CN50" s="2">
        <v>12.335069811096881</v>
      </c>
      <c r="CO50" s="2">
        <v>39.642104825656865</v>
      </c>
      <c r="CP50" s="2">
        <v>6.8259066331977163</v>
      </c>
      <c r="CQ50" s="2">
        <v>5.826796180748488</v>
      </c>
      <c r="CR50" s="2">
        <v>14.887250346411466</v>
      </c>
      <c r="CS50" s="2">
        <v>16.535253955994065</v>
      </c>
      <c r="CT50" s="2">
        <v>-1.7121638154974368</v>
      </c>
      <c r="CU50" s="2">
        <v>5.8543814037299731</v>
      </c>
      <c r="CV50" s="2">
        <v>15.718537925588032</v>
      </c>
      <c r="CW50" s="2">
        <v>29.968693502812535</v>
      </c>
      <c r="CX50" s="2">
        <v>9.7108330839567536</v>
      </c>
      <c r="CY50" s="2">
        <v>6.2865858501996561</v>
      </c>
      <c r="CZ50" s="2">
        <v>28.031746437343749</v>
      </c>
      <c r="DA50" s="2">
        <v>9.3667022563562021</v>
      </c>
      <c r="DB50" s="2">
        <v>8.4789251118340321</v>
      </c>
      <c r="DC50" s="2">
        <v>13.096740465844499</v>
      </c>
      <c r="DD50" s="2">
        <v>14.345624413987293</v>
      </c>
      <c r="DE50" s="2">
        <v>12.700452240560704</v>
      </c>
      <c r="DF50" s="2">
        <v>12.676051985031966</v>
      </c>
      <c r="DG50" s="2">
        <v>19.564965983979501</v>
      </c>
      <c r="DH50" s="2">
        <v>11.986106824276867</v>
      </c>
      <c r="DI50" s="2">
        <v>11.661671242264802</v>
      </c>
      <c r="DJ50" s="2">
        <v>21.364022756627929</v>
      </c>
      <c r="DK50" s="2">
        <v>5.6616712422648021</v>
      </c>
      <c r="DL50" s="2">
        <v>5.9295039815735384</v>
      </c>
      <c r="DM50" s="2">
        <v>12.130032896833733</v>
      </c>
      <c r="DN50" s="2">
        <v>12.928560353273953</v>
      </c>
      <c r="DO50" s="2">
        <v>29.00251651656006</v>
      </c>
      <c r="DP50" s="2">
        <v>73.48312437393372</v>
      </c>
      <c r="DQ50" s="2">
        <v>33.362654197602403</v>
      </c>
      <c r="DR50" s="2">
        <v>11.552037570846748</v>
      </c>
      <c r="DS50" s="2">
        <v>20.5707038364704</v>
      </c>
      <c r="DT50" s="2">
        <v>12.445434565200632</v>
      </c>
      <c r="DU50" s="2">
        <v>5.7919197900671966</v>
      </c>
      <c r="DV50" s="2">
        <v>8.8843484418114418</v>
      </c>
      <c r="DW50" s="2">
        <v>34.94291687469866</v>
      </c>
      <c r="DX50" s="2">
        <v>45.691043804515068</v>
      </c>
      <c r="DY50" s="2">
        <v>20.028240696253086</v>
      </c>
      <c r="DZ50" s="2">
        <v>16.325795276303626</v>
      </c>
      <c r="EA50" s="2">
        <v>17.307151663037921</v>
      </c>
      <c r="EB50" s="2">
        <v>9.7542953269992196</v>
      </c>
      <c r="EC50" s="2">
        <v>18.643607980375929</v>
      </c>
      <c r="ED50" s="2">
        <v>10.099843256722393</v>
      </c>
      <c r="EE50" s="2">
        <v>29.374277335797977</v>
      </c>
      <c r="EF50" s="2">
        <v>23.353687520894635</v>
      </c>
      <c r="EG50" s="2">
        <v>22.574056250575421</v>
      </c>
      <c r="EH50" s="2">
        <v>19.043705050240533</v>
      </c>
      <c r="EI50" s="2">
        <v>14.587422568018711</v>
      </c>
      <c r="EJ50" s="2">
        <v>19.123475100110163</v>
      </c>
      <c r="EK50" s="2">
        <v>6.6557777064490313</v>
      </c>
      <c r="EL50" s="2">
        <v>15.656182182219821</v>
      </c>
      <c r="EM50" s="2">
        <v>14.658143950892391</v>
      </c>
      <c r="EN50" s="2">
        <v>13.379347377083452</v>
      </c>
      <c r="EO50" s="2">
        <v>19.445161981432971</v>
      </c>
      <c r="EP50" s="2">
        <v>14.82309060515308</v>
      </c>
      <c r="EQ50" s="2">
        <v>11.560840288192834</v>
      </c>
      <c r="ER50" s="2">
        <v>21.016302547482919</v>
      </c>
      <c r="ES50" s="2">
        <v>8.2953687055539884</v>
      </c>
      <c r="ET50" s="2">
        <v>10.199743956702179</v>
      </c>
      <c r="EU50" s="2">
        <v>17.798913412962197</v>
      </c>
      <c r="EV50" s="31">
        <v>15.462951853683567</v>
      </c>
    </row>
    <row r="51" spans="1:152" x14ac:dyDescent="0.3">
      <c r="A51" s="22" t="s">
        <v>71</v>
      </c>
      <c r="B51" s="23">
        <v>4000</v>
      </c>
      <c r="D51" s="3" t="s">
        <v>27</v>
      </c>
      <c r="E51" s="2">
        <v>9.3658571516169147</v>
      </c>
      <c r="F51" s="2">
        <v>11.786447311664487</v>
      </c>
      <c r="G51" s="2">
        <v>10.245882837540771</v>
      </c>
      <c r="H51" s="2">
        <v>16.603151864768723</v>
      </c>
      <c r="I51" s="2">
        <v>12.569752716828377</v>
      </c>
      <c r="J51" s="2">
        <v>9.3705169702981905</v>
      </c>
      <c r="K51" s="2">
        <v>10.162570679303046</v>
      </c>
      <c r="L51" s="2">
        <v>10.828189430482913</v>
      </c>
      <c r="M51" s="2">
        <v>12.794881786819753</v>
      </c>
      <c r="N51" s="2">
        <v>19.549056708211001</v>
      </c>
      <c r="O51" s="2">
        <v>38.241344157458492</v>
      </c>
      <c r="P51" s="2">
        <v>19.450764506874542</v>
      </c>
      <c r="Q51" s="2">
        <v>9.7317190381731038</v>
      </c>
      <c r="R51" s="2">
        <v>13.826719930469341</v>
      </c>
      <c r="S51" s="2">
        <v>11.552925763328709</v>
      </c>
      <c r="T51" s="2">
        <v>28.011427675113534</v>
      </c>
      <c r="U51" s="2">
        <v>26.334351373013618</v>
      </c>
      <c r="V51" s="2">
        <v>21.199914174095575</v>
      </c>
      <c r="W51" s="2">
        <v>5.8115409005324015</v>
      </c>
      <c r="X51" s="2">
        <v>17.181856277956271</v>
      </c>
      <c r="Y51" s="2">
        <v>14.431391805427959</v>
      </c>
      <c r="Z51" s="2">
        <v>33.371621686091508</v>
      </c>
      <c r="AA51" s="2">
        <v>11.616725028028931</v>
      </c>
      <c r="AB51" s="2">
        <v>9.3721447040613999</v>
      </c>
      <c r="AC51" s="2">
        <v>7.2410573610429614</v>
      </c>
      <c r="AD51" s="2">
        <v>12.383464397980424</v>
      </c>
      <c r="AE51" s="2">
        <v>23.530827310899081</v>
      </c>
      <c r="AF51" s="2">
        <v>17.152861203328136</v>
      </c>
      <c r="AG51" s="2">
        <v>21.031746245917653</v>
      </c>
      <c r="AH51" s="2">
        <v>12.828761491281453</v>
      </c>
      <c r="AI51" s="2">
        <v>23.487976511310073</v>
      </c>
      <c r="AJ51" s="2">
        <v>11.638761789538977</v>
      </c>
      <c r="AK51" s="2">
        <v>19.196685450313186</v>
      </c>
      <c r="AL51" s="2">
        <v>15.154915824811519</v>
      </c>
      <c r="AM51" s="2">
        <v>10.937367295481129</v>
      </c>
      <c r="AN51" s="2">
        <v>17.405423571620556</v>
      </c>
      <c r="AO51" s="2">
        <v>18.256467940135114</v>
      </c>
      <c r="AP51" s="2">
        <v>27.112140429973181</v>
      </c>
      <c r="AQ51" s="2">
        <v>11.660750367394099</v>
      </c>
      <c r="AR51" s="2">
        <v>9.4701798200685516</v>
      </c>
      <c r="AS51" s="2">
        <v>41.334349282296593</v>
      </c>
      <c r="AT51" s="2">
        <v>17.890740604589485</v>
      </c>
      <c r="AU51" s="2">
        <v>12.856544296115553</v>
      </c>
      <c r="AV51" s="2">
        <v>28.337877264692139</v>
      </c>
      <c r="AW51" s="2">
        <v>18.368557371394616</v>
      </c>
      <c r="AX51" s="2">
        <v>21.896416696736395</v>
      </c>
      <c r="AY51" s="2">
        <v>14.549542054919183</v>
      </c>
      <c r="AZ51" s="2">
        <v>9.9333847072683259</v>
      </c>
      <c r="BA51" s="2">
        <v>9.7118301639132909</v>
      </c>
      <c r="BB51" s="2">
        <v>11.255480092431299</v>
      </c>
      <c r="BC51" s="2">
        <v>12.866608314620263</v>
      </c>
      <c r="BD51" s="2">
        <v>12.295078551452141</v>
      </c>
      <c r="BE51" s="2">
        <v>31.520768507944087</v>
      </c>
      <c r="BF51" s="2">
        <v>14.226238231899179</v>
      </c>
      <c r="BG51" s="2">
        <v>15.390217394744665</v>
      </c>
      <c r="BH51" s="2">
        <v>12.767805922634137</v>
      </c>
      <c r="BI51" s="2">
        <v>15.263242006532362</v>
      </c>
      <c r="BJ51" s="2">
        <v>14.985793908837742</v>
      </c>
      <c r="BK51" s="2">
        <v>39.963567356045893</v>
      </c>
      <c r="BL51" s="2">
        <v>10.245224505486298</v>
      </c>
      <c r="BM51" s="2">
        <v>20.135942097788256</v>
      </c>
      <c r="BN51" s="2">
        <v>14.974496974697427</v>
      </c>
      <c r="BO51" s="2">
        <v>71.150698772237234</v>
      </c>
      <c r="BP51" s="2">
        <v>9.4316073050547669</v>
      </c>
      <c r="BQ51" s="2">
        <v>9.8744960522475314</v>
      </c>
      <c r="BR51" s="2">
        <v>11.745661851942595</v>
      </c>
      <c r="BS51" s="2">
        <v>10.457676904873127</v>
      </c>
      <c r="BT51" s="2">
        <v>9.7536787846627941</v>
      </c>
      <c r="BU51" s="2">
        <v>10.12944939457967</v>
      </c>
      <c r="BV51" s="2">
        <v>15.557041129411923</v>
      </c>
      <c r="BW51" s="2">
        <v>13.107368780969395</v>
      </c>
      <c r="BX51" s="2">
        <v>9.4272407267053548</v>
      </c>
      <c r="BY51" s="2">
        <v>9.3317110082936097</v>
      </c>
      <c r="BZ51" s="2">
        <v>16.515854962133496</v>
      </c>
      <c r="CA51" s="2">
        <v>19.196039357205226</v>
      </c>
      <c r="CB51" s="2">
        <v>38.973123445687079</v>
      </c>
      <c r="CC51" s="2">
        <v>47.676407473334088</v>
      </c>
      <c r="CD51" s="2">
        <v>9.5414278153475625</v>
      </c>
      <c r="CE51" s="2">
        <v>14.307447195772166</v>
      </c>
      <c r="CF51" s="2">
        <v>13.863625557375471</v>
      </c>
      <c r="CG51" s="2">
        <v>12.199240540771543</v>
      </c>
      <c r="CH51" s="2">
        <v>14.23024929937721</v>
      </c>
      <c r="CI51" s="2">
        <v>16.964704171077649</v>
      </c>
      <c r="CJ51" s="2">
        <v>9.2823402715471115</v>
      </c>
      <c r="CK51" s="2">
        <v>25.208294781341991</v>
      </c>
      <c r="CL51" s="2">
        <v>16.684211148530483</v>
      </c>
      <c r="CM51" s="2">
        <v>14.676774220980079</v>
      </c>
      <c r="CN51" s="2">
        <v>15.835069811096886</v>
      </c>
      <c r="CO51" s="2">
        <v>35.392104825656872</v>
      </c>
      <c r="CP51" s="2">
        <v>10.325906633197722</v>
      </c>
      <c r="CQ51" s="2">
        <v>10.176796180748488</v>
      </c>
      <c r="CR51" s="2">
        <v>14.037250346411476</v>
      </c>
      <c r="CS51" s="2">
        <v>15.68525395599406</v>
      </c>
      <c r="CT51" s="2">
        <v>-0.86216381549743704</v>
      </c>
      <c r="CU51" s="2">
        <v>9.3543814037299793</v>
      </c>
      <c r="CV51" s="2">
        <v>15.718537925588032</v>
      </c>
      <c r="CW51" s="2">
        <v>25.61869350281253</v>
      </c>
      <c r="CX51" s="2">
        <v>14.060833083956757</v>
      </c>
      <c r="CY51" s="2">
        <v>9.7865858501996534</v>
      </c>
      <c r="CZ51" s="2">
        <v>23.681746437343737</v>
      </c>
      <c r="DA51" s="2">
        <v>10.216702256356212</v>
      </c>
      <c r="DB51" s="2">
        <v>11.978925111834025</v>
      </c>
      <c r="DC51" s="2">
        <v>8.7467404658444945</v>
      </c>
      <c r="DD51" s="2">
        <v>13.495624413987301</v>
      </c>
      <c r="DE51" s="2">
        <v>8.4504522405607077</v>
      </c>
      <c r="DF51" s="2">
        <v>11.826051985031974</v>
      </c>
      <c r="DG51" s="2">
        <v>20.414965983979506</v>
      </c>
      <c r="DH51" s="2">
        <v>12.836106824276863</v>
      </c>
      <c r="DI51" s="2">
        <v>12.511671242264802</v>
      </c>
      <c r="DJ51" s="2">
        <v>21.364022756627929</v>
      </c>
      <c r="DK51" s="2">
        <v>9.1616712422648039</v>
      </c>
      <c r="DL51" s="2">
        <v>9.4295039815735429</v>
      </c>
      <c r="DM51" s="2">
        <v>7.7800328968337231</v>
      </c>
      <c r="DN51" s="2">
        <v>13.778560353273953</v>
      </c>
      <c r="DO51" s="2">
        <v>24.652516516560059</v>
      </c>
      <c r="DP51" s="2">
        <v>69.133124373933711</v>
      </c>
      <c r="DQ51" s="2">
        <v>29.012654197602409</v>
      </c>
      <c r="DR51" s="2">
        <v>11.552037570846748</v>
      </c>
      <c r="DS51" s="2">
        <v>16.220703836470403</v>
      </c>
      <c r="DT51" s="2">
        <v>15.94543456520063</v>
      </c>
      <c r="DU51" s="2">
        <v>9.2919197900671993</v>
      </c>
      <c r="DV51" s="2">
        <v>13.234348441811441</v>
      </c>
      <c r="DW51" s="2">
        <v>30.592916874698656</v>
      </c>
      <c r="DX51" s="2">
        <v>44.841043804515067</v>
      </c>
      <c r="DY51" s="2">
        <v>15.678240696253091</v>
      </c>
      <c r="DZ51" s="2">
        <v>17.175795276303635</v>
      </c>
      <c r="EA51" s="2">
        <v>18.157151663037929</v>
      </c>
      <c r="EB51" s="2">
        <v>14.104295326999226</v>
      </c>
      <c r="EC51" s="2">
        <v>19.49360798037592</v>
      </c>
      <c r="ED51" s="2">
        <v>9.2498432567223929</v>
      </c>
      <c r="EE51" s="2">
        <v>25.066107269846512</v>
      </c>
      <c r="EF51" s="2">
        <v>19.003687520894641</v>
      </c>
      <c r="EG51" s="2">
        <v>18.224056250575419</v>
      </c>
      <c r="EH51" s="2">
        <v>19.893705050240545</v>
      </c>
      <c r="EI51" s="2">
        <v>18.08742256801871</v>
      </c>
      <c r="EJ51" s="2">
        <v>22.623475100110159</v>
      </c>
      <c r="EK51" s="2">
        <v>11.005777706449031</v>
      </c>
      <c r="EL51" s="2">
        <v>15.656182182219821</v>
      </c>
      <c r="EM51" s="2">
        <v>13.80814395089239</v>
      </c>
      <c r="EN51" s="2">
        <v>12.529347377083457</v>
      </c>
      <c r="EO51" s="2">
        <v>19.445161981432971</v>
      </c>
      <c r="EP51" s="2">
        <v>14.82309060515308</v>
      </c>
      <c r="EQ51" s="2">
        <v>15.060840288192832</v>
      </c>
      <c r="ER51" s="2">
        <v>21.016302547482919</v>
      </c>
      <c r="ES51" s="2">
        <v>11.795368705553987</v>
      </c>
      <c r="ET51" s="2">
        <v>9.3497439567021683</v>
      </c>
      <c r="EU51" s="2">
        <v>16.959118006294549</v>
      </c>
      <c r="EV51" s="31">
        <v>14.612951853683562</v>
      </c>
    </row>
    <row r="52" spans="1:152" x14ac:dyDescent="0.3">
      <c r="A52" s="22" t="s">
        <v>72</v>
      </c>
      <c r="B52" s="23">
        <v>13000</v>
      </c>
      <c r="D52" s="3" t="s">
        <v>25</v>
      </c>
      <c r="E52" s="2">
        <v>9.3658571516169147</v>
      </c>
      <c r="F52" s="2">
        <v>8.2864473116644959</v>
      </c>
      <c r="G52" s="2">
        <v>5.8958828375407704</v>
      </c>
      <c r="H52" s="2">
        <v>12.253151864768729</v>
      </c>
      <c r="I52" s="2">
        <v>12.569752716828377</v>
      </c>
      <c r="J52" s="2">
        <v>9.3705169702981905</v>
      </c>
      <c r="K52" s="2">
        <v>10.162570679303046</v>
      </c>
      <c r="L52" s="2">
        <v>10.828189430482913</v>
      </c>
      <c r="M52" s="2">
        <v>9.2948817868197509</v>
      </c>
      <c r="N52" s="2">
        <v>15.199056708210994</v>
      </c>
      <c r="O52" s="2">
        <v>42.591344157458508</v>
      </c>
      <c r="P52" s="2">
        <v>19.450764506874542</v>
      </c>
      <c r="Q52" s="2">
        <v>8.731719038173102</v>
      </c>
      <c r="R52" s="2">
        <v>9.4767199304693381</v>
      </c>
      <c r="S52" s="2">
        <v>11.552925763328709</v>
      </c>
      <c r="T52" s="2">
        <v>32.261427675113509</v>
      </c>
      <c r="U52" s="2">
        <v>26.334351373013618</v>
      </c>
      <c r="V52" s="2">
        <v>25.549914174095566</v>
      </c>
      <c r="W52" s="2">
        <v>10.161540900532401</v>
      </c>
      <c r="X52" s="2">
        <v>16.181856277956268</v>
      </c>
      <c r="Y52" s="2">
        <v>18.781391805427958</v>
      </c>
      <c r="Z52" s="2">
        <v>33.371621686091508</v>
      </c>
      <c r="AA52" s="2">
        <v>8.1167250280289327</v>
      </c>
      <c r="AB52" s="2">
        <v>9.3721447040613999</v>
      </c>
      <c r="AC52" s="2">
        <v>11.591057361042955</v>
      </c>
      <c r="AD52" s="2">
        <v>12.383464397980424</v>
      </c>
      <c r="AE52" s="2">
        <v>27.780827310899102</v>
      </c>
      <c r="AF52" s="2">
        <v>21.502861203328138</v>
      </c>
      <c r="AG52" s="2">
        <v>21.031746245917653</v>
      </c>
      <c r="AH52" s="2">
        <v>12.828761491281453</v>
      </c>
      <c r="AI52" s="2">
        <v>27.837976511310071</v>
      </c>
      <c r="AJ52" s="2">
        <v>10.638761789538977</v>
      </c>
      <c r="AK52" s="2">
        <v>18.196685450313186</v>
      </c>
      <c r="AL52" s="2">
        <v>14.154915824811523</v>
      </c>
      <c r="AM52" s="2">
        <v>9.9373672954811312</v>
      </c>
      <c r="AN52" s="2">
        <v>16.405423571620553</v>
      </c>
      <c r="AO52" s="2">
        <v>22.606467940135122</v>
      </c>
      <c r="AP52" s="2">
        <v>31.462140429973196</v>
      </c>
      <c r="AQ52" s="2">
        <v>10.660750367394098</v>
      </c>
      <c r="AR52" s="2">
        <v>9.4701798200685516</v>
      </c>
      <c r="AS52" s="2">
        <v>45.684349282296594</v>
      </c>
      <c r="AT52" s="2">
        <v>17.890740604589485</v>
      </c>
      <c r="AU52" s="2">
        <v>17.206544296115545</v>
      </c>
      <c r="AV52" s="2">
        <v>28.337877264692139</v>
      </c>
      <c r="AW52" s="2">
        <v>17.368557371394619</v>
      </c>
      <c r="AX52" s="2">
        <v>21.896416696736395</v>
      </c>
      <c r="AY52" s="2">
        <v>14.549542054919183</v>
      </c>
      <c r="AZ52" s="2">
        <v>9.9333847072683259</v>
      </c>
      <c r="BA52" s="2">
        <v>13.920199533985691</v>
      </c>
      <c r="BB52" s="2">
        <v>11.255480092431299</v>
      </c>
      <c r="BC52" s="2">
        <v>11.866608314620258</v>
      </c>
      <c r="BD52" s="2">
        <v>12.295078551452141</v>
      </c>
      <c r="BE52" s="2">
        <v>30.52076850794408</v>
      </c>
      <c r="BF52" s="2">
        <v>13.226238231899179</v>
      </c>
      <c r="BG52" s="2">
        <v>15.390217394744665</v>
      </c>
      <c r="BH52" s="2">
        <v>17.017805922634132</v>
      </c>
      <c r="BI52" s="2">
        <v>15.263242006532362</v>
      </c>
      <c r="BJ52" s="2">
        <v>19.335793908837744</v>
      </c>
      <c r="BK52" s="2">
        <v>39.963567356045893</v>
      </c>
      <c r="BL52" s="2">
        <v>10.245224505486298</v>
      </c>
      <c r="BM52" s="2">
        <v>16.635942097788273</v>
      </c>
      <c r="BN52" s="2">
        <v>14.974496974697427</v>
      </c>
      <c r="BO52" s="2">
        <v>71.150698772237234</v>
      </c>
      <c r="BP52" s="2">
        <v>8.4316073050547633</v>
      </c>
      <c r="BQ52" s="2">
        <v>8.8744960522475331</v>
      </c>
      <c r="BR52" s="2">
        <v>11.745661851942595</v>
      </c>
      <c r="BS52" s="2">
        <v>10.457676904873127</v>
      </c>
      <c r="BT52" s="2">
        <v>9.7536787846627941</v>
      </c>
      <c r="BU52" s="2">
        <v>10.12944939457967</v>
      </c>
      <c r="BV52" s="2">
        <v>11.207041129411913</v>
      </c>
      <c r="BW52" s="2">
        <v>13.107368780969395</v>
      </c>
      <c r="BX52" s="2">
        <v>9.4272407267053548</v>
      </c>
      <c r="BY52" s="2">
        <v>9.3317110082936097</v>
      </c>
      <c r="BZ52" s="2">
        <v>20.765854962133492</v>
      </c>
      <c r="CA52" s="2">
        <v>15.696039357205237</v>
      </c>
      <c r="CB52" s="2">
        <v>38.973123445687079</v>
      </c>
      <c r="CC52" s="2">
        <v>47.676407473334088</v>
      </c>
      <c r="CD52" s="2">
        <v>9.5414278153475625</v>
      </c>
      <c r="CE52" s="2">
        <v>13.307447195772159</v>
      </c>
      <c r="CF52" s="2">
        <v>13.863625557375471</v>
      </c>
      <c r="CG52" s="2">
        <v>12.199240540771543</v>
      </c>
      <c r="CH52" s="2">
        <v>9.8802492993772102</v>
      </c>
      <c r="CI52" s="2">
        <v>21.314704171077651</v>
      </c>
      <c r="CJ52" s="2">
        <v>9.2823402715471115</v>
      </c>
      <c r="CK52" s="2">
        <v>25.208294781341991</v>
      </c>
      <c r="CL52" s="2">
        <v>16.684211148530483</v>
      </c>
      <c r="CM52" s="2">
        <v>13.676774220980086</v>
      </c>
      <c r="CN52" s="2">
        <v>15.835069811096886</v>
      </c>
      <c r="CO52" s="2">
        <v>39.642104825656865</v>
      </c>
      <c r="CP52" s="2">
        <v>10.325906633197722</v>
      </c>
      <c r="CQ52" s="2">
        <v>10.176796180748488</v>
      </c>
      <c r="CR52" s="2">
        <v>13.037250346411472</v>
      </c>
      <c r="CS52" s="2">
        <v>14.685253955994055</v>
      </c>
      <c r="CT52" s="2">
        <v>-5.2121638154974361</v>
      </c>
      <c r="CU52" s="2">
        <v>9.3543814037299793</v>
      </c>
      <c r="CV52" s="2">
        <v>12.218537925588052</v>
      </c>
      <c r="CW52" s="2">
        <v>29.968693502812535</v>
      </c>
      <c r="CX52" s="2">
        <v>14.060833083956757</v>
      </c>
      <c r="CY52" s="2">
        <v>9.7865858501996534</v>
      </c>
      <c r="CZ52" s="2">
        <v>28.031746437343749</v>
      </c>
      <c r="DA52" s="2">
        <v>5.8667022563562119</v>
      </c>
      <c r="DB52" s="2">
        <v>11.978925111834025</v>
      </c>
      <c r="DC52" s="2">
        <v>13.096740465844499</v>
      </c>
      <c r="DD52" s="2">
        <v>12.495624413987299</v>
      </c>
      <c r="DE52" s="2">
        <v>12.700452240560704</v>
      </c>
      <c r="DF52" s="2">
        <v>10.826051985031972</v>
      </c>
      <c r="DG52" s="2">
        <v>16.064965983979508</v>
      </c>
      <c r="DH52" s="2">
        <v>8.4861068242768631</v>
      </c>
      <c r="DI52" s="2">
        <v>8.1616712422648021</v>
      </c>
      <c r="DJ52" s="2">
        <v>17.864022756627932</v>
      </c>
      <c r="DK52" s="2">
        <v>9.1616712422648039</v>
      </c>
      <c r="DL52" s="2">
        <v>9.4295039815735429</v>
      </c>
      <c r="DM52" s="2">
        <v>12.130032896833733</v>
      </c>
      <c r="DN52" s="2">
        <v>9.4285603532739533</v>
      </c>
      <c r="DO52" s="2">
        <v>29.00251651656006</v>
      </c>
      <c r="DP52" s="2">
        <v>73.48312437393372</v>
      </c>
      <c r="DQ52" s="2">
        <v>33.362654197602403</v>
      </c>
      <c r="DR52" s="2">
        <v>8.0520375708467498</v>
      </c>
      <c r="DS52" s="2">
        <v>20.5707038364704</v>
      </c>
      <c r="DT52" s="2">
        <v>15.94543456520063</v>
      </c>
      <c r="DU52" s="2">
        <v>9.2919197900671993</v>
      </c>
      <c r="DV52" s="2">
        <v>13.234348441811441</v>
      </c>
      <c r="DW52" s="2">
        <v>34.94291687469866</v>
      </c>
      <c r="DX52" s="2">
        <v>43.841043804515074</v>
      </c>
      <c r="DY52" s="2">
        <v>20.028240696253086</v>
      </c>
      <c r="DZ52" s="2">
        <v>12.825795276303632</v>
      </c>
      <c r="EA52" s="2">
        <v>13.807151663037921</v>
      </c>
      <c r="EB52" s="2">
        <v>14.104295326999226</v>
      </c>
      <c r="EC52" s="2">
        <v>15.143607980375926</v>
      </c>
      <c r="ED52" s="2">
        <v>8.2498432567223965</v>
      </c>
      <c r="EE52" s="2">
        <v>29.374277335797977</v>
      </c>
      <c r="EF52" s="2">
        <v>23.353687520894635</v>
      </c>
      <c r="EG52" s="2">
        <v>22.574056250575421</v>
      </c>
      <c r="EH52" s="2">
        <v>15.543705050240535</v>
      </c>
      <c r="EI52" s="2">
        <v>18.08742256801871</v>
      </c>
      <c r="EJ52" s="2">
        <v>22.623475100110159</v>
      </c>
      <c r="EK52" s="2">
        <v>11.005777706449031</v>
      </c>
      <c r="EL52" s="2">
        <v>15.656182182219821</v>
      </c>
      <c r="EM52" s="2">
        <v>12.808143950892388</v>
      </c>
      <c r="EN52" s="2">
        <v>11.529347377083456</v>
      </c>
      <c r="EO52" s="2">
        <v>19.445161981432971</v>
      </c>
      <c r="EP52" s="2">
        <v>14.82309060515308</v>
      </c>
      <c r="EQ52" s="2">
        <v>15.060840288192832</v>
      </c>
      <c r="ER52" s="2">
        <v>21.016302547482919</v>
      </c>
      <c r="ES52" s="2">
        <v>11.795368705553987</v>
      </c>
      <c r="ET52" s="2">
        <v>8.3497439567021718</v>
      </c>
      <c r="EU52" s="2">
        <v>15.929104496493526</v>
      </c>
      <c r="EV52" s="31">
        <v>13.612951853683565</v>
      </c>
    </row>
    <row r="53" spans="1:152" x14ac:dyDescent="0.3">
      <c r="A53" s="22" t="s">
        <v>17</v>
      </c>
      <c r="B53" s="23">
        <v>30000</v>
      </c>
      <c r="D53" s="3" t="s">
        <v>8</v>
      </c>
      <c r="E53" s="2">
        <v>9.3658571516169147</v>
      </c>
      <c r="F53" s="2">
        <v>11.786447311664487</v>
      </c>
      <c r="G53" s="2">
        <v>10.245882837540771</v>
      </c>
      <c r="H53" s="2">
        <v>16.603151864768723</v>
      </c>
      <c r="I53" s="2">
        <v>12.569752716828377</v>
      </c>
      <c r="J53" s="2">
        <v>9.3705169702981905</v>
      </c>
      <c r="K53" s="2">
        <v>10.162570679303046</v>
      </c>
      <c r="L53" s="2">
        <v>10.828189430482913</v>
      </c>
      <c r="M53" s="2">
        <v>12.794881786819753</v>
      </c>
      <c r="N53" s="2">
        <v>19.549056708211001</v>
      </c>
      <c r="O53" s="2">
        <v>38.241344157458492</v>
      </c>
      <c r="P53" s="2">
        <v>19.450764506874542</v>
      </c>
      <c r="Q53" s="2">
        <v>9.7317190381731038</v>
      </c>
      <c r="R53" s="2">
        <v>13.826719930469341</v>
      </c>
      <c r="S53" s="2">
        <v>11.552925763328709</v>
      </c>
      <c r="T53" s="2">
        <v>28.011427675113534</v>
      </c>
      <c r="U53" s="2">
        <v>26.334351373013618</v>
      </c>
      <c r="V53" s="2">
        <v>21.199914174095575</v>
      </c>
      <c r="W53" s="2">
        <v>5.8115409005324015</v>
      </c>
      <c r="X53" s="2">
        <v>17.181856277956271</v>
      </c>
      <c r="Y53" s="2">
        <v>14.431391805427959</v>
      </c>
      <c r="Z53" s="2">
        <v>33.371621686091508</v>
      </c>
      <c r="AA53" s="2">
        <v>11.616725028028931</v>
      </c>
      <c r="AB53" s="2">
        <v>9.3721447040613999</v>
      </c>
      <c r="AC53" s="2">
        <v>7.2410573610429614</v>
      </c>
      <c r="AD53" s="2">
        <v>12.383464397980424</v>
      </c>
      <c r="AE53" s="2">
        <v>23.530827310899081</v>
      </c>
      <c r="AF53" s="2">
        <v>17.152861203328136</v>
      </c>
      <c r="AG53" s="2">
        <v>21.031746245917653</v>
      </c>
      <c r="AH53" s="2">
        <v>12.828761491281453</v>
      </c>
      <c r="AI53" s="2">
        <v>23.487976511310073</v>
      </c>
      <c r="AJ53" s="2">
        <v>11.638761789538977</v>
      </c>
      <c r="AK53" s="2">
        <v>19.196685450313186</v>
      </c>
      <c r="AL53" s="2">
        <v>15.154915824811519</v>
      </c>
      <c r="AM53" s="2">
        <v>10.937367295481129</v>
      </c>
      <c r="AN53" s="2">
        <v>17.405423571620556</v>
      </c>
      <c r="AO53" s="2">
        <v>18.256467940135114</v>
      </c>
      <c r="AP53" s="2">
        <v>27.112140429973181</v>
      </c>
      <c r="AQ53" s="2">
        <v>11.660750367394099</v>
      </c>
      <c r="AR53" s="2">
        <v>9.4701798200685516</v>
      </c>
      <c r="AS53" s="2">
        <v>41.334349282296593</v>
      </c>
      <c r="AT53" s="2">
        <v>17.890740604589485</v>
      </c>
      <c r="AU53" s="2">
        <v>12.856544296115553</v>
      </c>
      <c r="AV53" s="2">
        <v>28.337877264692139</v>
      </c>
      <c r="AW53" s="2">
        <v>18.368557371394616</v>
      </c>
      <c r="AX53" s="2">
        <v>21.896416696736395</v>
      </c>
      <c r="AY53" s="2">
        <v>14.549542054919183</v>
      </c>
      <c r="AZ53" s="2">
        <v>9.9333847072683259</v>
      </c>
      <c r="BA53" s="2">
        <v>9.7118301639132909</v>
      </c>
      <c r="BB53" s="2">
        <v>11.255480092431299</v>
      </c>
      <c r="BC53" s="2">
        <v>12.866608314620263</v>
      </c>
      <c r="BD53" s="2">
        <v>12.295078551452141</v>
      </c>
      <c r="BE53" s="2">
        <v>31.520768507944087</v>
      </c>
      <c r="BF53" s="2">
        <v>14.226238231899179</v>
      </c>
      <c r="BG53" s="2">
        <v>15.390217394744665</v>
      </c>
      <c r="BH53" s="2">
        <v>12.767805922634137</v>
      </c>
      <c r="BI53" s="2">
        <v>15.263242006532362</v>
      </c>
      <c r="BJ53" s="2">
        <v>14.985793908837742</v>
      </c>
      <c r="BK53" s="2">
        <v>39.963567356045893</v>
      </c>
      <c r="BL53" s="2">
        <v>10.245224505486298</v>
      </c>
      <c r="BM53" s="2">
        <v>20.135942097788256</v>
      </c>
      <c r="BN53" s="2">
        <v>14.974496974697427</v>
      </c>
      <c r="BO53" s="2">
        <v>71.150698772237234</v>
      </c>
      <c r="BP53" s="2">
        <v>9.4316073050547669</v>
      </c>
      <c r="BQ53" s="2">
        <v>9.8744960522475314</v>
      </c>
      <c r="BR53" s="2">
        <v>11.745661851942595</v>
      </c>
      <c r="BS53" s="2">
        <v>10.457676904873127</v>
      </c>
      <c r="BT53" s="2">
        <v>9.7536787846627941</v>
      </c>
      <c r="BU53" s="2">
        <v>10.12944939457967</v>
      </c>
      <c r="BV53" s="2">
        <v>15.557041129411923</v>
      </c>
      <c r="BW53" s="2">
        <v>13.107368780969395</v>
      </c>
      <c r="BX53" s="2">
        <v>9.4272407267053548</v>
      </c>
      <c r="BY53" s="2">
        <v>9.3317110082936097</v>
      </c>
      <c r="BZ53" s="2">
        <v>16.515854962133496</v>
      </c>
      <c r="CA53" s="2">
        <v>19.196039357205226</v>
      </c>
      <c r="CB53" s="2">
        <v>38.973123445687079</v>
      </c>
      <c r="CC53" s="2">
        <v>47.676407473334088</v>
      </c>
      <c r="CD53" s="2">
        <v>9.5414278153475625</v>
      </c>
      <c r="CE53" s="2">
        <v>14.307447195772166</v>
      </c>
      <c r="CF53" s="2">
        <v>13.863625557375471</v>
      </c>
      <c r="CG53" s="2">
        <v>12.199240540771543</v>
      </c>
      <c r="CH53" s="2">
        <v>14.23024929937721</v>
      </c>
      <c r="CI53" s="2">
        <v>16.964704171077649</v>
      </c>
      <c r="CJ53" s="2">
        <v>9.2823402715471115</v>
      </c>
      <c r="CK53" s="2">
        <v>25.208294781341991</v>
      </c>
      <c r="CL53" s="2">
        <v>16.684211148530483</v>
      </c>
      <c r="CM53" s="2">
        <v>14.676774220980079</v>
      </c>
      <c r="CN53" s="2">
        <v>15.835069811096886</v>
      </c>
      <c r="CO53" s="2">
        <v>35.392104825656872</v>
      </c>
      <c r="CP53" s="2">
        <v>10.325906633197722</v>
      </c>
      <c r="CQ53" s="2">
        <v>10.176796180748488</v>
      </c>
      <c r="CR53" s="2">
        <v>14.037250346411476</v>
      </c>
      <c r="CS53" s="2">
        <v>15.68525395599406</v>
      </c>
      <c r="CT53" s="2">
        <v>-0.86216381549743704</v>
      </c>
      <c r="CU53" s="2">
        <v>9.3543814037299793</v>
      </c>
      <c r="CV53" s="2">
        <v>15.718537925588032</v>
      </c>
      <c r="CW53" s="2">
        <v>25.61869350281253</v>
      </c>
      <c r="CX53" s="2">
        <v>14.060833083956757</v>
      </c>
      <c r="CY53" s="2">
        <v>9.7865858501996534</v>
      </c>
      <c r="CZ53" s="2">
        <v>23.681746437343737</v>
      </c>
      <c r="DA53" s="2">
        <v>10.216702256356212</v>
      </c>
      <c r="DB53" s="2">
        <v>11.978925111834025</v>
      </c>
      <c r="DC53" s="2">
        <v>8.7467404658444945</v>
      </c>
      <c r="DD53" s="2">
        <v>13.495624413987301</v>
      </c>
      <c r="DE53" s="2">
        <v>8.4504522405607077</v>
      </c>
      <c r="DF53" s="2">
        <v>11.826051985031974</v>
      </c>
      <c r="DG53" s="2">
        <v>20.414965983979506</v>
      </c>
      <c r="DH53" s="2">
        <v>12.836106824276863</v>
      </c>
      <c r="DI53" s="2">
        <v>12.511671242264802</v>
      </c>
      <c r="DJ53" s="2">
        <v>21.364022756627929</v>
      </c>
      <c r="DK53" s="2">
        <v>9.1616712422648039</v>
      </c>
      <c r="DL53" s="2">
        <v>9.4295039815735429</v>
      </c>
      <c r="DM53" s="2">
        <v>7.7800328968337231</v>
      </c>
      <c r="DN53" s="2">
        <v>13.778560353273953</v>
      </c>
      <c r="DO53" s="2">
        <v>24.652516516560059</v>
      </c>
      <c r="DP53" s="2">
        <v>69.133124373933711</v>
      </c>
      <c r="DQ53" s="2">
        <v>29.012654197602409</v>
      </c>
      <c r="DR53" s="2">
        <v>11.552037570846748</v>
      </c>
      <c r="DS53" s="2">
        <v>16.220703836470403</v>
      </c>
      <c r="DT53" s="2">
        <v>15.94543456520063</v>
      </c>
      <c r="DU53" s="2">
        <v>9.2919197900671993</v>
      </c>
      <c r="DV53" s="2">
        <v>13.234348441811441</v>
      </c>
      <c r="DW53" s="2">
        <v>30.592916874698656</v>
      </c>
      <c r="DX53" s="2">
        <v>44.841043804515067</v>
      </c>
      <c r="DY53" s="2">
        <v>15.678240696253091</v>
      </c>
      <c r="DZ53" s="2">
        <v>17.175795276303635</v>
      </c>
      <c r="EA53" s="2">
        <v>18.157151663037929</v>
      </c>
      <c r="EB53" s="2">
        <v>14.104295326999226</v>
      </c>
      <c r="EC53" s="2">
        <v>19.49360798037592</v>
      </c>
      <c r="ED53" s="2">
        <v>9.2498432567223929</v>
      </c>
      <c r="EE53" s="2">
        <v>25.066107269846512</v>
      </c>
      <c r="EF53" s="2">
        <v>19.003687520894641</v>
      </c>
      <c r="EG53" s="2">
        <v>18.224056250575419</v>
      </c>
      <c r="EH53" s="2">
        <v>19.893705050240545</v>
      </c>
      <c r="EI53" s="2">
        <v>18.08742256801871</v>
      </c>
      <c r="EJ53" s="2">
        <v>22.623475100110159</v>
      </c>
      <c r="EK53" s="2">
        <v>11.005777706449031</v>
      </c>
      <c r="EL53" s="2">
        <v>15.656182182219821</v>
      </c>
      <c r="EM53" s="2">
        <v>13.80814395089239</v>
      </c>
      <c r="EN53" s="2">
        <v>12.529347377083457</v>
      </c>
      <c r="EO53" s="2">
        <v>19.445161981432971</v>
      </c>
      <c r="EP53" s="2">
        <v>14.82309060515308</v>
      </c>
      <c r="EQ53" s="2">
        <v>15.060840288192832</v>
      </c>
      <c r="ER53" s="2">
        <v>21.016302547482919</v>
      </c>
      <c r="ES53" s="2">
        <v>11.795368705553987</v>
      </c>
      <c r="ET53" s="2">
        <v>9.3497439567021683</v>
      </c>
      <c r="EU53" s="2">
        <v>16.959118006294549</v>
      </c>
      <c r="EV53" s="31">
        <v>14.612951853683562</v>
      </c>
    </row>
    <row r="54" spans="1:152" x14ac:dyDescent="0.3">
      <c r="A54" s="22" t="s">
        <v>73</v>
      </c>
      <c r="B54" s="23">
        <v>38000</v>
      </c>
      <c r="D54" s="3" t="s">
        <v>28</v>
      </c>
      <c r="E54" s="2">
        <v>9.3658571516169147</v>
      </c>
      <c r="F54" s="2">
        <v>11.786447311664487</v>
      </c>
      <c r="G54" s="2">
        <v>10.245882837540771</v>
      </c>
      <c r="H54" s="2">
        <v>16.603151864768723</v>
      </c>
      <c r="I54" s="2">
        <v>12.569752716828377</v>
      </c>
      <c r="J54" s="2">
        <v>9.3705169702981905</v>
      </c>
      <c r="K54" s="2">
        <v>10.162570679303046</v>
      </c>
      <c r="L54" s="2">
        <v>10.828189430482913</v>
      </c>
      <c r="M54" s="2">
        <v>12.794881786819753</v>
      </c>
      <c r="N54" s="2">
        <v>19.549056708211001</v>
      </c>
      <c r="O54" s="2">
        <v>38.241344157458492</v>
      </c>
      <c r="P54" s="2">
        <v>19.450764506874542</v>
      </c>
      <c r="Q54" s="2">
        <v>9.7317190381731038</v>
      </c>
      <c r="R54" s="2">
        <v>13.826719930469341</v>
      </c>
      <c r="S54" s="2">
        <v>11.552925763328709</v>
      </c>
      <c r="T54" s="2">
        <v>28.011427675113534</v>
      </c>
      <c r="U54" s="2">
        <v>26.334351373013618</v>
      </c>
      <c r="V54" s="2">
        <v>21.199914174095575</v>
      </c>
      <c r="W54" s="2">
        <v>5.8115409005324015</v>
      </c>
      <c r="X54" s="2">
        <v>17.181856277956271</v>
      </c>
      <c r="Y54" s="2">
        <v>14.431391805427959</v>
      </c>
      <c r="Z54" s="2">
        <v>33.371621686091508</v>
      </c>
      <c r="AA54" s="2">
        <v>11.616725028028931</v>
      </c>
      <c r="AB54" s="2">
        <v>9.3721447040613999</v>
      </c>
      <c r="AC54" s="2">
        <v>7.2410573610429614</v>
      </c>
      <c r="AD54" s="2">
        <v>12.383464397980424</v>
      </c>
      <c r="AE54" s="2">
        <v>23.530827310899081</v>
      </c>
      <c r="AF54" s="2">
        <v>17.152861203328136</v>
      </c>
      <c r="AG54" s="2">
        <v>21.031746245917653</v>
      </c>
      <c r="AH54" s="2">
        <v>12.828761491281453</v>
      </c>
      <c r="AI54" s="2">
        <v>23.487976511310073</v>
      </c>
      <c r="AJ54" s="2">
        <v>11.638761789538977</v>
      </c>
      <c r="AK54" s="2">
        <v>19.196685450313186</v>
      </c>
      <c r="AL54" s="2">
        <v>15.154915824811519</v>
      </c>
      <c r="AM54" s="2">
        <v>10.937367295481129</v>
      </c>
      <c r="AN54" s="2">
        <v>17.405423571620556</v>
      </c>
      <c r="AO54" s="2">
        <v>18.256467940135114</v>
      </c>
      <c r="AP54" s="2">
        <v>27.112140429973181</v>
      </c>
      <c r="AQ54" s="2">
        <v>11.660750367394099</v>
      </c>
      <c r="AR54" s="2">
        <v>9.4701798200685516</v>
      </c>
      <c r="AS54" s="2">
        <v>41.334349282296593</v>
      </c>
      <c r="AT54" s="2">
        <v>17.890740604589485</v>
      </c>
      <c r="AU54" s="2">
        <v>12.856544296115553</v>
      </c>
      <c r="AV54" s="2">
        <v>28.337877264692139</v>
      </c>
      <c r="AW54" s="2">
        <v>18.368557371394616</v>
      </c>
      <c r="AX54" s="2">
        <v>21.896416696736395</v>
      </c>
      <c r="AY54" s="2">
        <v>14.549542054919183</v>
      </c>
      <c r="AZ54" s="2">
        <v>9.9333847072683259</v>
      </c>
      <c r="BA54" s="2">
        <v>9.7118301639132909</v>
      </c>
      <c r="BB54" s="2">
        <v>11.255480092431299</v>
      </c>
      <c r="BC54" s="2">
        <v>12.866608314620263</v>
      </c>
      <c r="BD54" s="2">
        <v>12.295078551452141</v>
      </c>
      <c r="BE54" s="2">
        <v>31.520768507944087</v>
      </c>
      <c r="BF54" s="2">
        <v>14.226238231899179</v>
      </c>
      <c r="BG54" s="2">
        <v>15.390217394744665</v>
      </c>
      <c r="BH54" s="2">
        <v>12.767805922634137</v>
      </c>
      <c r="BI54" s="2">
        <v>15.263242006532362</v>
      </c>
      <c r="BJ54" s="2">
        <v>14.985793908837742</v>
      </c>
      <c r="BK54" s="2">
        <v>39.963567356045893</v>
      </c>
      <c r="BL54" s="2">
        <v>10.245224505486298</v>
      </c>
      <c r="BM54" s="2">
        <v>20.135942097788256</v>
      </c>
      <c r="BN54" s="2">
        <v>14.974496974697427</v>
      </c>
      <c r="BO54" s="2">
        <v>71.150698772237234</v>
      </c>
      <c r="BP54" s="2">
        <v>9.4316073050547669</v>
      </c>
      <c r="BQ54" s="2">
        <v>9.8744960522475314</v>
      </c>
      <c r="BR54" s="2">
        <v>11.745661851942595</v>
      </c>
      <c r="BS54" s="2">
        <v>10.457676904873127</v>
      </c>
      <c r="BT54" s="2">
        <v>9.7536787846627941</v>
      </c>
      <c r="BU54" s="2">
        <v>10.12944939457967</v>
      </c>
      <c r="BV54" s="2">
        <v>15.557041129411923</v>
      </c>
      <c r="BW54" s="2">
        <v>13.107368780969395</v>
      </c>
      <c r="BX54" s="2">
        <v>9.4272407267053548</v>
      </c>
      <c r="BY54" s="2">
        <v>9.3317110082936097</v>
      </c>
      <c r="BZ54" s="2">
        <v>16.515854962133496</v>
      </c>
      <c r="CA54" s="2">
        <v>19.196039357205226</v>
      </c>
      <c r="CB54" s="2">
        <v>38.973123445687079</v>
      </c>
      <c r="CC54" s="2">
        <v>47.676407473334088</v>
      </c>
      <c r="CD54" s="2">
        <v>9.5414278153475625</v>
      </c>
      <c r="CE54" s="2">
        <v>14.307447195772166</v>
      </c>
      <c r="CF54" s="2">
        <v>13.863625557375471</v>
      </c>
      <c r="CG54" s="2">
        <v>12.199240540771543</v>
      </c>
      <c r="CH54" s="2">
        <v>14.23024929937721</v>
      </c>
      <c r="CI54" s="2">
        <v>16.964704171077649</v>
      </c>
      <c r="CJ54" s="2">
        <v>9.2823402715471115</v>
      </c>
      <c r="CK54" s="2">
        <v>25.208294781341991</v>
      </c>
      <c r="CL54" s="2">
        <v>16.684211148530483</v>
      </c>
      <c r="CM54" s="2">
        <v>14.676774220980079</v>
      </c>
      <c r="CN54" s="2">
        <v>15.835069811096886</v>
      </c>
      <c r="CO54" s="2">
        <v>35.392104825656872</v>
      </c>
      <c r="CP54" s="2">
        <v>10.325906633197722</v>
      </c>
      <c r="CQ54" s="2">
        <v>10.176796180748488</v>
      </c>
      <c r="CR54" s="2">
        <v>14.037250346411476</v>
      </c>
      <c r="CS54" s="2">
        <v>15.68525395599406</v>
      </c>
      <c r="CT54" s="2">
        <v>-0.86216381549743704</v>
      </c>
      <c r="CU54" s="2">
        <v>9.3543814037299793</v>
      </c>
      <c r="CV54" s="2">
        <v>15.718537925588032</v>
      </c>
      <c r="CW54" s="2">
        <v>25.61869350281253</v>
      </c>
      <c r="CX54" s="2">
        <v>14.060833083956757</v>
      </c>
      <c r="CY54" s="2">
        <v>9.7865858501996534</v>
      </c>
      <c r="CZ54" s="2">
        <v>23.681746437343737</v>
      </c>
      <c r="DA54" s="2">
        <v>10.216702256356212</v>
      </c>
      <c r="DB54" s="2">
        <v>11.978925111834025</v>
      </c>
      <c r="DC54" s="2">
        <v>8.7467404658444945</v>
      </c>
      <c r="DD54" s="2">
        <v>13.495624413987301</v>
      </c>
      <c r="DE54" s="2">
        <v>8.4504522405607077</v>
      </c>
      <c r="DF54" s="2">
        <v>11.826051985031974</v>
      </c>
      <c r="DG54" s="2">
        <v>20.414965983979506</v>
      </c>
      <c r="DH54" s="2">
        <v>12.836106824276863</v>
      </c>
      <c r="DI54" s="2">
        <v>12.511671242264802</v>
      </c>
      <c r="DJ54" s="2">
        <v>21.364022756627929</v>
      </c>
      <c r="DK54" s="2">
        <v>9.1616712422648039</v>
      </c>
      <c r="DL54" s="2">
        <v>9.4295039815735429</v>
      </c>
      <c r="DM54" s="2">
        <v>7.7800328968337231</v>
      </c>
      <c r="DN54" s="2">
        <v>13.778560353273953</v>
      </c>
      <c r="DO54" s="2">
        <v>24.652516516560059</v>
      </c>
      <c r="DP54" s="2">
        <v>69.133124373933711</v>
      </c>
      <c r="DQ54" s="2">
        <v>29.012654197602409</v>
      </c>
      <c r="DR54" s="2">
        <v>11.552037570846748</v>
      </c>
      <c r="DS54" s="2">
        <v>16.220703836470403</v>
      </c>
      <c r="DT54" s="2">
        <v>15.94543456520063</v>
      </c>
      <c r="DU54" s="2">
        <v>9.2919197900671993</v>
      </c>
      <c r="DV54" s="2">
        <v>13.234348441811441</v>
      </c>
      <c r="DW54" s="2">
        <v>30.592916874698656</v>
      </c>
      <c r="DX54" s="2">
        <v>44.841043804515067</v>
      </c>
      <c r="DY54" s="2">
        <v>15.678240696253091</v>
      </c>
      <c r="DZ54" s="2">
        <v>17.175795276303635</v>
      </c>
      <c r="EA54" s="2">
        <v>18.157151663037929</v>
      </c>
      <c r="EB54" s="2">
        <v>14.104295326999226</v>
      </c>
      <c r="EC54" s="2">
        <v>19.49360798037592</v>
      </c>
      <c r="ED54" s="2">
        <v>9.2498432567223929</v>
      </c>
      <c r="EE54" s="2">
        <v>25.066107269846512</v>
      </c>
      <c r="EF54" s="2">
        <v>19.003687520894641</v>
      </c>
      <c r="EG54" s="2">
        <v>18.224056250575419</v>
      </c>
      <c r="EH54" s="2">
        <v>19.893705050240545</v>
      </c>
      <c r="EI54" s="2">
        <v>18.08742256801871</v>
      </c>
      <c r="EJ54" s="2">
        <v>22.623475100110159</v>
      </c>
      <c r="EK54" s="2">
        <v>11.005777706449031</v>
      </c>
      <c r="EL54" s="2">
        <v>15.656182182219821</v>
      </c>
      <c r="EM54" s="2">
        <v>13.80814395089239</v>
      </c>
      <c r="EN54" s="2">
        <v>12.529347377083457</v>
      </c>
      <c r="EO54" s="2">
        <v>19.445161981432971</v>
      </c>
      <c r="EP54" s="2">
        <v>14.82309060515308</v>
      </c>
      <c r="EQ54" s="2">
        <v>15.060840288192832</v>
      </c>
      <c r="ER54" s="2">
        <v>21.016302547482919</v>
      </c>
      <c r="ES54" s="2">
        <v>11.795368705553987</v>
      </c>
      <c r="ET54" s="2">
        <v>9.3497439567021683</v>
      </c>
      <c r="EU54" s="2">
        <v>16.959118006294549</v>
      </c>
      <c r="EV54" s="31">
        <v>14.612951853683562</v>
      </c>
    </row>
    <row r="55" spans="1:152" x14ac:dyDescent="0.3">
      <c r="A55" s="22" t="s">
        <v>74</v>
      </c>
      <c r="B55" s="23">
        <v>39000</v>
      </c>
      <c r="D55" s="3" t="s">
        <v>13</v>
      </c>
      <c r="E55" s="2">
        <v>5.8658571516169156</v>
      </c>
      <c r="F55" s="2">
        <v>11.786447311664487</v>
      </c>
      <c r="G55" s="2">
        <v>9.3958828375407695</v>
      </c>
      <c r="H55" s="2">
        <v>15.753151864768723</v>
      </c>
      <c r="I55" s="2">
        <v>9.0697527168283774</v>
      </c>
      <c r="J55" s="2">
        <v>5.8705169702981888</v>
      </c>
      <c r="K55" s="2">
        <v>6.6625706793030446</v>
      </c>
      <c r="L55" s="2">
        <v>6.4781894304829173</v>
      </c>
      <c r="M55" s="2">
        <v>12.794881786819753</v>
      </c>
      <c r="N55" s="2">
        <v>18.699056708211003</v>
      </c>
      <c r="O55" s="2">
        <v>42.591344157458508</v>
      </c>
      <c r="P55" s="2">
        <v>15.950764506874535</v>
      </c>
      <c r="Q55" s="2">
        <v>10.581719038173103</v>
      </c>
      <c r="R55" s="2">
        <v>12.976719930469331</v>
      </c>
      <c r="S55" s="2">
        <v>8.052925763328707</v>
      </c>
      <c r="T55" s="2">
        <v>32.261427675113509</v>
      </c>
      <c r="U55" s="2">
        <v>22.834351373013625</v>
      </c>
      <c r="V55" s="2">
        <v>25.549914174095566</v>
      </c>
      <c r="W55" s="2">
        <v>10.161540900532401</v>
      </c>
      <c r="X55" s="2">
        <v>18.031856277956276</v>
      </c>
      <c r="Y55" s="2">
        <v>18.781391805427958</v>
      </c>
      <c r="Z55" s="2">
        <v>29.021621686091517</v>
      </c>
      <c r="AA55" s="2">
        <v>11.616725028028931</v>
      </c>
      <c r="AB55" s="2">
        <v>5.8721447040613999</v>
      </c>
      <c r="AC55" s="2">
        <v>11.591057361042955</v>
      </c>
      <c r="AD55" s="2">
        <v>8.8834643979804362</v>
      </c>
      <c r="AE55" s="2">
        <v>27.780827310899102</v>
      </c>
      <c r="AF55" s="2">
        <v>21.502861203328138</v>
      </c>
      <c r="AG55" s="2">
        <v>21.031746245917653</v>
      </c>
      <c r="AH55" s="2">
        <v>8.4787614912814568</v>
      </c>
      <c r="AI55" s="2">
        <v>27.837976511310071</v>
      </c>
      <c r="AJ55" s="2">
        <v>12.488761789538971</v>
      </c>
      <c r="AK55" s="2">
        <v>20.046685450313184</v>
      </c>
      <c r="AL55" s="2">
        <v>16.004915824811519</v>
      </c>
      <c r="AM55" s="2">
        <v>11.787367295481127</v>
      </c>
      <c r="AN55" s="2">
        <v>18.255423571620561</v>
      </c>
      <c r="AO55" s="2">
        <v>22.606467940135122</v>
      </c>
      <c r="AP55" s="2">
        <v>31.462140429973196</v>
      </c>
      <c r="AQ55" s="2">
        <v>12.510750367394103</v>
      </c>
      <c r="AR55" s="2">
        <v>5.9701798200685481</v>
      </c>
      <c r="AS55" s="2">
        <v>45.684349282296594</v>
      </c>
      <c r="AT55" s="2">
        <v>14.390740604589487</v>
      </c>
      <c r="AU55" s="2">
        <v>17.206544296115545</v>
      </c>
      <c r="AV55" s="2">
        <v>28.337877264692139</v>
      </c>
      <c r="AW55" s="2">
        <v>19.218557371394628</v>
      </c>
      <c r="AX55" s="2">
        <v>18.396416696736399</v>
      </c>
      <c r="AY55" s="2">
        <v>11.049542054919183</v>
      </c>
      <c r="AZ55" s="2">
        <v>5.5833847072683263</v>
      </c>
      <c r="BA55" s="2">
        <v>13.977177373611738</v>
      </c>
      <c r="BB55" s="2">
        <v>7.7554800924313056</v>
      </c>
      <c r="BC55" s="2">
        <v>13.716608314620265</v>
      </c>
      <c r="BD55" s="2">
        <v>8.7950785514521428</v>
      </c>
      <c r="BE55" s="2">
        <v>32.370768507944078</v>
      </c>
      <c r="BF55" s="2">
        <v>15.076238231899184</v>
      </c>
      <c r="BG55" s="2">
        <v>11.040217394744666</v>
      </c>
      <c r="BH55" s="2">
        <v>17.017805922634132</v>
      </c>
      <c r="BI55" s="2">
        <v>15.263242006532362</v>
      </c>
      <c r="BJ55" s="2">
        <v>19.335793908837744</v>
      </c>
      <c r="BK55" s="2">
        <v>36.463567356045878</v>
      </c>
      <c r="BL55" s="2">
        <v>5.8952245054862926</v>
      </c>
      <c r="BM55" s="2">
        <v>20.135942097788256</v>
      </c>
      <c r="BN55" s="2">
        <v>11.474496974697427</v>
      </c>
      <c r="BO55" s="2">
        <v>71.150698772237234</v>
      </c>
      <c r="BP55" s="2">
        <v>10.281607305054765</v>
      </c>
      <c r="BQ55" s="2">
        <v>10.724496052247527</v>
      </c>
      <c r="BR55" s="2">
        <v>11.745661851942595</v>
      </c>
      <c r="BS55" s="2">
        <v>10.457676904873127</v>
      </c>
      <c r="BT55" s="2">
        <v>6.2536787846627906</v>
      </c>
      <c r="BU55" s="2">
        <v>5.7794493945796646</v>
      </c>
      <c r="BV55" s="2">
        <v>14.707041129411918</v>
      </c>
      <c r="BW55" s="2">
        <v>9.6073687809693897</v>
      </c>
      <c r="BX55" s="2">
        <v>5.927240726705354</v>
      </c>
      <c r="BY55" s="2">
        <v>5.8317110082936132</v>
      </c>
      <c r="BZ55" s="2">
        <v>20.765854962133492</v>
      </c>
      <c r="CA55" s="2">
        <v>19.196039357205226</v>
      </c>
      <c r="CB55" s="2">
        <v>34.623123445687071</v>
      </c>
      <c r="CC55" s="2">
        <v>47.676407473334088</v>
      </c>
      <c r="CD55" s="2">
        <v>6.0414278153475642</v>
      </c>
      <c r="CE55" s="2">
        <v>15.157447195772175</v>
      </c>
      <c r="CF55" s="2">
        <v>10.36311170670324</v>
      </c>
      <c r="CG55" s="2">
        <v>7.8492405407715484</v>
      </c>
      <c r="CH55" s="2">
        <v>13.380249299377207</v>
      </c>
      <c r="CI55" s="2">
        <v>21.314704171077651</v>
      </c>
      <c r="CJ55" s="2">
        <v>5.7823402715471124</v>
      </c>
      <c r="CK55" s="2">
        <v>25.208294781341991</v>
      </c>
      <c r="CL55" s="2">
        <v>13.184211148530482</v>
      </c>
      <c r="CM55" s="2">
        <v>15.526774220980084</v>
      </c>
      <c r="CN55" s="2">
        <v>12.335069811096881</v>
      </c>
      <c r="CO55" s="2">
        <v>39.642104825656865</v>
      </c>
      <c r="CP55" s="2">
        <v>6.8259066331977163</v>
      </c>
      <c r="CQ55" s="2">
        <v>5.826796180748488</v>
      </c>
      <c r="CR55" s="2">
        <v>14.887250346411466</v>
      </c>
      <c r="CS55" s="2">
        <v>16.535253955994065</v>
      </c>
      <c r="CT55" s="2">
        <v>-1.7121638154974368</v>
      </c>
      <c r="CU55" s="2">
        <v>5.8543814037299731</v>
      </c>
      <c r="CV55" s="2">
        <v>15.718537925588032</v>
      </c>
      <c r="CW55" s="2">
        <v>29.968693502812535</v>
      </c>
      <c r="CX55" s="2">
        <v>9.7108330839567536</v>
      </c>
      <c r="CY55" s="2">
        <v>6.2865858501996561</v>
      </c>
      <c r="CZ55" s="2">
        <v>28.031746437343749</v>
      </c>
      <c r="DA55" s="2">
        <v>9.3667022563562021</v>
      </c>
      <c r="DB55" s="2">
        <v>8.4789251118340321</v>
      </c>
      <c r="DC55" s="2">
        <v>13.096740465844499</v>
      </c>
      <c r="DD55" s="2">
        <v>14.345624413987293</v>
      </c>
      <c r="DE55" s="2">
        <v>12.700452240560704</v>
      </c>
      <c r="DF55" s="2">
        <v>12.676051985031966</v>
      </c>
      <c r="DG55" s="2">
        <v>19.564965983979501</v>
      </c>
      <c r="DH55" s="2">
        <v>11.986106824276867</v>
      </c>
      <c r="DI55" s="2">
        <v>11.661671242264802</v>
      </c>
      <c r="DJ55" s="2">
        <v>21.364022756627929</v>
      </c>
      <c r="DK55" s="2">
        <v>5.6616712422648021</v>
      </c>
      <c r="DL55" s="2">
        <v>5.9295039815735384</v>
      </c>
      <c r="DM55" s="2">
        <v>12.130032896833733</v>
      </c>
      <c r="DN55" s="2">
        <v>12.928560353273953</v>
      </c>
      <c r="DO55" s="2">
        <v>29.00251651656006</v>
      </c>
      <c r="DP55" s="2">
        <v>73.48312437393372</v>
      </c>
      <c r="DQ55" s="2">
        <v>33.362654197602403</v>
      </c>
      <c r="DR55" s="2">
        <v>11.552037570846748</v>
      </c>
      <c r="DS55" s="2">
        <v>20.5707038364704</v>
      </c>
      <c r="DT55" s="2">
        <v>12.445434565200632</v>
      </c>
      <c r="DU55" s="2">
        <v>5.7919197900671966</v>
      </c>
      <c r="DV55" s="2">
        <v>8.8843484418114418</v>
      </c>
      <c r="DW55" s="2">
        <v>34.94291687469866</v>
      </c>
      <c r="DX55" s="2">
        <v>45.691043804515068</v>
      </c>
      <c r="DY55" s="2">
        <v>20.028240696253086</v>
      </c>
      <c r="DZ55" s="2">
        <v>16.325795276303626</v>
      </c>
      <c r="EA55" s="2">
        <v>17.307151663037921</v>
      </c>
      <c r="EB55" s="2">
        <v>9.7542953269992196</v>
      </c>
      <c r="EC55" s="2">
        <v>18.643607980375929</v>
      </c>
      <c r="ED55" s="2">
        <v>10.099843256722393</v>
      </c>
      <c r="EE55" s="2">
        <v>29.374277335797977</v>
      </c>
      <c r="EF55" s="2">
        <v>23.353687520894635</v>
      </c>
      <c r="EG55" s="2">
        <v>22.574056250575421</v>
      </c>
      <c r="EH55" s="2">
        <v>19.043705050240533</v>
      </c>
      <c r="EI55" s="2">
        <v>14.587422568018711</v>
      </c>
      <c r="EJ55" s="2">
        <v>19.123475100110163</v>
      </c>
      <c r="EK55" s="2">
        <v>6.6557777064490313</v>
      </c>
      <c r="EL55" s="2">
        <v>15.656182182219821</v>
      </c>
      <c r="EM55" s="2">
        <v>14.658143950892391</v>
      </c>
      <c r="EN55" s="2">
        <v>13.379347377083452</v>
      </c>
      <c r="EO55" s="2">
        <v>19.445161981432971</v>
      </c>
      <c r="EP55" s="2">
        <v>14.82309060515308</v>
      </c>
      <c r="EQ55" s="2">
        <v>11.560840288192834</v>
      </c>
      <c r="ER55" s="2">
        <v>21.016302547482919</v>
      </c>
      <c r="ES55" s="2">
        <v>8.2953687055539884</v>
      </c>
      <c r="ET55" s="2">
        <v>10.199743956702179</v>
      </c>
      <c r="EU55" s="2">
        <v>17.798913412962197</v>
      </c>
      <c r="EV55" s="31">
        <v>15.462951853683567</v>
      </c>
    </row>
    <row r="56" spans="1:152" x14ac:dyDescent="0.3">
      <c r="A56" s="22" t="s">
        <v>75</v>
      </c>
      <c r="B56" s="23">
        <v>2000</v>
      </c>
      <c r="D56" s="3" t="s">
        <v>23</v>
      </c>
      <c r="E56" s="2">
        <v>9.3658571516169147</v>
      </c>
      <c r="F56" s="2">
        <v>11.786447311664487</v>
      </c>
      <c r="G56" s="2">
        <v>8.3958828375407677</v>
      </c>
      <c r="H56" s="2">
        <v>14.753151864768725</v>
      </c>
      <c r="I56" s="2">
        <v>12.569752716828377</v>
      </c>
      <c r="J56" s="2">
        <v>9.3705169702981905</v>
      </c>
      <c r="K56" s="2">
        <v>10.162570679303046</v>
      </c>
      <c r="L56" s="2">
        <v>10.828189430482913</v>
      </c>
      <c r="M56" s="2">
        <v>12.794881786819753</v>
      </c>
      <c r="N56" s="2">
        <v>17.699056708210996</v>
      </c>
      <c r="O56" s="2">
        <v>42.591344157458508</v>
      </c>
      <c r="P56" s="2">
        <v>19.450764506874542</v>
      </c>
      <c r="Q56" s="2">
        <v>6.2317190381731029</v>
      </c>
      <c r="R56" s="2">
        <v>11.976719930469336</v>
      </c>
      <c r="S56" s="2">
        <v>11.552925763328709</v>
      </c>
      <c r="T56" s="2">
        <v>32.261427675113509</v>
      </c>
      <c r="U56" s="2">
        <v>26.334351373013618</v>
      </c>
      <c r="V56" s="2">
        <v>25.549914174095566</v>
      </c>
      <c r="W56" s="2">
        <v>10.161540900532401</v>
      </c>
      <c r="X56" s="2">
        <v>13.681856277956268</v>
      </c>
      <c r="Y56" s="2">
        <v>18.781391805427958</v>
      </c>
      <c r="Z56" s="2">
        <v>33.371621686091508</v>
      </c>
      <c r="AA56" s="2">
        <v>11.616725028028931</v>
      </c>
      <c r="AB56" s="2">
        <v>9.3721447040613999</v>
      </c>
      <c r="AC56" s="2">
        <v>11.591057361042955</v>
      </c>
      <c r="AD56" s="2">
        <v>12.383464397980424</v>
      </c>
      <c r="AE56" s="2">
        <v>27.780827310899102</v>
      </c>
      <c r="AF56" s="2">
        <v>21.502861203328138</v>
      </c>
      <c r="AG56" s="2">
        <v>19.181746245917655</v>
      </c>
      <c r="AH56" s="2">
        <v>12.828761491281453</v>
      </c>
      <c r="AI56" s="2">
        <v>27.837976511310071</v>
      </c>
      <c r="AJ56" s="2">
        <v>8.1387617895389752</v>
      </c>
      <c r="AK56" s="2">
        <v>15.69668545031319</v>
      </c>
      <c r="AL56" s="2">
        <v>11.654915824811519</v>
      </c>
      <c r="AM56" s="2">
        <v>7.4373672954811294</v>
      </c>
      <c r="AN56" s="2">
        <v>13.905423571620558</v>
      </c>
      <c r="AO56" s="2">
        <v>22.606467940135122</v>
      </c>
      <c r="AP56" s="2">
        <v>31.462140429973196</v>
      </c>
      <c r="AQ56" s="2">
        <v>8.1607503673941029</v>
      </c>
      <c r="AR56" s="2">
        <v>9.4701798200685516</v>
      </c>
      <c r="AS56" s="2">
        <v>45.684349282296594</v>
      </c>
      <c r="AT56" s="2">
        <v>17.890740604589485</v>
      </c>
      <c r="AU56" s="2">
        <v>17.206544296115545</v>
      </c>
      <c r="AV56" s="2">
        <v>26.48787726469212</v>
      </c>
      <c r="AW56" s="2">
        <v>14.868557371394621</v>
      </c>
      <c r="AX56" s="2">
        <v>21.896416696736395</v>
      </c>
      <c r="AY56" s="2">
        <v>14.549542054919183</v>
      </c>
      <c r="AZ56" s="2">
        <v>9.9333847072683259</v>
      </c>
      <c r="BA56" s="2">
        <v>13.960897990861438</v>
      </c>
      <c r="BB56" s="2">
        <v>11.255480092431299</v>
      </c>
      <c r="BC56" s="2">
        <v>9.3666083146202617</v>
      </c>
      <c r="BD56" s="2">
        <v>12.295078551452141</v>
      </c>
      <c r="BE56" s="2">
        <v>28.020768507944076</v>
      </c>
      <c r="BF56" s="2">
        <v>10.726238231899186</v>
      </c>
      <c r="BG56" s="2">
        <v>15.390217394744665</v>
      </c>
      <c r="BH56" s="2">
        <v>17.017805922634132</v>
      </c>
      <c r="BI56" s="2">
        <v>15.263242006532362</v>
      </c>
      <c r="BJ56" s="2">
        <v>19.335793908837744</v>
      </c>
      <c r="BK56" s="2">
        <v>39.963567356045893</v>
      </c>
      <c r="BL56" s="2">
        <v>10.245224505486298</v>
      </c>
      <c r="BM56" s="2">
        <v>20.135942097788256</v>
      </c>
      <c r="BN56" s="2">
        <v>14.974496974697427</v>
      </c>
      <c r="BO56" s="2">
        <v>71.150698772237234</v>
      </c>
      <c r="BP56" s="2">
        <v>5.931607305054766</v>
      </c>
      <c r="BQ56" s="2">
        <v>6.3744960522475358</v>
      </c>
      <c r="BR56" s="2">
        <v>11.745661851942595</v>
      </c>
      <c r="BS56" s="2">
        <v>10.457676904873127</v>
      </c>
      <c r="BT56" s="2">
        <v>9.7536787846627941</v>
      </c>
      <c r="BU56" s="2">
        <v>10.12944939457967</v>
      </c>
      <c r="BV56" s="2">
        <v>13.707041129411907</v>
      </c>
      <c r="BW56" s="2">
        <v>13.107368780969395</v>
      </c>
      <c r="BX56" s="2">
        <v>9.4272407267053548</v>
      </c>
      <c r="BY56" s="2">
        <v>9.3317110082936097</v>
      </c>
      <c r="BZ56" s="2">
        <v>20.765854962133492</v>
      </c>
      <c r="CA56" s="2">
        <v>19.196039357205226</v>
      </c>
      <c r="CB56" s="2">
        <v>38.973123445687079</v>
      </c>
      <c r="CC56" s="2">
        <v>45.826407473334093</v>
      </c>
      <c r="CD56" s="2">
        <v>9.5414278153475625</v>
      </c>
      <c r="CE56" s="2">
        <v>10.80744719577217</v>
      </c>
      <c r="CF56" s="2">
        <v>13.863625557375471</v>
      </c>
      <c r="CG56" s="2">
        <v>12.199240540771543</v>
      </c>
      <c r="CH56" s="2">
        <v>12.380249299377203</v>
      </c>
      <c r="CI56" s="2">
        <v>21.314704171077651</v>
      </c>
      <c r="CJ56" s="2">
        <v>9.2823402715471115</v>
      </c>
      <c r="CK56" s="2">
        <v>23.358294781341993</v>
      </c>
      <c r="CL56" s="2">
        <v>16.684211148530483</v>
      </c>
      <c r="CM56" s="2">
        <v>11.176774220980084</v>
      </c>
      <c r="CN56" s="2">
        <v>15.835069811096886</v>
      </c>
      <c r="CO56" s="2">
        <v>39.642104825656865</v>
      </c>
      <c r="CP56" s="2">
        <v>10.325906633197722</v>
      </c>
      <c r="CQ56" s="2">
        <v>10.176796180748488</v>
      </c>
      <c r="CR56" s="2">
        <v>10.537250346411474</v>
      </c>
      <c r="CS56" s="2">
        <v>12.18525395599406</v>
      </c>
      <c r="CT56" s="2">
        <v>-2.7121638154974357</v>
      </c>
      <c r="CU56" s="2">
        <v>9.3543814037299793</v>
      </c>
      <c r="CV56" s="2">
        <v>15.718537925588032</v>
      </c>
      <c r="CW56" s="2">
        <v>29.968693502812535</v>
      </c>
      <c r="CX56" s="2">
        <v>14.060833083956757</v>
      </c>
      <c r="CY56" s="2">
        <v>9.7865858501996534</v>
      </c>
      <c r="CZ56" s="2">
        <v>28.031746437343749</v>
      </c>
      <c r="DA56" s="2">
        <v>8.3667022563562075</v>
      </c>
      <c r="DB56" s="2">
        <v>11.978925111834025</v>
      </c>
      <c r="DC56" s="2">
        <v>13.096740465844499</v>
      </c>
      <c r="DD56" s="2">
        <v>9.9956244139873007</v>
      </c>
      <c r="DE56" s="2">
        <v>12.700452240560704</v>
      </c>
      <c r="DF56" s="2">
        <v>8.3260519850319685</v>
      </c>
      <c r="DG56" s="2">
        <v>18.564965983979508</v>
      </c>
      <c r="DH56" s="2">
        <v>10.986106824276867</v>
      </c>
      <c r="DI56" s="2">
        <v>10.6616712422648</v>
      </c>
      <c r="DJ56" s="2">
        <v>21.364022756627929</v>
      </c>
      <c r="DK56" s="2">
        <v>9.1616712422648039</v>
      </c>
      <c r="DL56" s="2">
        <v>9.4295039815735429</v>
      </c>
      <c r="DM56" s="2">
        <v>12.130032896833733</v>
      </c>
      <c r="DN56" s="2">
        <v>11.92856035327395</v>
      </c>
      <c r="DO56" s="2">
        <v>29.00251651656006</v>
      </c>
      <c r="DP56" s="2">
        <v>73.48312437393372</v>
      </c>
      <c r="DQ56" s="2">
        <v>33.362654197602403</v>
      </c>
      <c r="DR56" s="2">
        <v>11.552037570846748</v>
      </c>
      <c r="DS56" s="2">
        <v>20.5707038364704</v>
      </c>
      <c r="DT56" s="2">
        <v>15.94543456520063</v>
      </c>
      <c r="DU56" s="2">
        <v>9.2919197900671993</v>
      </c>
      <c r="DV56" s="2">
        <v>13.234348441811441</v>
      </c>
      <c r="DW56" s="2">
        <v>34.94291687469866</v>
      </c>
      <c r="DX56" s="2">
        <v>41.341043804515074</v>
      </c>
      <c r="DY56" s="2">
        <v>20.028240696253086</v>
      </c>
      <c r="DZ56" s="2">
        <v>15.325795276303628</v>
      </c>
      <c r="EA56" s="2">
        <v>16.307151663037928</v>
      </c>
      <c r="EB56" s="2">
        <v>14.104295326999226</v>
      </c>
      <c r="EC56" s="2">
        <v>17.643607980375922</v>
      </c>
      <c r="ED56" s="2">
        <v>5.7498432567223929</v>
      </c>
      <c r="EE56" s="2">
        <v>29.374277335797977</v>
      </c>
      <c r="EF56" s="2">
        <v>23.353687520894635</v>
      </c>
      <c r="EG56" s="2">
        <v>22.574056250575421</v>
      </c>
      <c r="EH56" s="2">
        <v>18.04370505024054</v>
      </c>
      <c r="EI56" s="2">
        <v>18.08742256801871</v>
      </c>
      <c r="EJ56" s="2">
        <v>22.623475100110159</v>
      </c>
      <c r="EK56" s="2">
        <v>11.005777706449031</v>
      </c>
      <c r="EL56" s="2">
        <v>15.656182182219821</v>
      </c>
      <c r="EM56" s="2">
        <v>10.30814395089239</v>
      </c>
      <c r="EN56" s="2">
        <v>9.029347377083452</v>
      </c>
      <c r="EO56" s="2">
        <v>17.595161981432973</v>
      </c>
      <c r="EP56" s="2">
        <v>12.973090605153081</v>
      </c>
      <c r="EQ56" s="2">
        <v>15.060840288192832</v>
      </c>
      <c r="ER56" s="2">
        <v>21.016302547482919</v>
      </c>
      <c r="ES56" s="2">
        <v>11.795368705553987</v>
      </c>
      <c r="ET56" s="2">
        <v>5.8497439567021745</v>
      </c>
      <c r="EU56" s="2">
        <v>13.501136920015972</v>
      </c>
      <c r="EV56" s="31">
        <v>11.112951853683562</v>
      </c>
    </row>
    <row r="57" spans="1:152" ht="15" thickBot="1" x14ac:dyDescent="0.35">
      <c r="A57" s="22" t="s">
        <v>76</v>
      </c>
      <c r="B57" s="23">
        <v>59000</v>
      </c>
      <c r="D57" s="4" t="s">
        <v>14</v>
      </c>
      <c r="E57" s="32">
        <v>5.8658571516169156</v>
      </c>
      <c r="F57" s="32">
        <v>11.786447311664487</v>
      </c>
      <c r="G57" s="32">
        <v>9.3958828375407695</v>
      </c>
      <c r="H57" s="32">
        <v>15.753151864768723</v>
      </c>
      <c r="I57" s="32">
        <v>9.0697527168283774</v>
      </c>
      <c r="J57" s="32">
        <v>5.8705169702981888</v>
      </c>
      <c r="K57" s="32">
        <v>6.6625706793030446</v>
      </c>
      <c r="L57" s="32">
        <v>6.4781894304829173</v>
      </c>
      <c r="M57" s="32">
        <v>12.794881786819753</v>
      </c>
      <c r="N57" s="32">
        <v>18.699056708211003</v>
      </c>
      <c r="O57" s="32">
        <v>42.591344157458508</v>
      </c>
      <c r="P57" s="32">
        <v>15.950764506874535</v>
      </c>
      <c r="Q57" s="32">
        <v>10.581719038173103</v>
      </c>
      <c r="R57" s="32">
        <v>12.976719930469331</v>
      </c>
      <c r="S57" s="32">
        <v>8.052925763328707</v>
      </c>
      <c r="T57" s="32">
        <v>32.261427675113509</v>
      </c>
      <c r="U57" s="32">
        <v>22.834351373013625</v>
      </c>
      <c r="V57" s="32">
        <v>25.549914174095566</v>
      </c>
      <c r="W57" s="32">
        <v>10.161540900532401</v>
      </c>
      <c r="X57" s="32">
        <v>18.031856277956276</v>
      </c>
      <c r="Y57" s="32">
        <v>18.781391805427958</v>
      </c>
      <c r="Z57" s="32">
        <v>29.021621686091517</v>
      </c>
      <c r="AA57" s="32">
        <v>11.616725028028931</v>
      </c>
      <c r="AB57" s="32">
        <v>5.8721447040613999</v>
      </c>
      <c r="AC57" s="32">
        <v>11.591057361042955</v>
      </c>
      <c r="AD57" s="32">
        <v>8.8834643979804362</v>
      </c>
      <c r="AE57" s="32">
        <v>27.780827310899102</v>
      </c>
      <c r="AF57" s="32">
        <v>21.502861203328138</v>
      </c>
      <c r="AG57" s="32">
        <v>21.031746245917653</v>
      </c>
      <c r="AH57" s="32">
        <v>8.4787614912814568</v>
      </c>
      <c r="AI57" s="32">
        <v>27.837976511310071</v>
      </c>
      <c r="AJ57" s="32">
        <v>12.488761789538971</v>
      </c>
      <c r="AK57" s="32">
        <v>20.046685450313184</v>
      </c>
      <c r="AL57" s="32">
        <v>16.004915824811519</v>
      </c>
      <c r="AM57" s="32">
        <v>11.787367295481127</v>
      </c>
      <c r="AN57" s="32">
        <v>18.255423571620561</v>
      </c>
      <c r="AO57" s="32">
        <v>22.606467940135122</v>
      </c>
      <c r="AP57" s="32">
        <v>31.462140429973196</v>
      </c>
      <c r="AQ57" s="32">
        <v>12.510750367394103</v>
      </c>
      <c r="AR57" s="32">
        <v>5.9701798200685481</v>
      </c>
      <c r="AS57" s="32">
        <v>45.684349282296594</v>
      </c>
      <c r="AT57" s="32">
        <v>14.390740604589487</v>
      </c>
      <c r="AU57" s="32">
        <v>17.206544296115545</v>
      </c>
      <c r="AV57" s="32">
        <v>28.337877264692139</v>
      </c>
      <c r="AW57" s="32">
        <v>19.218557371394628</v>
      </c>
      <c r="AX57" s="32">
        <v>18.396416696736399</v>
      </c>
      <c r="AY57" s="32">
        <v>11.049542054919183</v>
      </c>
      <c r="AZ57" s="32">
        <v>5.5833847072683263</v>
      </c>
      <c r="BA57" s="32">
        <v>13.977177373611738</v>
      </c>
      <c r="BB57" s="32">
        <v>7.7554800924313056</v>
      </c>
      <c r="BC57" s="32">
        <v>13.716608314620265</v>
      </c>
      <c r="BD57" s="32">
        <v>8.7950785514521428</v>
      </c>
      <c r="BE57" s="32">
        <v>32.370768507944078</v>
      </c>
      <c r="BF57" s="32">
        <v>15.076238231899184</v>
      </c>
      <c r="BG57" s="32">
        <v>11.040217394744666</v>
      </c>
      <c r="BH57" s="32">
        <v>17.017805922634132</v>
      </c>
      <c r="BI57" s="32">
        <v>15.263242006532362</v>
      </c>
      <c r="BJ57" s="32">
        <v>19.335793908837744</v>
      </c>
      <c r="BK57" s="32">
        <v>36.463567356045878</v>
      </c>
      <c r="BL57" s="32">
        <v>5.8952245054862926</v>
      </c>
      <c r="BM57" s="32">
        <v>20.135942097788256</v>
      </c>
      <c r="BN57" s="32">
        <v>11.474496974697427</v>
      </c>
      <c r="BO57" s="32">
        <v>71.150698772237234</v>
      </c>
      <c r="BP57" s="32">
        <v>10.281607305054765</v>
      </c>
      <c r="BQ57" s="32">
        <v>10.724496052247527</v>
      </c>
      <c r="BR57" s="32">
        <v>11.745661851942595</v>
      </c>
      <c r="BS57" s="32">
        <v>10.457676904873127</v>
      </c>
      <c r="BT57" s="32">
        <v>6.2536787846627906</v>
      </c>
      <c r="BU57" s="32">
        <v>5.7794493945796646</v>
      </c>
      <c r="BV57" s="32">
        <v>14.707041129411918</v>
      </c>
      <c r="BW57" s="32">
        <v>9.6073687809693897</v>
      </c>
      <c r="BX57" s="32">
        <v>5.927240726705354</v>
      </c>
      <c r="BY57" s="32">
        <v>5.8317110082936132</v>
      </c>
      <c r="BZ57" s="32">
        <v>20.765854962133492</v>
      </c>
      <c r="CA57" s="32">
        <v>19.196039357205226</v>
      </c>
      <c r="CB57" s="32">
        <v>34.623123445687071</v>
      </c>
      <c r="CC57" s="32">
        <v>47.676407473334088</v>
      </c>
      <c r="CD57" s="32">
        <v>6.0414278153475642</v>
      </c>
      <c r="CE57" s="32">
        <v>15.157447195772175</v>
      </c>
      <c r="CF57" s="32">
        <v>10.36311170670324</v>
      </c>
      <c r="CG57" s="32">
        <v>7.8492405407715484</v>
      </c>
      <c r="CH57" s="32">
        <v>13.380249299377207</v>
      </c>
      <c r="CI57" s="32">
        <v>21.314704171077651</v>
      </c>
      <c r="CJ57" s="32">
        <v>5.7823402715471124</v>
      </c>
      <c r="CK57" s="32">
        <v>25.208294781341991</v>
      </c>
      <c r="CL57" s="32">
        <v>13.184211148530482</v>
      </c>
      <c r="CM57" s="32">
        <v>15.526774220980084</v>
      </c>
      <c r="CN57" s="32">
        <v>12.335069811096881</v>
      </c>
      <c r="CO57" s="32">
        <v>39.642104825656865</v>
      </c>
      <c r="CP57" s="32">
        <v>6.8259066331977163</v>
      </c>
      <c r="CQ57" s="32">
        <v>5.826796180748488</v>
      </c>
      <c r="CR57" s="32">
        <v>14.887250346411466</v>
      </c>
      <c r="CS57" s="32">
        <v>16.535253955994065</v>
      </c>
      <c r="CT57" s="32">
        <v>-1.7121638154974368</v>
      </c>
      <c r="CU57" s="32">
        <v>5.8543814037299731</v>
      </c>
      <c r="CV57" s="32">
        <v>15.718537925588032</v>
      </c>
      <c r="CW57" s="32">
        <v>29.968693502812535</v>
      </c>
      <c r="CX57" s="32">
        <v>9.7108330839567536</v>
      </c>
      <c r="CY57" s="32">
        <v>6.2865858501996561</v>
      </c>
      <c r="CZ57" s="32">
        <v>28.031746437343749</v>
      </c>
      <c r="DA57" s="32">
        <v>9.3667022563562021</v>
      </c>
      <c r="DB57" s="32">
        <v>8.4789251118340321</v>
      </c>
      <c r="DC57" s="32">
        <v>13.096740465844499</v>
      </c>
      <c r="DD57" s="32">
        <v>14.345624413987293</v>
      </c>
      <c r="DE57" s="32">
        <v>12.700452240560704</v>
      </c>
      <c r="DF57" s="32">
        <v>12.676051985031966</v>
      </c>
      <c r="DG57" s="32">
        <v>19.564965983979501</v>
      </c>
      <c r="DH57" s="32">
        <v>11.986106824276867</v>
      </c>
      <c r="DI57" s="32">
        <v>11.661671242264802</v>
      </c>
      <c r="DJ57" s="32">
        <v>21.364022756627929</v>
      </c>
      <c r="DK57" s="32">
        <v>5.6616712422648021</v>
      </c>
      <c r="DL57" s="32">
        <v>5.9295039815735384</v>
      </c>
      <c r="DM57" s="32">
        <v>12.130032896833733</v>
      </c>
      <c r="DN57" s="32">
        <v>12.928560353273953</v>
      </c>
      <c r="DO57" s="32">
        <v>29.00251651656006</v>
      </c>
      <c r="DP57" s="32">
        <v>73.48312437393372</v>
      </c>
      <c r="DQ57" s="32">
        <v>33.362654197602403</v>
      </c>
      <c r="DR57" s="32">
        <v>11.552037570846748</v>
      </c>
      <c r="DS57" s="32">
        <v>20.5707038364704</v>
      </c>
      <c r="DT57" s="32">
        <v>12.445434565200632</v>
      </c>
      <c r="DU57" s="32">
        <v>5.7919197900671966</v>
      </c>
      <c r="DV57" s="32">
        <v>8.8843484418114418</v>
      </c>
      <c r="DW57" s="32">
        <v>34.94291687469866</v>
      </c>
      <c r="DX57" s="32">
        <v>45.691043804515068</v>
      </c>
      <c r="DY57" s="32">
        <v>20.028240696253086</v>
      </c>
      <c r="DZ57" s="32">
        <v>16.325795276303626</v>
      </c>
      <c r="EA57" s="32">
        <v>17.307151663037921</v>
      </c>
      <c r="EB57" s="32">
        <v>9.7542953269992196</v>
      </c>
      <c r="EC57" s="32">
        <v>18.643607980375929</v>
      </c>
      <c r="ED57" s="32">
        <v>10.099843256722393</v>
      </c>
      <c r="EE57" s="32">
        <v>29.374277335797977</v>
      </c>
      <c r="EF57" s="32">
        <v>23.353687520894635</v>
      </c>
      <c r="EG57" s="32">
        <v>22.574056250575421</v>
      </c>
      <c r="EH57" s="32">
        <v>19.043705050240533</v>
      </c>
      <c r="EI57" s="32">
        <v>14.587422568018711</v>
      </c>
      <c r="EJ57" s="32">
        <v>19.123475100110163</v>
      </c>
      <c r="EK57" s="32">
        <v>6.6557777064490313</v>
      </c>
      <c r="EL57" s="32">
        <v>15.656182182219821</v>
      </c>
      <c r="EM57" s="32">
        <v>14.658143950892391</v>
      </c>
      <c r="EN57" s="32">
        <v>13.379347377083452</v>
      </c>
      <c r="EO57" s="32">
        <v>19.445161981432971</v>
      </c>
      <c r="EP57" s="32">
        <v>14.82309060515308</v>
      </c>
      <c r="EQ57" s="32">
        <v>11.560840288192834</v>
      </c>
      <c r="ER57" s="32">
        <v>21.016302547482919</v>
      </c>
      <c r="ES57" s="32">
        <v>8.2953687055539884</v>
      </c>
      <c r="ET57" s="32">
        <v>10.199743956702179</v>
      </c>
      <c r="EU57" s="32">
        <v>17.798913412962197</v>
      </c>
      <c r="EV57" s="33">
        <v>15.462951853683567</v>
      </c>
    </row>
    <row r="58" spans="1:152" x14ac:dyDescent="0.3">
      <c r="A58" s="22" t="s">
        <v>77</v>
      </c>
      <c r="B58" s="23">
        <v>13000</v>
      </c>
    </row>
    <row r="59" spans="1:152" ht="15" thickBot="1" x14ac:dyDescent="0.35">
      <c r="A59" s="22" t="s">
        <v>29</v>
      </c>
      <c r="B59" s="23">
        <v>34000</v>
      </c>
      <c r="D59" s="26" t="s">
        <v>208</v>
      </c>
    </row>
    <row r="60" spans="1:152" ht="15" thickBot="1" x14ac:dyDescent="0.35">
      <c r="A60" s="22" t="s">
        <v>78</v>
      </c>
      <c r="B60" s="23">
        <v>15000</v>
      </c>
      <c r="D60" s="18" t="s">
        <v>206</v>
      </c>
      <c r="E60" s="12" t="s">
        <v>207</v>
      </c>
    </row>
    <row r="61" spans="1:152" x14ac:dyDescent="0.3">
      <c r="A61" s="22" t="s">
        <v>79</v>
      </c>
      <c r="B61" s="23">
        <v>9000</v>
      </c>
      <c r="D61" s="5" t="s">
        <v>6</v>
      </c>
      <c r="E61" s="30">
        <v>2.9</v>
      </c>
    </row>
    <row r="62" spans="1:152" x14ac:dyDescent="0.3">
      <c r="A62" s="22" t="s">
        <v>80</v>
      </c>
      <c r="B62" s="23">
        <v>3000</v>
      </c>
      <c r="D62" s="3" t="s">
        <v>15</v>
      </c>
      <c r="E62" s="15">
        <v>3.15</v>
      </c>
    </row>
    <row r="63" spans="1:152" x14ac:dyDescent="0.3">
      <c r="A63" s="22" t="s">
        <v>81</v>
      </c>
      <c r="B63" s="23">
        <v>15000</v>
      </c>
      <c r="D63" s="3" t="s">
        <v>4</v>
      </c>
      <c r="E63" s="15">
        <v>2.75</v>
      </c>
    </row>
    <row r="64" spans="1:152" x14ac:dyDescent="0.3">
      <c r="A64" s="22" t="s">
        <v>82</v>
      </c>
      <c r="B64" s="23">
        <v>19000</v>
      </c>
      <c r="D64" s="3" t="s">
        <v>20</v>
      </c>
      <c r="E64" s="15">
        <v>2.25</v>
      </c>
    </row>
    <row r="65" spans="1:5" x14ac:dyDescent="0.3">
      <c r="A65" s="22" t="s">
        <v>83</v>
      </c>
      <c r="B65" s="23">
        <v>11000</v>
      </c>
      <c r="D65" s="3" t="s">
        <v>24</v>
      </c>
      <c r="E65" s="15">
        <v>3.75</v>
      </c>
    </row>
    <row r="66" spans="1:5" x14ac:dyDescent="0.3">
      <c r="A66" s="22" t="s">
        <v>84</v>
      </c>
      <c r="B66" s="23">
        <v>1000</v>
      </c>
      <c r="D66" s="3" t="s">
        <v>21</v>
      </c>
      <c r="E66" s="15">
        <v>1.75</v>
      </c>
    </row>
    <row r="67" spans="1:5" x14ac:dyDescent="0.3">
      <c r="A67" s="22" t="s">
        <v>85</v>
      </c>
      <c r="B67" s="23">
        <v>9000</v>
      </c>
      <c r="D67" s="3" t="s">
        <v>5</v>
      </c>
      <c r="E67" s="15">
        <v>3.5</v>
      </c>
    </row>
    <row r="68" spans="1:5" x14ac:dyDescent="0.3">
      <c r="A68" s="22" t="s">
        <v>22</v>
      </c>
      <c r="B68" s="23">
        <v>360000</v>
      </c>
      <c r="D68" s="3" t="s">
        <v>16</v>
      </c>
      <c r="E68" s="15">
        <v>4</v>
      </c>
    </row>
    <row r="69" spans="1:5" x14ac:dyDescent="0.3">
      <c r="A69" s="22" t="s">
        <v>7</v>
      </c>
      <c r="B69" s="23">
        <v>14000</v>
      </c>
      <c r="D69" s="3" t="s">
        <v>17</v>
      </c>
      <c r="E69" s="15">
        <v>2.75</v>
      </c>
    </row>
    <row r="70" spans="1:5" x14ac:dyDescent="0.3">
      <c r="A70" s="22" t="s">
        <v>86</v>
      </c>
      <c r="B70" s="23">
        <v>6000</v>
      </c>
      <c r="D70" s="3" t="s">
        <v>29</v>
      </c>
      <c r="E70" s="15">
        <v>1</v>
      </c>
    </row>
    <row r="71" spans="1:5" x14ac:dyDescent="0.3">
      <c r="A71" s="22" t="s">
        <v>18</v>
      </c>
      <c r="B71" s="23">
        <v>47000</v>
      </c>
      <c r="D71" s="3" t="s">
        <v>22</v>
      </c>
      <c r="E71" s="15">
        <v>3</v>
      </c>
    </row>
    <row r="72" spans="1:5" x14ac:dyDescent="0.3">
      <c r="A72" s="22" t="s">
        <v>87</v>
      </c>
      <c r="B72" s="23">
        <v>12000</v>
      </c>
      <c r="D72" s="3" t="s">
        <v>7</v>
      </c>
      <c r="E72" s="15">
        <v>4</v>
      </c>
    </row>
    <row r="73" spans="1:5" x14ac:dyDescent="0.3">
      <c r="A73" s="22" t="s">
        <v>88</v>
      </c>
      <c r="B73" s="23">
        <v>11000</v>
      </c>
      <c r="D73" s="3" t="s">
        <v>18</v>
      </c>
      <c r="E73" s="15">
        <v>1.75</v>
      </c>
    </row>
    <row r="74" spans="1:5" x14ac:dyDescent="0.3">
      <c r="A74" s="22" t="s">
        <v>89</v>
      </c>
      <c r="B74" s="23">
        <v>12000</v>
      </c>
      <c r="D74" s="3" t="s">
        <v>26</v>
      </c>
      <c r="E74" s="15">
        <v>4</v>
      </c>
    </row>
    <row r="75" spans="1:5" x14ac:dyDescent="0.3">
      <c r="A75" s="22" t="s">
        <v>90</v>
      </c>
      <c r="B75" s="23">
        <v>28000</v>
      </c>
      <c r="D75" s="3" t="s">
        <v>19</v>
      </c>
      <c r="E75" s="15">
        <v>2.5</v>
      </c>
    </row>
    <row r="76" spans="1:5" x14ac:dyDescent="0.3">
      <c r="A76" s="22" t="s">
        <v>91</v>
      </c>
      <c r="B76" s="23">
        <v>42000</v>
      </c>
      <c r="D76" s="3" t="s">
        <v>12</v>
      </c>
      <c r="E76" s="15">
        <v>2.75</v>
      </c>
    </row>
    <row r="77" spans="1:5" x14ac:dyDescent="0.3">
      <c r="A77" s="22" t="s">
        <v>92</v>
      </c>
      <c r="B77" s="23">
        <v>9000</v>
      </c>
      <c r="D77" s="3" t="s">
        <v>27</v>
      </c>
      <c r="E77" s="15">
        <v>3</v>
      </c>
    </row>
    <row r="78" spans="1:5" x14ac:dyDescent="0.3">
      <c r="A78" s="22" t="s">
        <v>93</v>
      </c>
      <c r="B78" s="23">
        <v>12000</v>
      </c>
      <c r="D78" s="3" t="s">
        <v>25</v>
      </c>
      <c r="E78" s="15">
        <v>3.0021030740799639</v>
      </c>
    </row>
    <row r="79" spans="1:5" x14ac:dyDescent="0.3">
      <c r="A79" s="22" t="s">
        <v>94</v>
      </c>
      <c r="B79" s="23">
        <v>1000</v>
      </c>
      <c r="D79" s="3" t="s">
        <v>8</v>
      </c>
      <c r="E79" s="15">
        <v>4</v>
      </c>
    </row>
    <row r="80" spans="1:5" x14ac:dyDescent="0.3">
      <c r="A80" s="22" t="s">
        <v>95</v>
      </c>
      <c r="B80" s="23">
        <v>6000</v>
      </c>
      <c r="D80" s="3" t="s">
        <v>28</v>
      </c>
      <c r="E80" s="15">
        <v>4</v>
      </c>
    </row>
    <row r="81" spans="1:5" x14ac:dyDescent="0.3">
      <c r="A81" s="22" t="s">
        <v>96</v>
      </c>
      <c r="B81" s="23">
        <v>21000</v>
      </c>
      <c r="D81" s="3" t="s">
        <v>13</v>
      </c>
      <c r="E81" s="15">
        <v>1</v>
      </c>
    </row>
    <row r="82" spans="1:5" x14ac:dyDescent="0.3">
      <c r="A82" s="22" t="s">
        <v>97</v>
      </c>
      <c r="B82" s="23">
        <v>27000</v>
      </c>
      <c r="D82" s="3" t="s">
        <v>23</v>
      </c>
      <c r="E82" s="15">
        <v>2</v>
      </c>
    </row>
    <row r="83" spans="1:5" ht="15" thickBot="1" x14ac:dyDescent="0.35">
      <c r="A83" s="22" t="s">
        <v>98</v>
      </c>
      <c r="B83" s="23">
        <v>18000</v>
      </c>
      <c r="D83" s="4" t="s">
        <v>14</v>
      </c>
      <c r="E83" s="16">
        <v>2.75</v>
      </c>
    </row>
    <row r="84" spans="1:5" x14ac:dyDescent="0.3">
      <c r="A84" s="22" t="s">
        <v>99</v>
      </c>
      <c r="B84" s="23">
        <v>5000</v>
      </c>
    </row>
    <row r="85" spans="1:5" x14ac:dyDescent="0.3">
      <c r="A85" s="22" t="s">
        <v>100</v>
      </c>
      <c r="B85" s="23">
        <v>14000</v>
      </c>
    </row>
    <row r="86" spans="1:5" x14ac:dyDescent="0.3">
      <c r="A86" s="22" t="s">
        <v>26</v>
      </c>
      <c r="B86" s="23">
        <v>18000</v>
      </c>
    </row>
    <row r="87" spans="1:5" x14ac:dyDescent="0.3">
      <c r="A87" s="22" t="s">
        <v>101</v>
      </c>
      <c r="B87" s="23">
        <v>5000</v>
      </c>
    </row>
    <row r="88" spans="1:5" x14ac:dyDescent="0.3">
      <c r="A88" s="22" t="s">
        <v>102</v>
      </c>
      <c r="B88" s="23">
        <v>10000</v>
      </c>
    </row>
    <row r="89" spans="1:5" x14ac:dyDescent="0.3">
      <c r="A89" s="22" t="s">
        <v>103</v>
      </c>
      <c r="B89" s="23">
        <v>11000</v>
      </c>
    </row>
    <row r="90" spans="1:5" x14ac:dyDescent="0.3">
      <c r="A90" s="22" t="s">
        <v>104</v>
      </c>
      <c r="B90" s="23">
        <v>16000</v>
      </c>
    </row>
    <row r="91" spans="1:5" x14ac:dyDescent="0.3">
      <c r="A91" s="22" t="s">
        <v>105</v>
      </c>
      <c r="B91" s="23">
        <v>9000</v>
      </c>
    </row>
    <row r="92" spans="1:5" x14ac:dyDescent="0.3">
      <c r="A92" s="22" t="s">
        <v>106</v>
      </c>
      <c r="B92" s="23">
        <v>12000</v>
      </c>
    </row>
    <row r="93" spans="1:5" x14ac:dyDescent="0.3">
      <c r="A93" s="22" t="s">
        <v>19</v>
      </c>
      <c r="B93" s="23">
        <v>12000</v>
      </c>
    </row>
    <row r="94" spans="1:5" x14ac:dyDescent="0.3">
      <c r="A94" s="22" t="s">
        <v>107</v>
      </c>
      <c r="B94" s="23">
        <v>15000</v>
      </c>
    </row>
    <row r="95" spans="1:5" x14ac:dyDescent="0.3">
      <c r="A95" s="22" t="s">
        <v>108</v>
      </c>
      <c r="B95" s="23">
        <v>19000</v>
      </c>
    </row>
    <row r="96" spans="1:5" x14ac:dyDescent="0.3">
      <c r="A96" s="22" t="s">
        <v>109</v>
      </c>
      <c r="B96" s="23">
        <v>25000</v>
      </c>
    </row>
    <row r="97" spans="1:2" x14ac:dyDescent="0.3">
      <c r="A97" s="22" t="s">
        <v>110</v>
      </c>
      <c r="B97" s="23">
        <v>1000</v>
      </c>
    </row>
    <row r="98" spans="1:2" x14ac:dyDescent="0.3">
      <c r="A98" s="22" t="s">
        <v>111</v>
      </c>
      <c r="B98" s="23">
        <v>9000</v>
      </c>
    </row>
    <row r="99" spans="1:2" x14ac:dyDescent="0.3">
      <c r="A99" s="22" t="s">
        <v>112</v>
      </c>
      <c r="B99" s="23">
        <v>45000</v>
      </c>
    </row>
    <row r="100" spans="1:2" x14ac:dyDescent="0.3">
      <c r="A100" s="22" t="s">
        <v>113</v>
      </c>
      <c r="B100" s="23">
        <v>12000</v>
      </c>
    </row>
    <row r="101" spans="1:2" x14ac:dyDescent="0.3">
      <c r="A101" s="22" t="s">
        <v>114</v>
      </c>
      <c r="B101" s="23">
        <v>7000</v>
      </c>
    </row>
    <row r="102" spans="1:2" x14ac:dyDescent="0.3">
      <c r="A102" s="22" t="s">
        <v>115</v>
      </c>
      <c r="B102" s="23">
        <v>2000</v>
      </c>
    </row>
    <row r="103" spans="1:2" x14ac:dyDescent="0.3">
      <c r="A103" s="22" t="s">
        <v>116</v>
      </c>
      <c r="B103" s="23">
        <v>16000</v>
      </c>
    </row>
    <row r="104" spans="1:2" x14ac:dyDescent="0.3">
      <c r="A104" s="22" t="s">
        <v>117</v>
      </c>
      <c r="B104" s="23">
        <v>27000</v>
      </c>
    </row>
    <row r="105" spans="1:2" x14ac:dyDescent="0.3">
      <c r="A105" s="22" t="s">
        <v>118</v>
      </c>
      <c r="B105" s="23">
        <v>10000</v>
      </c>
    </row>
    <row r="106" spans="1:2" x14ac:dyDescent="0.3">
      <c r="A106" s="22" t="s">
        <v>119</v>
      </c>
      <c r="B106" s="23">
        <v>44000</v>
      </c>
    </row>
    <row r="107" spans="1:2" x14ac:dyDescent="0.3">
      <c r="A107" s="22" t="s">
        <v>120</v>
      </c>
      <c r="B107" s="23">
        <v>7000</v>
      </c>
    </row>
    <row r="108" spans="1:2" x14ac:dyDescent="0.3">
      <c r="A108" s="22" t="s">
        <v>121</v>
      </c>
      <c r="B108" s="23">
        <v>10000</v>
      </c>
    </row>
    <row r="109" spans="1:2" x14ac:dyDescent="0.3">
      <c r="A109" s="22" t="s">
        <v>122</v>
      </c>
      <c r="B109" s="23">
        <v>67000</v>
      </c>
    </row>
    <row r="110" spans="1:2" x14ac:dyDescent="0.3">
      <c r="A110" s="22" t="s">
        <v>123</v>
      </c>
      <c r="B110" s="23">
        <v>9000</v>
      </c>
    </row>
    <row r="111" spans="1:2" x14ac:dyDescent="0.3">
      <c r="A111" s="22" t="s">
        <v>124</v>
      </c>
      <c r="B111" s="23">
        <v>4000</v>
      </c>
    </row>
    <row r="112" spans="1:2" x14ac:dyDescent="0.3">
      <c r="A112" s="22" t="s">
        <v>125</v>
      </c>
      <c r="B112" s="23">
        <v>16000</v>
      </c>
    </row>
    <row r="113" spans="1:2" x14ac:dyDescent="0.3">
      <c r="A113" s="22" t="s">
        <v>126</v>
      </c>
      <c r="B113" s="23">
        <v>5000</v>
      </c>
    </row>
    <row r="114" spans="1:2" x14ac:dyDescent="0.3">
      <c r="A114" s="22" t="s">
        <v>127</v>
      </c>
      <c r="B114" s="23">
        <v>1000</v>
      </c>
    </row>
    <row r="115" spans="1:2" x14ac:dyDescent="0.3">
      <c r="A115" s="22" t="s">
        <v>128</v>
      </c>
      <c r="B115" s="23">
        <v>8000</v>
      </c>
    </row>
    <row r="116" spans="1:2" x14ac:dyDescent="0.3">
      <c r="A116" s="22" t="s">
        <v>27</v>
      </c>
      <c r="B116" s="23">
        <v>54000</v>
      </c>
    </row>
    <row r="117" spans="1:2" x14ac:dyDescent="0.3">
      <c r="A117" s="22" t="s">
        <v>25</v>
      </c>
      <c r="B117" s="23">
        <v>40000</v>
      </c>
    </row>
    <row r="118" spans="1:2" x14ac:dyDescent="0.3">
      <c r="A118" s="22" t="s">
        <v>129</v>
      </c>
      <c r="B118" s="23">
        <v>15000</v>
      </c>
    </row>
    <row r="119" spans="1:2" x14ac:dyDescent="0.3">
      <c r="A119" s="22" t="s">
        <v>130</v>
      </c>
      <c r="B119" s="23">
        <v>3000</v>
      </c>
    </row>
    <row r="120" spans="1:2" x14ac:dyDescent="0.3">
      <c r="A120" s="22" t="s">
        <v>8</v>
      </c>
      <c r="B120" s="23">
        <v>3000</v>
      </c>
    </row>
    <row r="121" spans="1:2" x14ac:dyDescent="0.3">
      <c r="A121" s="22" t="s">
        <v>131</v>
      </c>
      <c r="B121" s="23">
        <v>10000</v>
      </c>
    </row>
    <row r="122" spans="1:2" x14ac:dyDescent="0.3">
      <c r="A122" s="22" t="s">
        <v>28</v>
      </c>
      <c r="B122" s="23">
        <v>12000</v>
      </c>
    </row>
    <row r="123" spans="1:2" x14ac:dyDescent="0.3">
      <c r="A123" s="22" t="s">
        <v>132</v>
      </c>
      <c r="B123" s="23">
        <v>11000</v>
      </c>
    </row>
    <row r="124" spans="1:2" x14ac:dyDescent="0.3">
      <c r="A124" s="22" t="s">
        <v>133</v>
      </c>
      <c r="B124" s="23">
        <v>20000</v>
      </c>
    </row>
    <row r="125" spans="1:2" x14ac:dyDescent="0.3">
      <c r="A125" s="22" t="s">
        <v>134</v>
      </c>
      <c r="B125" s="23">
        <v>13000</v>
      </c>
    </row>
    <row r="126" spans="1:2" x14ac:dyDescent="0.3">
      <c r="A126" s="22" t="s">
        <v>135</v>
      </c>
      <c r="B126" s="23">
        <v>9000</v>
      </c>
    </row>
    <row r="127" spans="1:2" x14ac:dyDescent="0.3">
      <c r="A127" s="22" t="s">
        <v>136</v>
      </c>
      <c r="B127" s="23">
        <v>1000</v>
      </c>
    </row>
    <row r="128" spans="1:2" x14ac:dyDescent="0.3">
      <c r="A128" s="22" t="s">
        <v>137</v>
      </c>
      <c r="B128" s="23">
        <v>50000</v>
      </c>
    </row>
    <row r="129" spans="1:2" x14ac:dyDescent="0.3">
      <c r="A129" s="22" t="s">
        <v>138</v>
      </c>
      <c r="B129" s="23">
        <v>21000</v>
      </c>
    </row>
    <row r="130" spans="1:2" x14ac:dyDescent="0.3">
      <c r="A130" s="22" t="s">
        <v>139</v>
      </c>
      <c r="B130" s="23">
        <v>27000</v>
      </c>
    </row>
    <row r="131" spans="1:2" x14ac:dyDescent="0.3">
      <c r="A131" s="22" t="s">
        <v>140</v>
      </c>
      <c r="B131" s="23">
        <v>12000</v>
      </c>
    </row>
    <row r="132" spans="1:2" x14ac:dyDescent="0.3">
      <c r="A132" s="22" t="s">
        <v>141</v>
      </c>
      <c r="B132" s="23">
        <v>4000</v>
      </c>
    </row>
    <row r="133" spans="1:2" x14ac:dyDescent="0.3">
      <c r="A133" s="22" t="s">
        <v>142</v>
      </c>
      <c r="B133" s="23">
        <v>19000</v>
      </c>
    </row>
    <row r="134" spans="1:2" x14ac:dyDescent="0.3">
      <c r="A134" s="22" t="s">
        <v>143</v>
      </c>
      <c r="B134" s="23">
        <v>15000</v>
      </c>
    </row>
    <row r="135" spans="1:2" x14ac:dyDescent="0.3">
      <c r="A135" s="22" t="s">
        <v>144</v>
      </c>
      <c r="B135" s="23">
        <v>14000</v>
      </c>
    </row>
    <row r="136" spans="1:2" x14ac:dyDescent="0.3">
      <c r="A136" s="22" t="s">
        <v>145</v>
      </c>
      <c r="B136" s="23">
        <v>20000</v>
      </c>
    </row>
    <row r="137" spans="1:2" x14ac:dyDescent="0.3">
      <c r="A137" s="22" t="s">
        <v>146</v>
      </c>
      <c r="B137" s="23">
        <v>8000</v>
      </c>
    </row>
    <row r="138" spans="1:2" x14ac:dyDescent="0.3">
      <c r="A138" s="22" t="s">
        <v>147</v>
      </c>
      <c r="B138" s="23">
        <v>1000</v>
      </c>
    </row>
    <row r="139" spans="1:2" x14ac:dyDescent="0.3">
      <c r="A139" s="22" t="s">
        <v>148</v>
      </c>
      <c r="B139" s="23">
        <v>6000</v>
      </c>
    </row>
    <row r="140" spans="1:2" x14ac:dyDescent="0.3">
      <c r="A140" s="22" t="s">
        <v>149</v>
      </c>
      <c r="B140" s="23">
        <v>1000</v>
      </c>
    </row>
    <row r="141" spans="1:2" x14ac:dyDescent="0.3">
      <c r="A141" s="22" t="s">
        <v>150</v>
      </c>
      <c r="B141" s="23">
        <v>10000</v>
      </c>
    </row>
    <row r="142" spans="1:2" x14ac:dyDescent="0.3">
      <c r="A142" s="22" t="s">
        <v>151</v>
      </c>
      <c r="B142" s="23">
        <v>37000</v>
      </c>
    </row>
    <row r="143" spans="1:2" x14ac:dyDescent="0.3">
      <c r="A143" s="22" t="s">
        <v>152</v>
      </c>
      <c r="B143" s="23">
        <v>9000</v>
      </c>
    </row>
    <row r="144" spans="1:2" x14ac:dyDescent="0.3">
      <c r="A144" s="22" t="s">
        <v>153</v>
      </c>
      <c r="B144" s="23">
        <v>7000</v>
      </c>
    </row>
    <row r="145" spans="1:2" x14ac:dyDescent="0.3">
      <c r="A145" s="22" t="s">
        <v>154</v>
      </c>
      <c r="B145" s="23">
        <v>13000</v>
      </c>
    </row>
    <row r="146" spans="1:2" x14ac:dyDescent="0.3">
      <c r="A146" s="22" t="s">
        <v>155</v>
      </c>
      <c r="B146" s="23">
        <v>8000</v>
      </c>
    </row>
    <row r="147" spans="1:2" x14ac:dyDescent="0.3">
      <c r="A147" s="22" t="s">
        <v>156</v>
      </c>
      <c r="B147" s="23">
        <v>5000</v>
      </c>
    </row>
    <row r="148" spans="1:2" x14ac:dyDescent="0.3">
      <c r="A148" s="22" t="s">
        <v>157</v>
      </c>
      <c r="B148" s="23">
        <v>33000</v>
      </c>
    </row>
    <row r="149" spans="1:2" x14ac:dyDescent="0.3">
      <c r="A149" s="22" t="s">
        <v>158</v>
      </c>
      <c r="B149" s="23">
        <v>18000</v>
      </c>
    </row>
    <row r="150" spans="1:2" x14ac:dyDescent="0.3">
      <c r="A150" s="22" t="s">
        <v>23</v>
      </c>
      <c r="B150" s="23">
        <v>16000</v>
      </c>
    </row>
    <row r="151" spans="1:2" ht="15" thickBot="1" x14ac:dyDescent="0.35">
      <c r="A151" s="24" t="s">
        <v>159</v>
      </c>
      <c r="B151" s="25">
        <v>9000</v>
      </c>
    </row>
  </sheetData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26C1513E-9599-4AB8-8290-3DD17C67EBDC}">
          <xm:f>#REF!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A4BA-029D-4C7F-9C92-EC3845287C80}">
  <dimension ref="A1:FF213"/>
  <sheetViews>
    <sheetView tabSelected="1" zoomScale="138" zoomScaleNormal="138" workbookViewId="0">
      <selection activeCell="A106" sqref="A106"/>
    </sheetView>
  </sheetViews>
  <sheetFormatPr defaultRowHeight="14.4" x14ac:dyDescent="0.3"/>
  <cols>
    <col min="1" max="1" width="14.44140625" style="17" bestFit="1" customWidth="1"/>
    <col min="2" max="2" width="13.77734375" style="17" bestFit="1" customWidth="1"/>
    <col min="3" max="3" width="10.21875" style="17" bestFit="1" customWidth="1"/>
    <col min="4" max="4" width="18.109375" style="17" customWidth="1"/>
    <col min="5" max="5" width="16.88671875" style="17" bestFit="1" customWidth="1"/>
    <col min="6" max="6" width="10.21875" style="17" bestFit="1" customWidth="1"/>
    <col min="7" max="7" width="11.5546875" style="17" bestFit="1" customWidth="1"/>
    <col min="8" max="8" width="9.88671875" style="17" bestFit="1" customWidth="1"/>
    <col min="9" max="9" width="10.21875" style="17" bestFit="1" customWidth="1"/>
    <col min="10" max="10" width="9.5546875" style="17" bestFit="1" customWidth="1"/>
    <col min="11" max="12" width="11.6640625" style="17" bestFit="1" customWidth="1"/>
    <col min="13" max="13" width="10.21875" style="17" bestFit="1" customWidth="1"/>
    <col min="14" max="14" width="11.33203125" style="17" bestFit="1" customWidth="1"/>
    <col min="15" max="15" width="10.21875" style="17" bestFit="1" customWidth="1"/>
    <col min="16" max="16" width="9.88671875" style="17" bestFit="1" customWidth="1"/>
    <col min="17" max="17" width="10.21875" style="17" bestFit="1" customWidth="1"/>
    <col min="18" max="19" width="11.33203125" style="17" bestFit="1" customWidth="1"/>
    <col min="20" max="20" width="9.5546875" style="17" bestFit="1" customWidth="1"/>
    <col min="21" max="21" width="10.21875" style="17" bestFit="1" customWidth="1"/>
    <col min="22" max="22" width="11.33203125" style="17" bestFit="1" customWidth="1"/>
    <col min="23" max="23" width="10.109375" style="17" bestFit="1" customWidth="1"/>
    <col min="24" max="24" width="10.21875" style="17" bestFit="1" customWidth="1"/>
    <col min="25" max="25" width="11.6640625" style="17" bestFit="1" customWidth="1"/>
    <col min="26" max="26" width="9.44140625" style="17" bestFit="1" customWidth="1"/>
    <col min="27" max="28" width="10.109375" style="17" bestFit="1" customWidth="1"/>
    <col min="29" max="29" width="9.44140625" style="17" bestFit="1" customWidth="1"/>
    <col min="30" max="32" width="10.109375" style="17" bestFit="1" customWidth="1"/>
    <col min="33" max="33" width="11.6640625" style="17" bestFit="1" customWidth="1"/>
    <col min="34" max="41" width="10.109375" style="17" bestFit="1" customWidth="1"/>
    <col min="42" max="42" width="10" style="17" bestFit="1" customWidth="1"/>
    <col min="43" max="43" width="10.109375" style="17" bestFit="1" customWidth="1"/>
    <col min="44" max="44" width="9.44140625" style="17" bestFit="1" customWidth="1"/>
    <col min="45" max="45" width="10.109375" style="17" bestFit="1" customWidth="1"/>
    <col min="46" max="49" width="9.44140625" style="17" bestFit="1" customWidth="1"/>
    <col min="50" max="53" width="10.109375" style="17" bestFit="1" customWidth="1"/>
    <col min="54" max="54" width="10" style="17" bestFit="1" customWidth="1"/>
    <col min="55" max="58" width="10.109375" style="17" bestFit="1" customWidth="1"/>
    <col min="59" max="59" width="9.44140625" style="17" bestFit="1" customWidth="1"/>
    <col min="60" max="60" width="10" style="17" bestFit="1" customWidth="1"/>
    <col min="61" max="63" width="10.109375" style="17" bestFit="1" customWidth="1"/>
    <col min="64" max="64" width="11.5546875" style="17" bestFit="1" customWidth="1"/>
    <col min="65" max="65" width="9.44140625" style="17" bestFit="1" customWidth="1"/>
    <col min="66" max="66" width="11.6640625" style="17" bestFit="1" customWidth="1"/>
    <col min="67" max="67" width="10.109375" style="17" bestFit="1" customWidth="1"/>
    <col min="68" max="68" width="9.44140625" style="17" bestFit="1" customWidth="1"/>
    <col min="69" max="74" width="10.109375" style="17" bestFit="1" customWidth="1"/>
    <col min="75" max="75" width="9.44140625" style="17" bestFit="1" customWidth="1"/>
    <col min="76" max="76" width="10.109375" style="17" bestFit="1" customWidth="1"/>
    <col min="77" max="78" width="10" style="17" bestFit="1" customWidth="1"/>
    <col min="79" max="81" width="10.109375" style="17" bestFit="1" customWidth="1"/>
    <col min="82" max="82" width="9.44140625" style="17" bestFit="1" customWidth="1"/>
    <col min="83" max="84" width="10.109375" style="17" bestFit="1" customWidth="1"/>
    <col min="85" max="85" width="9.44140625" style="17" bestFit="1" customWidth="1"/>
    <col min="86" max="86" width="10" style="17" bestFit="1" customWidth="1"/>
    <col min="87" max="88" width="10.109375" style="17" bestFit="1" customWidth="1"/>
    <col min="89" max="89" width="9.44140625" style="17" bestFit="1" customWidth="1"/>
    <col min="90" max="94" width="10.109375" style="17" bestFit="1" customWidth="1"/>
    <col min="95" max="96" width="9.44140625" style="17" bestFit="1" customWidth="1"/>
    <col min="97" max="98" width="10.109375" style="17" bestFit="1" customWidth="1"/>
    <col min="99" max="100" width="9.44140625" style="17" bestFit="1" customWidth="1"/>
    <col min="101" max="102" width="10.109375" style="17" bestFit="1" customWidth="1"/>
    <col min="103" max="103" width="9.44140625" style="17" bestFit="1" customWidth="1"/>
    <col min="104" max="104" width="10.109375" style="17" bestFit="1" customWidth="1"/>
    <col min="105" max="106" width="9.44140625" style="17" bestFit="1" customWidth="1"/>
    <col min="107" max="107" width="10.109375" style="17" bestFit="1" customWidth="1"/>
    <col min="108" max="109" width="9.44140625" style="17" bestFit="1" customWidth="1"/>
    <col min="110" max="110" width="10.109375" style="17" bestFit="1" customWidth="1"/>
    <col min="111" max="113" width="9.44140625" style="17" bestFit="1" customWidth="1"/>
    <col min="114" max="116" width="10.109375" style="17" bestFit="1" customWidth="1"/>
    <col min="117" max="117" width="11.5546875" style="17" bestFit="1" customWidth="1"/>
    <col min="118" max="118" width="10" style="17" bestFit="1" customWidth="1"/>
    <col min="119" max="119" width="9.44140625" style="17" bestFit="1" customWidth="1"/>
    <col min="120" max="123" width="10.109375" style="17" bestFit="1" customWidth="1"/>
    <col min="124" max="125" width="10" style="17" bestFit="1" customWidth="1"/>
    <col min="126" max="129" width="10.109375" style="17" bestFit="1" customWidth="1"/>
    <col min="130" max="130" width="9.44140625" style="17" bestFit="1" customWidth="1"/>
    <col min="131" max="134" width="10.109375" style="17" bestFit="1" customWidth="1"/>
    <col min="135" max="136" width="9.44140625" style="17" bestFit="1" customWidth="1"/>
    <col min="137" max="137" width="10" style="17" bestFit="1" customWidth="1"/>
    <col min="138" max="139" width="9.44140625" style="17" bestFit="1" customWidth="1"/>
    <col min="140" max="140" width="10.109375" style="17" bestFit="1" customWidth="1"/>
    <col min="141" max="142" width="9.44140625" style="17" bestFit="1" customWidth="1"/>
    <col min="143" max="143" width="10.109375" style="17" bestFit="1" customWidth="1"/>
    <col min="144" max="144" width="9.44140625" style="17" bestFit="1" customWidth="1"/>
    <col min="145" max="145" width="10" style="17" bestFit="1" customWidth="1"/>
    <col min="146" max="148" width="10.109375" style="17" bestFit="1" customWidth="1"/>
    <col min="149" max="149" width="18.44140625" style="17" bestFit="1" customWidth="1"/>
    <col min="150" max="150" width="12.6640625" style="17" bestFit="1" customWidth="1"/>
    <col min="151" max="152" width="8.88671875" style="17"/>
    <col min="153" max="153" width="10" style="17" bestFit="1" customWidth="1"/>
    <col min="154" max="154" width="11.5546875" style="17" bestFit="1" customWidth="1"/>
    <col min="155" max="155" width="11.5546875" style="17" customWidth="1"/>
    <col min="156" max="157" width="8.88671875" style="17"/>
    <col min="158" max="158" width="12.5546875" style="17" bestFit="1" customWidth="1"/>
    <col min="159" max="159" width="8.88671875" style="17"/>
    <col min="160" max="162" width="10" style="17" bestFit="1" customWidth="1"/>
    <col min="163" max="16384" width="8.88671875" style="17"/>
  </cols>
  <sheetData>
    <row r="1" spans="1:150" ht="15" thickBot="1" x14ac:dyDescent="0.35">
      <c r="J1" s="83" t="s">
        <v>183</v>
      </c>
      <c r="K1" s="84">
        <f>K3</f>
        <v>0.9</v>
      </c>
      <c r="L1" s="85" t="s">
        <v>0</v>
      </c>
      <c r="N1" s="89"/>
      <c r="O1" s="90"/>
      <c r="P1" s="91"/>
    </row>
    <row r="2" spans="1:150" ht="16.2" thickBot="1" x14ac:dyDescent="0.35">
      <c r="A2" s="18" t="s">
        <v>10</v>
      </c>
      <c r="B2" s="38">
        <f>SUM(B3:B6)</f>
        <v>73608820.998296574</v>
      </c>
      <c r="D2" s="39"/>
      <c r="E2" s="40" t="s">
        <v>175</v>
      </c>
      <c r="F2" s="41" t="s">
        <v>176</v>
      </c>
      <c r="G2" s="41" t="s">
        <v>177</v>
      </c>
      <c r="J2" s="37">
        <v>250</v>
      </c>
      <c r="K2" s="86">
        <f>L2/$L$10</f>
        <v>0.56067377105534544</v>
      </c>
      <c r="L2" s="36">
        <f>SUMIF($B$19:$ES$41,"&lt;="&amp;J2,$B$84:$ES$106)</f>
        <v>1631000</v>
      </c>
      <c r="N2" s="92"/>
      <c r="O2" s="93"/>
      <c r="P2" s="94"/>
    </row>
    <row r="3" spans="1:150" ht="15.6" x14ac:dyDescent="0.3">
      <c r="A3" s="42" t="s">
        <v>187</v>
      </c>
      <c r="B3" s="43">
        <f>Y53</f>
        <v>25566103.766500004</v>
      </c>
      <c r="D3" s="44" t="s">
        <v>178</v>
      </c>
      <c r="E3" s="45">
        <f>EV107</f>
        <v>11</v>
      </c>
      <c r="F3" s="46">
        <v>1</v>
      </c>
      <c r="G3" s="47">
        <v>23</v>
      </c>
      <c r="J3" s="37">
        <v>500</v>
      </c>
      <c r="K3" s="86">
        <f t="shared" ref="K3:K9" si="0">(L3/$L$10)</f>
        <v>0.9</v>
      </c>
      <c r="L3" s="36">
        <f t="shared" ref="L3:L9" si="1">SUMIF($B$19:$ES$41,"&lt;="&amp;J3,$B$84:$ES$106)</f>
        <v>2618100</v>
      </c>
      <c r="N3" s="95"/>
      <c r="O3" s="93"/>
      <c r="P3" s="94"/>
    </row>
    <row r="4" spans="1:150" ht="15.6" x14ac:dyDescent="0.3">
      <c r="A4" s="22" t="s">
        <v>166</v>
      </c>
      <c r="B4" s="23">
        <f>EY107</f>
        <v>9000000</v>
      </c>
      <c r="D4" s="48" t="s">
        <v>179</v>
      </c>
      <c r="E4" s="49">
        <f>SUMPRODUCT($B$19:$ES$41,$B$84:$ES$106)/$B$8</f>
        <v>256.07700214838434</v>
      </c>
      <c r="F4" s="50"/>
      <c r="G4" s="51">
        <v>250</v>
      </c>
      <c r="J4" s="37">
        <v>750</v>
      </c>
      <c r="K4" s="86">
        <f t="shared" si="0"/>
        <v>0.94419133535579236</v>
      </c>
      <c r="L4" s="36">
        <f t="shared" si="1"/>
        <v>2746652.59455</v>
      </c>
      <c r="N4" s="95"/>
      <c r="O4" s="93"/>
      <c r="P4" s="94"/>
    </row>
    <row r="5" spans="1:150" ht="16.2" thickBot="1" x14ac:dyDescent="0.35">
      <c r="A5" s="22" t="s">
        <v>167</v>
      </c>
      <c r="B5" s="23">
        <f>FB107</f>
        <v>6429424.14758828</v>
      </c>
      <c r="D5" s="52" t="s">
        <v>217</v>
      </c>
      <c r="E5" s="53">
        <f>SUMPRODUCT($B$84:$ES$106,$B$138:$ES$160)*100/$B$8</f>
        <v>90</v>
      </c>
      <c r="F5" s="87">
        <v>90</v>
      </c>
      <c r="G5" s="54"/>
      <c r="J5" s="37">
        <v>1000</v>
      </c>
      <c r="K5" s="86">
        <f t="shared" si="0"/>
        <v>0.9874708128394637</v>
      </c>
      <c r="L5" s="36">
        <f t="shared" si="1"/>
        <v>2872552.59455</v>
      </c>
      <c r="N5" s="95"/>
      <c r="O5" s="93"/>
      <c r="P5" s="94"/>
    </row>
    <row r="6" spans="1:150" ht="15" thickBot="1" x14ac:dyDescent="0.35">
      <c r="A6" s="24" t="s">
        <v>168</v>
      </c>
      <c r="B6" s="25">
        <f>ET133</f>
        <v>32613293.084208287</v>
      </c>
      <c r="J6" s="37">
        <v>1250</v>
      </c>
      <c r="K6" s="86">
        <f t="shared" si="0"/>
        <v>0.99090842026469583</v>
      </c>
      <c r="L6" s="36">
        <f t="shared" si="1"/>
        <v>2882552.59455</v>
      </c>
      <c r="N6" s="55"/>
      <c r="O6" s="56"/>
      <c r="P6" s="57"/>
    </row>
    <row r="7" spans="1:150" ht="15" thickBot="1" x14ac:dyDescent="0.35">
      <c r="J7" s="37">
        <v>1500</v>
      </c>
      <c r="K7" s="86">
        <f t="shared" si="0"/>
        <v>0.99503354917497422</v>
      </c>
      <c r="L7" s="36">
        <f t="shared" si="1"/>
        <v>2894552.59455</v>
      </c>
    </row>
    <row r="8" spans="1:150" ht="15" thickBot="1" x14ac:dyDescent="0.35">
      <c r="A8" s="26" t="s">
        <v>2</v>
      </c>
      <c r="B8" s="58">
        <f>$ET$15</f>
        <v>2909000</v>
      </c>
      <c r="J8" s="37">
        <v>1750</v>
      </c>
      <c r="K8" s="86">
        <f t="shared" si="0"/>
        <v>0.99999999984530763</v>
      </c>
      <c r="L8" s="36">
        <f t="shared" si="1"/>
        <v>2908999.9995499998</v>
      </c>
    </row>
    <row r="9" spans="1:150" x14ac:dyDescent="0.3">
      <c r="J9" s="37">
        <v>2000</v>
      </c>
      <c r="K9" s="86">
        <f t="shared" si="0"/>
        <v>0.99999999984530763</v>
      </c>
      <c r="L9" s="36">
        <f t="shared" si="1"/>
        <v>2908999.9995499998</v>
      </c>
    </row>
    <row r="10" spans="1:150" x14ac:dyDescent="0.3">
      <c r="B10" s="59"/>
      <c r="J10" s="37"/>
      <c r="K10" s="88"/>
      <c r="L10" s="77">
        <f>$ET$15</f>
        <v>2909000</v>
      </c>
    </row>
    <row r="11" spans="1:150" x14ac:dyDescent="0.3">
      <c r="L11" s="60"/>
    </row>
    <row r="12" spans="1:150" x14ac:dyDescent="0.3">
      <c r="L12" s="60"/>
    </row>
    <row r="14" spans="1:150" x14ac:dyDescent="0.3">
      <c r="A14" s="61" t="s">
        <v>2</v>
      </c>
      <c r="B14" s="37" t="s">
        <v>30</v>
      </c>
      <c r="C14" s="37" t="s">
        <v>6</v>
      </c>
      <c r="D14" s="37" t="s">
        <v>31</v>
      </c>
      <c r="E14" s="37" t="s">
        <v>32</v>
      </c>
      <c r="F14" s="37" t="s">
        <v>33</v>
      </c>
      <c r="G14" s="37" t="s">
        <v>34</v>
      </c>
      <c r="H14" s="37" t="s">
        <v>15</v>
      </c>
      <c r="I14" s="37" t="s">
        <v>35</v>
      </c>
      <c r="J14" s="37" t="s">
        <v>36</v>
      </c>
      <c r="K14" s="37" t="s">
        <v>37</v>
      </c>
      <c r="L14" s="37" t="s">
        <v>38</v>
      </c>
      <c r="M14" s="37" t="s">
        <v>39</v>
      </c>
      <c r="N14" s="37" t="s">
        <v>20</v>
      </c>
      <c r="O14" s="37" t="s">
        <v>40</v>
      </c>
      <c r="P14" s="37" t="s">
        <v>41</v>
      </c>
      <c r="Q14" s="37" t="s">
        <v>42</v>
      </c>
      <c r="R14" s="37" t="s">
        <v>43</v>
      </c>
      <c r="S14" s="37" t="s">
        <v>44</v>
      </c>
      <c r="T14" s="37" t="s">
        <v>45</v>
      </c>
      <c r="U14" s="37" t="s">
        <v>46</v>
      </c>
      <c r="V14" s="37" t="s">
        <v>47</v>
      </c>
      <c r="W14" s="37" t="s">
        <v>48</v>
      </c>
      <c r="X14" s="37" t="s">
        <v>49</v>
      </c>
      <c r="Y14" s="37" t="s">
        <v>50</v>
      </c>
      <c r="Z14" s="37" t="s">
        <v>51</v>
      </c>
      <c r="AA14" s="37" t="s">
        <v>52</v>
      </c>
      <c r="AB14" s="37" t="s">
        <v>53</v>
      </c>
      <c r="AC14" s="37" t="s">
        <v>54</v>
      </c>
      <c r="AD14" s="37" t="s">
        <v>55</v>
      </c>
      <c r="AE14" s="37" t="s">
        <v>56</v>
      </c>
      <c r="AF14" s="37" t="s">
        <v>57</v>
      </c>
      <c r="AG14" s="37" t="s">
        <v>58</v>
      </c>
      <c r="AH14" s="37" t="s">
        <v>59</v>
      </c>
      <c r="AI14" s="37" t="s">
        <v>60</v>
      </c>
      <c r="AJ14" s="37" t="s">
        <v>21</v>
      </c>
      <c r="AK14" s="37" t="s">
        <v>61</v>
      </c>
      <c r="AL14" s="37" t="s">
        <v>5</v>
      </c>
      <c r="AM14" s="37" t="s">
        <v>62</v>
      </c>
      <c r="AN14" s="37" t="s">
        <v>63</v>
      </c>
      <c r="AO14" s="37" t="s">
        <v>16</v>
      </c>
      <c r="AP14" s="37" t="s">
        <v>64</v>
      </c>
      <c r="AQ14" s="37" t="s">
        <v>65</v>
      </c>
      <c r="AR14" s="37" t="s">
        <v>66</v>
      </c>
      <c r="AS14" s="37" t="s">
        <v>67</v>
      </c>
      <c r="AT14" s="37" t="s">
        <v>68</v>
      </c>
      <c r="AU14" s="37" t="s">
        <v>69</v>
      </c>
      <c r="AV14" s="37" t="s">
        <v>70</v>
      </c>
      <c r="AW14" s="37" t="s">
        <v>71</v>
      </c>
      <c r="AX14" s="37" t="s">
        <v>72</v>
      </c>
      <c r="AY14" s="37" t="s">
        <v>17</v>
      </c>
      <c r="AZ14" s="37" t="s">
        <v>73</v>
      </c>
      <c r="BA14" s="37" t="s">
        <v>74</v>
      </c>
      <c r="BB14" s="37" t="s">
        <v>75</v>
      </c>
      <c r="BC14" s="37" t="s">
        <v>76</v>
      </c>
      <c r="BD14" s="37" t="s">
        <v>77</v>
      </c>
      <c r="BE14" s="37" t="s">
        <v>29</v>
      </c>
      <c r="BF14" s="37" t="s">
        <v>78</v>
      </c>
      <c r="BG14" s="37" t="s">
        <v>79</v>
      </c>
      <c r="BH14" s="37" t="s">
        <v>80</v>
      </c>
      <c r="BI14" s="37" t="s">
        <v>81</v>
      </c>
      <c r="BJ14" s="37" t="s">
        <v>82</v>
      </c>
      <c r="BK14" s="37" t="s">
        <v>83</v>
      </c>
      <c r="BL14" s="37" t="s">
        <v>84</v>
      </c>
      <c r="BM14" s="37" t="s">
        <v>85</v>
      </c>
      <c r="BN14" s="37" t="s">
        <v>22</v>
      </c>
      <c r="BO14" s="37" t="s">
        <v>7</v>
      </c>
      <c r="BP14" s="37" t="s">
        <v>86</v>
      </c>
      <c r="BQ14" s="37" t="s">
        <v>18</v>
      </c>
      <c r="BR14" s="37" t="s">
        <v>87</v>
      </c>
      <c r="BS14" s="37" t="s">
        <v>88</v>
      </c>
      <c r="BT14" s="37" t="s">
        <v>89</v>
      </c>
      <c r="BU14" s="37" t="s">
        <v>90</v>
      </c>
      <c r="BV14" s="37" t="s">
        <v>91</v>
      </c>
      <c r="BW14" s="37" t="s">
        <v>92</v>
      </c>
      <c r="BX14" s="37" t="s">
        <v>93</v>
      </c>
      <c r="BY14" s="37" t="s">
        <v>94</v>
      </c>
      <c r="BZ14" s="37" t="s">
        <v>95</v>
      </c>
      <c r="CA14" s="37" t="s">
        <v>96</v>
      </c>
      <c r="CB14" s="37" t="s">
        <v>97</v>
      </c>
      <c r="CC14" s="37" t="s">
        <v>98</v>
      </c>
      <c r="CD14" s="37" t="s">
        <v>99</v>
      </c>
      <c r="CE14" s="37" t="s">
        <v>100</v>
      </c>
      <c r="CF14" s="37" t="s">
        <v>26</v>
      </c>
      <c r="CG14" s="37" t="s">
        <v>101</v>
      </c>
      <c r="CH14" s="37" t="s">
        <v>102</v>
      </c>
      <c r="CI14" s="37" t="s">
        <v>103</v>
      </c>
      <c r="CJ14" s="37" t="s">
        <v>104</v>
      </c>
      <c r="CK14" s="37" t="s">
        <v>105</v>
      </c>
      <c r="CL14" s="37" t="s">
        <v>106</v>
      </c>
      <c r="CM14" s="37" t="s">
        <v>19</v>
      </c>
      <c r="CN14" s="37" t="s">
        <v>107</v>
      </c>
      <c r="CO14" s="37" t="s">
        <v>108</v>
      </c>
      <c r="CP14" s="37" t="s">
        <v>109</v>
      </c>
      <c r="CQ14" s="37" t="s">
        <v>110</v>
      </c>
      <c r="CR14" s="37" t="s">
        <v>111</v>
      </c>
      <c r="CS14" s="37" t="s">
        <v>112</v>
      </c>
      <c r="CT14" s="37" t="s">
        <v>113</v>
      </c>
      <c r="CU14" s="37" t="s">
        <v>114</v>
      </c>
      <c r="CV14" s="37" t="s">
        <v>115</v>
      </c>
      <c r="CW14" s="37" t="s">
        <v>116</v>
      </c>
      <c r="CX14" s="37" t="s">
        <v>117</v>
      </c>
      <c r="CY14" s="37" t="s">
        <v>118</v>
      </c>
      <c r="CZ14" s="37" t="s">
        <v>119</v>
      </c>
      <c r="DA14" s="37" t="s">
        <v>120</v>
      </c>
      <c r="DB14" s="37" t="s">
        <v>121</v>
      </c>
      <c r="DC14" s="37" t="s">
        <v>122</v>
      </c>
      <c r="DD14" s="37" t="s">
        <v>123</v>
      </c>
      <c r="DE14" s="37" t="s">
        <v>124</v>
      </c>
      <c r="DF14" s="37" t="s">
        <v>125</v>
      </c>
      <c r="DG14" s="37" t="s">
        <v>126</v>
      </c>
      <c r="DH14" s="37" t="s">
        <v>127</v>
      </c>
      <c r="DI14" s="37" t="s">
        <v>128</v>
      </c>
      <c r="DJ14" s="37" t="s">
        <v>27</v>
      </c>
      <c r="DK14" s="37" t="s">
        <v>25</v>
      </c>
      <c r="DL14" s="37" t="s">
        <v>129</v>
      </c>
      <c r="DM14" s="37" t="s">
        <v>130</v>
      </c>
      <c r="DN14" s="37" t="s">
        <v>8</v>
      </c>
      <c r="DO14" s="37" t="s">
        <v>131</v>
      </c>
      <c r="DP14" s="37" t="s">
        <v>28</v>
      </c>
      <c r="DQ14" s="37" t="s">
        <v>132</v>
      </c>
      <c r="DR14" s="37" t="s">
        <v>133</v>
      </c>
      <c r="DS14" s="37" t="s">
        <v>134</v>
      </c>
      <c r="DT14" s="37" t="s">
        <v>135</v>
      </c>
      <c r="DU14" s="37" t="s">
        <v>136</v>
      </c>
      <c r="DV14" s="37" t="s">
        <v>137</v>
      </c>
      <c r="DW14" s="37" t="s">
        <v>138</v>
      </c>
      <c r="DX14" s="37" t="s">
        <v>139</v>
      </c>
      <c r="DY14" s="37" t="s">
        <v>140</v>
      </c>
      <c r="DZ14" s="37" t="s">
        <v>141</v>
      </c>
      <c r="EA14" s="37" t="s">
        <v>142</v>
      </c>
      <c r="EB14" s="37" t="s">
        <v>143</v>
      </c>
      <c r="EC14" s="37" t="s">
        <v>144</v>
      </c>
      <c r="ED14" s="37" t="s">
        <v>145</v>
      </c>
      <c r="EE14" s="37" t="s">
        <v>146</v>
      </c>
      <c r="EF14" s="37" t="s">
        <v>147</v>
      </c>
      <c r="EG14" s="37" t="s">
        <v>148</v>
      </c>
      <c r="EH14" s="37" t="s">
        <v>149</v>
      </c>
      <c r="EI14" s="37" t="s">
        <v>150</v>
      </c>
      <c r="EJ14" s="37" t="s">
        <v>151</v>
      </c>
      <c r="EK14" s="37" t="s">
        <v>152</v>
      </c>
      <c r="EL14" s="37" t="s">
        <v>153</v>
      </c>
      <c r="EM14" s="37" t="s">
        <v>154</v>
      </c>
      <c r="EN14" s="37" t="s">
        <v>155</v>
      </c>
      <c r="EO14" s="37" t="s">
        <v>156</v>
      </c>
      <c r="EP14" s="37" t="s">
        <v>157</v>
      </c>
      <c r="EQ14" s="37" t="s">
        <v>158</v>
      </c>
      <c r="ER14" s="37" t="s">
        <v>23</v>
      </c>
      <c r="ES14" s="37" t="s">
        <v>159</v>
      </c>
    </row>
    <row r="15" spans="1:150" x14ac:dyDescent="0.3">
      <c r="A15" s="37" t="s">
        <v>0</v>
      </c>
      <c r="B15" s="36">
        <v>26000</v>
      </c>
      <c r="C15" s="36">
        <v>18000</v>
      </c>
      <c r="D15" s="36">
        <v>7000</v>
      </c>
      <c r="E15" s="36">
        <v>9000</v>
      </c>
      <c r="F15" s="36">
        <v>26000</v>
      </c>
      <c r="G15" s="36">
        <v>8000</v>
      </c>
      <c r="H15" s="36">
        <v>8000</v>
      </c>
      <c r="I15" s="36">
        <v>20000</v>
      </c>
      <c r="J15" s="36">
        <v>5000</v>
      </c>
      <c r="K15" s="36">
        <v>6000</v>
      </c>
      <c r="L15" s="36">
        <v>11000</v>
      </c>
      <c r="M15" s="36">
        <v>23000</v>
      </c>
      <c r="N15" s="36">
        <v>50000</v>
      </c>
      <c r="O15" s="36">
        <v>24000</v>
      </c>
      <c r="P15" s="36">
        <v>4000</v>
      </c>
      <c r="Q15" s="36">
        <v>27000</v>
      </c>
      <c r="R15" s="36">
        <v>8000</v>
      </c>
      <c r="S15" s="36">
        <v>30000</v>
      </c>
      <c r="T15" s="36">
        <v>8000</v>
      </c>
      <c r="U15" s="36">
        <v>22000</v>
      </c>
      <c r="V15" s="36">
        <v>21000</v>
      </c>
      <c r="W15" s="36">
        <v>2000</v>
      </c>
      <c r="X15" s="36">
        <v>11000</v>
      </c>
      <c r="Y15" s="36">
        <v>7000</v>
      </c>
      <c r="Z15" s="36">
        <v>8000</v>
      </c>
      <c r="AA15" s="36">
        <v>14000</v>
      </c>
      <c r="AB15" s="36">
        <v>12000</v>
      </c>
      <c r="AC15" s="36">
        <v>8000</v>
      </c>
      <c r="AD15" s="36">
        <v>13000</v>
      </c>
      <c r="AE15" s="36">
        <v>15000</v>
      </c>
      <c r="AF15" s="36">
        <v>23000</v>
      </c>
      <c r="AG15" s="36">
        <v>221000</v>
      </c>
      <c r="AH15" s="36">
        <v>13000</v>
      </c>
      <c r="AI15" s="36">
        <v>17000</v>
      </c>
      <c r="AJ15" s="36">
        <v>77000</v>
      </c>
      <c r="AK15" s="36">
        <v>11000</v>
      </c>
      <c r="AL15" s="36">
        <v>12000</v>
      </c>
      <c r="AM15" s="36">
        <v>17000</v>
      </c>
      <c r="AN15" s="36">
        <v>21000</v>
      </c>
      <c r="AO15" s="36">
        <v>13000</v>
      </c>
      <c r="AP15" s="36">
        <v>5000</v>
      </c>
      <c r="AQ15" s="36">
        <v>16000</v>
      </c>
      <c r="AR15" s="36">
        <v>10000</v>
      </c>
      <c r="AS15" s="36">
        <v>14000</v>
      </c>
      <c r="AT15" s="36">
        <v>5000</v>
      </c>
      <c r="AU15" s="36">
        <v>9000</v>
      </c>
      <c r="AV15" s="36">
        <v>9000</v>
      </c>
      <c r="AW15" s="36">
        <v>4000</v>
      </c>
      <c r="AX15" s="36">
        <v>13000</v>
      </c>
      <c r="AY15" s="36">
        <v>30000</v>
      </c>
      <c r="AZ15" s="36">
        <v>38000</v>
      </c>
      <c r="BA15" s="36">
        <v>39000</v>
      </c>
      <c r="BB15" s="36">
        <v>2000</v>
      </c>
      <c r="BC15" s="36">
        <v>59000</v>
      </c>
      <c r="BD15" s="36">
        <v>13000</v>
      </c>
      <c r="BE15" s="36">
        <v>34000</v>
      </c>
      <c r="BF15" s="36">
        <v>15000</v>
      </c>
      <c r="BG15" s="36">
        <v>9000</v>
      </c>
      <c r="BH15" s="36">
        <v>3000</v>
      </c>
      <c r="BI15" s="36">
        <v>15000</v>
      </c>
      <c r="BJ15" s="36">
        <v>19000</v>
      </c>
      <c r="BK15" s="36">
        <v>11000</v>
      </c>
      <c r="BL15" s="36">
        <v>1000</v>
      </c>
      <c r="BM15" s="36">
        <v>9000</v>
      </c>
      <c r="BN15" s="36">
        <v>360000</v>
      </c>
      <c r="BO15" s="36">
        <v>14000</v>
      </c>
      <c r="BP15" s="36">
        <v>6000</v>
      </c>
      <c r="BQ15" s="36">
        <v>47000</v>
      </c>
      <c r="BR15" s="36">
        <v>12000</v>
      </c>
      <c r="BS15" s="36">
        <v>11000</v>
      </c>
      <c r="BT15" s="36">
        <v>12000</v>
      </c>
      <c r="BU15" s="36">
        <v>28000</v>
      </c>
      <c r="BV15" s="36">
        <v>42000</v>
      </c>
      <c r="BW15" s="36">
        <v>9000</v>
      </c>
      <c r="BX15" s="36">
        <v>12000</v>
      </c>
      <c r="BY15" s="36">
        <v>1000</v>
      </c>
      <c r="BZ15" s="36">
        <v>6000</v>
      </c>
      <c r="CA15" s="36">
        <v>21000</v>
      </c>
      <c r="CB15" s="36">
        <v>27000</v>
      </c>
      <c r="CC15" s="36">
        <v>18000</v>
      </c>
      <c r="CD15" s="36">
        <v>5000</v>
      </c>
      <c r="CE15" s="36">
        <v>14000</v>
      </c>
      <c r="CF15" s="36">
        <v>18000</v>
      </c>
      <c r="CG15" s="36">
        <v>5000</v>
      </c>
      <c r="CH15" s="36">
        <v>10000</v>
      </c>
      <c r="CI15" s="36">
        <v>11000</v>
      </c>
      <c r="CJ15" s="36">
        <v>16000</v>
      </c>
      <c r="CK15" s="36">
        <v>9000</v>
      </c>
      <c r="CL15" s="36">
        <v>12000</v>
      </c>
      <c r="CM15" s="36">
        <v>12000</v>
      </c>
      <c r="CN15" s="36">
        <v>15000</v>
      </c>
      <c r="CO15" s="36">
        <v>19000</v>
      </c>
      <c r="CP15" s="36">
        <v>25000</v>
      </c>
      <c r="CQ15" s="36">
        <v>1000</v>
      </c>
      <c r="CR15" s="36">
        <v>9000</v>
      </c>
      <c r="CS15" s="36">
        <v>45000</v>
      </c>
      <c r="CT15" s="36">
        <v>12000</v>
      </c>
      <c r="CU15" s="36">
        <v>7000</v>
      </c>
      <c r="CV15" s="36">
        <v>2000</v>
      </c>
      <c r="CW15" s="36">
        <v>16000</v>
      </c>
      <c r="CX15" s="36">
        <v>27000</v>
      </c>
      <c r="CY15" s="36">
        <v>10000</v>
      </c>
      <c r="CZ15" s="36">
        <v>44000</v>
      </c>
      <c r="DA15" s="36">
        <v>7000</v>
      </c>
      <c r="DB15" s="36">
        <v>10000</v>
      </c>
      <c r="DC15" s="36">
        <v>67000</v>
      </c>
      <c r="DD15" s="36">
        <v>9000</v>
      </c>
      <c r="DE15" s="36">
        <v>4000</v>
      </c>
      <c r="DF15" s="36">
        <v>16000</v>
      </c>
      <c r="DG15" s="36">
        <v>5000</v>
      </c>
      <c r="DH15" s="36">
        <v>1000</v>
      </c>
      <c r="DI15" s="36">
        <v>8000</v>
      </c>
      <c r="DJ15" s="36">
        <v>54000</v>
      </c>
      <c r="DK15" s="36">
        <v>40000</v>
      </c>
      <c r="DL15" s="36">
        <v>15000</v>
      </c>
      <c r="DM15" s="36">
        <v>3000</v>
      </c>
      <c r="DN15" s="36">
        <v>3000</v>
      </c>
      <c r="DO15" s="36">
        <v>10000</v>
      </c>
      <c r="DP15" s="36">
        <v>12000</v>
      </c>
      <c r="DQ15" s="36">
        <v>11000</v>
      </c>
      <c r="DR15" s="36">
        <v>20000</v>
      </c>
      <c r="DS15" s="36">
        <v>13000</v>
      </c>
      <c r="DT15" s="36">
        <v>9000</v>
      </c>
      <c r="DU15" s="36">
        <v>1000</v>
      </c>
      <c r="DV15" s="36">
        <v>50000</v>
      </c>
      <c r="DW15" s="36">
        <v>21000</v>
      </c>
      <c r="DX15" s="36">
        <v>27000</v>
      </c>
      <c r="DY15" s="36">
        <v>12000</v>
      </c>
      <c r="DZ15" s="36">
        <v>4000</v>
      </c>
      <c r="EA15" s="36">
        <v>19000</v>
      </c>
      <c r="EB15" s="36">
        <v>15000</v>
      </c>
      <c r="EC15" s="36">
        <v>14000</v>
      </c>
      <c r="ED15" s="36">
        <v>20000</v>
      </c>
      <c r="EE15" s="36">
        <v>8000</v>
      </c>
      <c r="EF15" s="36">
        <v>1000</v>
      </c>
      <c r="EG15" s="36">
        <v>6000</v>
      </c>
      <c r="EH15" s="36">
        <v>1000</v>
      </c>
      <c r="EI15" s="36">
        <v>10000</v>
      </c>
      <c r="EJ15" s="36">
        <v>37000</v>
      </c>
      <c r="EK15" s="36">
        <v>9000</v>
      </c>
      <c r="EL15" s="36">
        <v>7000</v>
      </c>
      <c r="EM15" s="36">
        <v>13000</v>
      </c>
      <c r="EN15" s="36">
        <v>8000</v>
      </c>
      <c r="EO15" s="36">
        <v>5000</v>
      </c>
      <c r="EP15" s="36">
        <v>33000</v>
      </c>
      <c r="EQ15" s="36">
        <v>18000</v>
      </c>
      <c r="ER15" s="36">
        <v>16000</v>
      </c>
      <c r="ES15" s="36">
        <v>9000</v>
      </c>
      <c r="ET15" s="60">
        <f>SUM(B15:ES15)</f>
        <v>2909000</v>
      </c>
    </row>
    <row r="17" spans="1:149" x14ac:dyDescent="0.3">
      <c r="A17" s="26" t="s">
        <v>186</v>
      </c>
    </row>
    <row r="18" spans="1:149" x14ac:dyDescent="0.3">
      <c r="A18" s="37" t="s">
        <v>1</v>
      </c>
      <c r="B18" s="37" t="s">
        <v>30</v>
      </c>
      <c r="C18" s="37" t="s">
        <v>6</v>
      </c>
      <c r="D18" s="37" t="s">
        <v>31</v>
      </c>
      <c r="E18" s="37" t="s">
        <v>32</v>
      </c>
      <c r="F18" s="37" t="s">
        <v>33</v>
      </c>
      <c r="G18" s="37" t="s">
        <v>34</v>
      </c>
      <c r="H18" s="37" t="s">
        <v>15</v>
      </c>
      <c r="I18" s="37" t="s">
        <v>35</v>
      </c>
      <c r="J18" s="37" t="s">
        <v>36</v>
      </c>
      <c r="K18" s="37" t="s">
        <v>37</v>
      </c>
      <c r="L18" s="37" t="s">
        <v>38</v>
      </c>
      <c r="M18" s="37" t="s">
        <v>39</v>
      </c>
      <c r="N18" s="37" t="s">
        <v>20</v>
      </c>
      <c r="O18" s="37" t="s">
        <v>40</v>
      </c>
      <c r="P18" s="37" t="s">
        <v>41</v>
      </c>
      <c r="Q18" s="37" t="s">
        <v>42</v>
      </c>
      <c r="R18" s="37" t="s">
        <v>43</v>
      </c>
      <c r="S18" s="37" t="s">
        <v>44</v>
      </c>
      <c r="T18" s="37" t="s">
        <v>45</v>
      </c>
      <c r="U18" s="37" t="s">
        <v>46</v>
      </c>
      <c r="V18" s="37" t="s">
        <v>47</v>
      </c>
      <c r="W18" s="37" t="s">
        <v>48</v>
      </c>
      <c r="X18" s="37" t="s">
        <v>49</v>
      </c>
      <c r="Y18" s="37" t="s">
        <v>50</v>
      </c>
      <c r="Z18" s="37" t="s">
        <v>51</v>
      </c>
      <c r="AA18" s="37" t="s">
        <v>52</v>
      </c>
      <c r="AB18" s="37" t="s">
        <v>53</v>
      </c>
      <c r="AC18" s="37" t="s">
        <v>54</v>
      </c>
      <c r="AD18" s="37" t="s">
        <v>55</v>
      </c>
      <c r="AE18" s="37" t="s">
        <v>56</v>
      </c>
      <c r="AF18" s="37" t="s">
        <v>57</v>
      </c>
      <c r="AG18" s="37" t="s">
        <v>58</v>
      </c>
      <c r="AH18" s="37" t="s">
        <v>59</v>
      </c>
      <c r="AI18" s="37" t="s">
        <v>60</v>
      </c>
      <c r="AJ18" s="37" t="s">
        <v>21</v>
      </c>
      <c r="AK18" s="37" t="s">
        <v>61</v>
      </c>
      <c r="AL18" s="37" t="s">
        <v>5</v>
      </c>
      <c r="AM18" s="37" t="s">
        <v>62</v>
      </c>
      <c r="AN18" s="37" t="s">
        <v>63</v>
      </c>
      <c r="AO18" s="37" t="s">
        <v>16</v>
      </c>
      <c r="AP18" s="37" t="s">
        <v>64</v>
      </c>
      <c r="AQ18" s="37" t="s">
        <v>65</v>
      </c>
      <c r="AR18" s="37" t="s">
        <v>66</v>
      </c>
      <c r="AS18" s="37" t="s">
        <v>67</v>
      </c>
      <c r="AT18" s="37" t="s">
        <v>68</v>
      </c>
      <c r="AU18" s="37" t="s">
        <v>69</v>
      </c>
      <c r="AV18" s="37" t="s">
        <v>70</v>
      </c>
      <c r="AW18" s="37" t="s">
        <v>71</v>
      </c>
      <c r="AX18" s="37" t="s">
        <v>72</v>
      </c>
      <c r="AY18" s="37" t="s">
        <v>17</v>
      </c>
      <c r="AZ18" s="37" t="s">
        <v>73</v>
      </c>
      <c r="BA18" s="37" t="s">
        <v>74</v>
      </c>
      <c r="BB18" s="37" t="s">
        <v>75</v>
      </c>
      <c r="BC18" s="37" t="s">
        <v>76</v>
      </c>
      <c r="BD18" s="37" t="s">
        <v>77</v>
      </c>
      <c r="BE18" s="37" t="s">
        <v>29</v>
      </c>
      <c r="BF18" s="37" t="s">
        <v>78</v>
      </c>
      <c r="BG18" s="37" t="s">
        <v>79</v>
      </c>
      <c r="BH18" s="37" t="s">
        <v>80</v>
      </c>
      <c r="BI18" s="37" t="s">
        <v>81</v>
      </c>
      <c r="BJ18" s="37" t="s">
        <v>82</v>
      </c>
      <c r="BK18" s="37" t="s">
        <v>83</v>
      </c>
      <c r="BL18" s="37" t="s">
        <v>84</v>
      </c>
      <c r="BM18" s="37" t="s">
        <v>85</v>
      </c>
      <c r="BN18" s="37" t="s">
        <v>22</v>
      </c>
      <c r="BO18" s="37" t="s">
        <v>7</v>
      </c>
      <c r="BP18" s="37" t="s">
        <v>86</v>
      </c>
      <c r="BQ18" s="37" t="s">
        <v>18</v>
      </c>
      <c r="BR18" s="37" t="s">
        <v>87</v>
      </c>
      <c r="BS18" s="37" t="s">
        <v>88</v>
      </c>
      <c r="BT18" s="37" t="s">
        <v>89</v>
      </c>
      <c r="BU18" s="37" t="s">
        <v>90</v>
      </c>
      <c r="BV18" s="37" t="s">
        <v>91</v>
      </c>
      <c r="BW18" s="37" t="s">
        <v>92</v>
      </c>
      <c r="BX18" s="37" t="s">
        <v>93</v>
      </c>
      <c r="BY18" s="37" t="s">
        <v>94</v>
      </c>
      <c r="BZ18" s="37" t="s">
        <v>95</v>
      </c>
      <c r="CA18" s="37" t="s">
        <v>96</v>
      </c>
      <c r="CB18" s="37" t="s">
        <v>97</v>
      </c>
      <c r="CC18" s="37" t="s">
        <v>98</v>
      </c>
      <c r="CD18" s="37" t="s">
        <v>99</v>
      </c>
      <c r="CE18" s="37" t="s">
        <v>100</v>
      </c>
      <c r="CF18" s="37" t="s">
        <v>26</v>
      </c>
      <c r="CG18" s="37" t="s">
        <v>101</v>
      </c>
      <c r="CH18" s="37" t="s">
        <v>102</v>
      </c>
      <c r="CI18" s="37" t="s">
        <v>103</v>
      </c>
      <c r="CJ18" s="37" t="s">
        <v>104</v>
      </c>
      <c r="CK18" s="37" t="s">
        <v>105</v>
      </c>
      <c r="CL18" s="37" t="s">
        <v>106</v>
      </c>
      <c r="CM18" s="37" t="s">
        <v>19</v>
      </c>
      <c r="CN18" s="37" t="s">
        <v>107</v>
      </c>
      <c r="CO18" s="37" t="s">
        <v>108</v>
      </c>
      <c r="CP18" s="37" t="s">
        <v>109</v>
      </c>
      <c r="CQ18" s="37" t="s">
        <v>110</v>
      </c>
      <c r="CR18" s="37" t="s">
        <v>111</v>
      </c>
      <c r="CS18" s="37" t="s">
        <v>112</v>
      </c>
      <c r="CT18" s="37" t="s">
        <v>180</v>
      </c>
      <c r="CU18" s="37" t="s">
        <v>114</v>
      </c>
      <c r="CV18" s="37" t="s">
        <v>115</v>
      </c>
      <c r="CW18" s="37" t="s">
        <v>116</v>
      </c>
      <c r="CX18" s="37" t="s">
        <v>117</v>
      </c>
      <c r="CY18" s="37" t="s">
        <v>118</v>
      </c>
      <c r="CZ18" s="37" t="s">
        <v>119</v>
      </c>
      <c r="DA18" s="37" t="s">
        <v>120</v>
      </c>
      <c r="DB18" s="37" t="s">
        <v>121</v>
      </c>
      <c r="DC18" s="37" t="s">
        <v>122</v>
      </c>
      <c r="DD18" s="37" t="s">
        <v>123</v>
      </c>
      <c r="DE18" s="37" t="s">
        <v>124</v>
      </c>
      <c r="DF18" s="37" t="s">
        <v>125</v>
      </c>
      <c r="DG18" s="37" t="s">
        <v>126</v>
      </c>
      <c r="DH18" s="37" t="s">
        <v>127</v>
      </c>
      <c r="DI18" s="37" t="s">
        <v>128</v>
      </c>
      <c r="DJ18" s="37" t="s">
        <v>27</v>
      </c>
      <c r="DK18" s="37" t="s">
        <v>25</v>
      </c>
      <c r="DL18" s="37" t="s">
        <v>129</v>
      </c>
      <c r="DM18" s="37" t="s">
        <v>130</v>
      </c>
      <c r="DN18" s="37" t="s">
        <v>8</v>
      </c>
      <c r="DO18" s="37" t="s">
        <v>131</v>
      </c>
      <c r="DP18" s="37" t="s">
        <v>28</v>
      </c>
      <c r="DQ18" s="37" t="s">
        <v>132</v>
      </c>
      <c r="DR18" s="37" t="s">
        <v>133</v>
      </c>
      <c r="DS18" s="37" t="s">
        <v>134</v>
      </c>
      <c r="DT18" s="37" t="s">
        <v>135</v>
      </c>
      <c r="DU18" s="37" t="s">
        <v>136</v>
      </c>
      <c r="DV18" s="37" t="s">
        <v>137</v>
      </c>
      <c r="DW18" s="37" t="s">
        <v>138</v>
      </c>
      <c r="DX18" s="37" t="s">
        <v>139</v>
      </c>
      <c r="DY18" s="37" t="s">
        <v>140</v>
      </c>
      <c r="DZ18" s="37" t="s">
        <v>141</v>
      </c>
      <c r="EA18" s="37" t="s">
        <v>142</v>
      </c>
      <c r="EB18" s="37" t="s">
        <v>143</v>
      </c>
      <c r="EC18" s="37" t="s">
        <v>144</v>
      </c>
      <c r="ED18" s="37" t="s">
        <v>145</v>
      </c>
      <c r="EE18" s="37" t="s">
        <v>146</v>
      </c>
      <c r="EF18" s="37" t="s">
        <v>147</v>
      </c>
      <c r="EG18" s="37" t="s">
        <v>148</v>
      </c>
      <c r="EH18" s="37" t="s">
        <v>149</v>
      </c>
      <c r="EI18" s="37" t="s">
        <v>150</v>
      </c>
      <c r="EJ18" s="37" t="s">
        <v>151</v>
      </c>
      <c r="EK18" s="37" t="s">
        <v>152</v>
      </c>
      <c r="EL18" s="37" t="s">
        <v>153</v>
      </c>
      <c r="EM18" s="37" t="s">
        <v>154</v>
      </c>
      <c r="EN18" s="37" t="s">
        <v>155</v>
      </c>
      <c r="EO18" s="37" t="s">
        <v>156</v>
      </c>
      <c r="EP18" s="37" t="s">
        <v>157</v>
      </c>
      <c r="EQ18" s="37" t="s">
        <v>158</v>
      </c>
      <c r="ER18" s="37" t="s">
        <v>23</v>
      </c>
      <c r="ES18" s="37" t="s">
        <v>159</v>
      </c>
    </row>
    <row r="19" spans="1:149" x14ac:dyDescent="0.3">
      <c r="A19" s="37" t="s">
        <v>6</v>
      </c>
      <c r="B19" s="37">
        <v>917</v>
      </c>
      <c r="C19" s="37">
        <v>25</v>
      </c>
      <c r="D19" s="37">
        <v>627</v>
      </c>
      <c r="E19" s="37">
        <v>648</v>
      </c>
      <c r="F19" s="37">
        <v>965</v>
      </c>
      <c r="G19" s="37">
        <v>1265</v>
      </c>
      <c r="H19" s="37">
        <v>1155</v>
      </c>
      <c r="I19" s="37">
        <v>1204</v>
      </c>
      <c r="J19" s="37">
        <v>77</v>
      </c>
      <c r="K19" s="37">
        <v>570</v>
      </c>
      <c r="L19" s="37">
        <v>1858</v>
      </c>
      <c r="M19" s="37">
        <v>1546</v>
      </c>
      <c r="N19" s="37">
        <v>1496</v>
      </c>
      <c r="O19" s="37">
        <v>766</v>
      </c>
      <c r="P19" s="37">
        <v>1201</v>
      </c>
      <c r="Q19" s="37">
        <v>2500</v>
      </c>
      <c r="R19" s="37">
        <v>1379</v>
      </c>
      <c r="S19" s="37">
        <v>1818</v>
      </c>
      <c r="T19" s="37">
        <v>1285</v>
      </c>
      <c r="U19" s="37">
        <v>996</v>
      </c>
      <c r="V19" s="37">
        <v>1920</v>
      </c>
      <c r="W19" s="37">
        <v>1023</v>
      </c>
      <c r="X19" s="37">
        <v>171</v>
      </c>
      <c r="Y19" s="37">
        <v>904</v>
      </c>
      <c r="Z19" s="37">
        <v>1702</v>
      </c>
      <c r="AA19" s="37">
        <v>698</v>
      </c>
      <c r="AB19" s="37">
        <v>2430</v>
      </c>
      <c r="AC19" s="37">
        <v>1954</v>
      </c>
      <c r="AD19" s="37">
        <v>1656</v>
      </c>
      <c r="AE19" s="37">
        <v>1197</v>
      </c>
      <c r="AF19" s="37">
        <v>1667</v>
      </c>
      <c r="AG19" s="37">
        <v>1848</v>
      </c>
      <c r="AH19" s="37">
        <v>1547</v>
      </c>
      <c r="AI19" s="37">
        <v>1672</v>
      </c>
      <c r="AJ19" s="37">
        <v>1749</v>
      </c>
      <c r="AK19" s="37">
        <v>1812</v>
      </c>
      <c r="AL19" s="37">
        <v>1694</v>
      </c>
      <c r="AM19" s="37">
        <v>1765</v>
      </c>
      <c r="AN19" s="37">
        <v>1236</v>
      </c>
      <c r="AO19" s="37">
        <v>947</v>
      </c>
      <c r="AP19" s="37">
        <v>1846</v>
      </c>
      <c r="AQ19" s="37">
        <v>1493</v>
      </c>
      <c r="AR19" s="37">
        <v>1791</v>
      </c>
      <c r="AS19" s="37">
        <v>2041</v>
      </c>
      <c r="AT19" s="37">
        <v>1767</v>
      </c>
      <c r="AU19" s="37">
        <v>1038</v>
      </c>
      <c r="AV19" s="37">
        <v>1301</v>
      </c>
      <c r="AW19" s="37">
        <v>1074</v>
      </c>
      <c r="AX19" s="37">
        <v>1638</v>
      </c>
      <c r="AY19" s="37">
        <v>968</v>
      </c>
      <c r="AZ19" s="37">
        <v>1254</v>
      </c>
      <c r="BA19" s="37">
        <v>968</v>
      </c>
      <c r="BB19" s="37">
        <v>1035</v>
      </c>
      <c r="BC19" s="37">
        <v>1504</v>
      </c>
      <c r="BD19" s="37">
        <v>1272</v>
      </c>
      <c r="BE19" s="37">
        <v>2613</v>
      </c>
      <c r="BF19" s="37">
        <v>885</v>
      </c>
      <c r="BG19" s="37">
        <v>1696</v>
      </c>
      <c r="BH19" s="37">
        <v>925</v>
      </c>
      <c r="BI19" s="37">
        <v>1149</v>
      </c>
      <c r="BJ19" s="37">
        <v>85</v>
      </c>
      <c r="BK19" s="37">
        <v>931</v>
      </c>
      <c r="BL19" s="37">
        <v>655</v>
      </c>
      <c r="BM19" s="37">
        <v>1089</v>
      </c>
      <c r="BN19" s="37">
        <v>1220</v>
      </c>
      <c r="BO19" s="37">
        <v>398</v>
      </c>
      <c r="BP19" s="37">
        <v>912</v>
      </c>
      <c r="BQ19" s="37">
        <v>678</v>
      </c>
      <c r="BR19" s="37">
        <v>1203</v>
      </c>
      <c r="BS19" s="37">
        <v>479</v>
      </c>
      <c r="BT19" s="37">
        <v>792</v>
      </c>
      <c r="BU19" s="37">
        <v>1016</v>
      </c>
      <c r="BV19" s="37">
        <v>455</v>
      </c>
      <c r="BW19" s="37">
        <v>2912</v>
      </c>
      <c r="BX19" s="37">
        <v>316</v>
      </c>
      <c r="BY19" s="37">
        <v>1407</v>
      </c>
      <c r="BZ19" s="37">
        <v>1567</v>
      </c>
      <c r="CA19" s="37">
        <v>1086</v>
      </c>
      <c r="CB19" s="37">
        <v>1066</v>
      </c>
      <c r="CC19" s="37">
        <v>1071</v>
      </c>
      <c r="CD19" s="37">
        <v>1222</v>
      </c>
      <c r="CE19" s="37">
        <v>888</v>
      </c>
      <c r="CF19" s="37">
        <v>2056</v>
      </c>
      <c r="CG19" s="37">
        <v>542</v>
      </c>
      <c r="CH19" s="37">
        <v>2098</v>
      </c>
      <c r="CI19" s="37">
        <v>784</v>
      </c>
      <c r="CJ19" s="37">
        <v>1592</v>
      </c>
      <c r="CK19" s="37">
        <v>648</v>
      </c>
      <c r="CL19" s="37">
        <v>1317</v>
      </c>
      <c r="CM19" s="37">
        <v>1174</v>
      </c>
      <c r="CN19" s="37">
        <v>1151</v>
      </c>
      <c r="CO19" s="37">
        <v>1937</v>
      </c>
      <c r="CP19" s="37">
        <v>1199</v>
      </c>
      <c r="CQ19" s="37">
        <v>482</v>
      </c>
      <c r="CR19" s="37">
        <v>1009</v>
      </c>
      <c r="CS19" s="37">
        <v>76</v>
      </c>
      <c r="CT19" s="37">
        <v>1868</v>
      </c>
      <c r="CU19" s="37">
        <v>1110</v>
      </c>
      <c r="CV19" s="37">
        <v>1101</v>
      </c>
      <c r="CW19" s="37">
        <v>1648</v>
      </c>
      <c r="CX19" s="37">
        <v>524</v>
      </c>
      <c r="CY19" s="37">
        <v>1065</v>
      </c>
      <c r="CZ19" s="37">
        <v>1704</v>
      </c>
      <c r="DA19" s="37">
        <v>1556</v>
      </c>
      <c r="DB19" s="37">
        <v>2729</v>
      </c>
      <c r="DC19" s="37">
        <v>1755</v>
      </c>
      <c r="DD19" s="37">
        <v>828</v>
      </c>
      <c r="DE19" s="37">
        <v>476</v>
      </c>
      <c r="DF19" s="37">
        <v>476</v>
      </c>
      <c r="DG19" s="37">
        <v>282</v>
      </c>
      <c r="DH19" s="37">
        <v>266</v>
      </c>
      <c r="DI19" s="37">
        <v>944</v>
      </c>
      <c r="DJ19" s="37">
        <v>1708</v>
      </c>
      <c r="DK19" s="37">
        <v>659</v>
      </c>
      <c r="DL19" s="37">
        <v>1990</v>
      </c>
      <c r="DM19" s="37">
        <v>1847</v>
      </c>
      <c r="DN19" s="37">
        <v>1151</v>
      </c>
      <c r="DO19" s="37">
        <v>215</v>
      </c>
      <c r="DP19" s="37">
        <v>1600</v>
      </c>
      <c r="DQ19" s="37">
        <v>860</v>
      </c>
      <c r="DR19" s="37">
        <v>951</v>
      </c>
      <c r="DS19" s="37">
        <v>1176</v>
      </c>
      <c r="DT19" s="37">
        <v>1858</v>
      </c>
      <c r="DU19" s="37">
        <v>1704</v>
      </c>
      <c r="DV19" s="37">
        <v>1759</v>
      </c>
      <c r="DW19" s="37">
        <v>544</v>
      </c>
      <c r="DX19" s="37">
        <v>887</v>
      </c>
      <c r="DY19" s="37">
        <v>1073</v>
      </c>
      <c r="DZ19" s="37">
        <v>767</v>
      </c>
      <c r="EA19" s="37">
        <v>1296</v>
      </c>
      <c r="EB19" s="37">
        <v>2144</v>
      </c>
      <c r="EC19" s="37">
        <v>1719</v>
      </c>
      <c r="ED19" s="37">
        <v>1582</v>
      </c>
      <c r="EE19" s="37">
        <v>911</v>
      </c>
      <c r="EF19" s="37">
        <v>972</v>
      </c>
      <c r="EG19" s="37">
        <v>946</v>
      </c>
      <c r="EH19" s="37">
        <v>1657</v>
      </c>
      <c r="EI19" s="37">
        <v>515</v>
      </c>
      <c r="EJ19" s="37">
        <v>1639</v>
      </c>
      <c r="EK19" s="37">
        <v>1845</v>
      </c>
      <c r="EL19" s="37">
        <v>1975</v>
      </c>
      <c r="EM19" s="37">
        <v>2187</v>
      </c>
      <c r="EN19" s="37">
        <v>260</v>
      </c>
      <c r="EO19" s="37">
        <v>396</v>
      </c>
      <c r="EP19" s="37">
        <v>1384</v>
      </c>
      <c r="EQ19" s="37">
        <v>1714</v>
      </c>
      <c r="ER19" s="37">
        <v>1509</v>
      </c>
      <c r="ES19" s="37">
        <v>1645</v>
      </c>
    </row>
    <row r="20" spans="1:149" x14ac:dyDescent="0.3">
      <c r="A20" s="37" t="s">
        <v>15</v>
      </c>
      <c r="B20" s="37">
        <v>419</v>
      </c>
      <c r="C20" s="37">
        <v>1153</v>
      </c>
      <c r="D20" s="37">
        <v>1555</v>
      </c>
      <c r="E20" s="37">
        <v>1446</v>
      </c>
      <c r="F20" s="37">
        <v>348</v>
      </c>
      <c r="G20" s="37">
        <v>900</v>
      </c>
      <c r="H20" s="37">
        <v>25</v>
      </c>
      <c r="I20" s="37">
        <v>251</v>
      </c>
      <c r="J20" s="37">
        <v>1190</v>
      </c>
      <c r="K20" s="37">
        <v>1475</v>
      </c>
      <c r="L20" s="37">
        <v>1782</v>
      </c>
      <c r="M20" s="37">
        <v>1128</v>
      </c>
      <c r="N20" s="37">
        <v>2360</v>
      </c>
      <c r="O20" s="37">
        <v>1679</v>
      </c>
      <c r="P20" s="37">
        <v>409</v>
      </c>
      <c r="Q20" s="37">
        <v>2069</v>
      </c>
      <c r="R20" s="37">
        <v>949</v>
      </c>
      <c r="S20" s="37">
        <v>1388</v>
      </c>
      <c r="T20" s="37">
        <v>277</v>
      </c>
      <c r="U20" s="37">
        <v>1978</v>
      </c>
      <c r="V20" s="37">
        <v>1490</v>
      </c>
      <c r="W20" s="37">
        <v>209</v>
      </c>
      <c r="X20" s="37">
        <v>1321</v>
      </c>
      <c r="Y20" s="37">
        <v>275</v>
      </c>
      <c r="Z20" s="37">
        <v>1912</v>
      </c>
      <c r="AA20" s="37">
        <v>525</v>
      </c>
      <c r="AB20" s="37">
        <v>2000</v>
      </c>
      <c r="AC20" s="37">
        <v>1589</v>
      </c>
      <c r="AD20" s="37">
        <v>2723</v>
      </c>
      <c r="AE20" s="37">
        <v>46</v>
      </c>
      <c r="AF20" s="37">
        <v>1237</v>
      </c>
      <c r="AG20" s="37">
        <v>2397</v>
      </c>
      <c r="AH20" s="37">
        <v>2322</v>
      </c>
      <c r="AI20" s="37">
        <v>2366</v>
      </c>
      <c r="AJ20" s="37">
        <v>2724</v>
      </c>
      <c r="AK20" s="37">
        <v>2573</v>
      </c>
      <c r="AL20" s="37">
        <v>1892</v>
      </c>
      <c r="AM20" s="37">
        <v>1335</v>
      </c>
      <c r="AN20" s="37">
        <v>2218</v>
      </c>
      <c r="AO20" s="37">
        <v>203</v>
      </c>
      <c r="AP20" s="37">
        <v>1470</v>
      </c>
      <c r="AQ20" s="37">
        <v>1063</v>
      </c>
      <c r="AR20" s="37">
        <v>1414</v>
      </c>
      <c r="AS20" s="37">
        <v>2899</v>
      </c>
      <c r="AT20" s="37">
        <v>2624</v>
      </c>
      <c r="AU20" s="37">
        <v>536</v>
      </c>
      <c r="AV20" s="37">
        <v>871</v>
      </c>
      <c r="AW20" s="37">
        <v>224</v>
      </c>
      <c r="AX20" s="37">
        <v>1273</v>
      </c>
      <c r="AY20" s="37">
        <v>230</v>
      </c>
      <c r="AZ20" s="37">
        <v>1810</v>
      </c>
      <c r="BA20" s="37">
        <v>182</v>
      </c>
      <c r="BB20" s="37">
        <v>1915</v>
      </c>
      <c r="BC20" s="37">
        <v>2039</v>
      </c>
      <c r="BD20" s="37">
        <v>265</v>
      </c>
      <c r="BE20" s="37">
        <v>2183</v>
      </c>
      <c r="BF20" s="37">
        <v>549</v>
      </c>
      <c r="BG20" s="37">
        <v>1266</v>
      </c>
      <c r="BH20" s="37">
        <v>304</v>
      </c>
      <c r="BI20" s="37">
        <v>159</v>
      </c>
      <c r="BJ20" s="37">
        <v>1049</v>
      </c>
      <c r="BK20" s="37">
        <v>196</v>
      </c>
      <c r="BL20" s="37">
        <v>1058</v>
      </c>
      <c r="BM20" s="37">
        <v>2072</v>
      </c>
      <c r="BN20" s="37">
        <v>1771</v>
      </c>
      <c r="BO20" s="37">
        <v>1111</v>
      </c>
      <c r="BP20" s="37">
        <v>1036</v>
      </c>
      <c r="BQ20" s="37">
        <v>487</v>
      </c>
      <c r="BR20" s="37">
        <v>171</v>
      </c>
      <c r="BS20" s="37">
        <v>1362</v>
      </c>
      <c r="BT20" s="37">
        <v>363</v>
      </c>
      <c r="BU20" s="37">
        <v>137</v>
      </c>
      <c r="BV20" s="37">
        <v>681</v>
      </c>
      <c r="BW20" s="37">
        <v>2482</v>
      </c>
      <c r="BX20" s="37">
        <v>1429</v>
      </c>
      <c r="BY20" s="37">
        <v>255</v>
      </c>
      <c r="BZ20" s="37">
        <v>2682</v>
      </c>
      <c r="CA20" s="37">
        <v>695</v>
      </c>
      <c r="CB20" s="37">
        <v>1657</v>
      </c>
      <c r="CC20" s="37">
        <v>87</v>
      </c>
      <c r="CD20" s="37">
        <v>70</v>
      </c>
      <c r="CE20" s="37">
        <v>1870</v>
      </c>
      <c r="CF20" s="37">
        <v>1691</v>
      </c>
      <c r="CG20" s="37">
        <v>725</v>
      </c>
      <c r="CH20" s="37">
        <v>2955</v>
      </c>
      <c r="CI20" s="37">
        <v>371</v>
      </c>
      <c r="CJ20" s="37">
        <v>2450</v>
      </c>
      <c r="CK20" s="37">
        <v>493</v>
      </c>
      <c r="CL20" s="37">
        <v>576</v>
      </c>
      <c r="CM20" s="37">
        <v>740</v>
      </c>
      <c r="CN20" s="37">
        <v>109</v>
      </c>
      <c r="CO20" s="37">
        <v>2794</v>
      </c>
      <c r="CP20" s="37">
        <v>1894</v>
      </c>
      <c r="CQ20" s="37">
        <v>1379</v>
      </c>
      <c r="CR20" s="37">
        <v>193</v>
      </c>
      <c r="CS20" s="37">
        <v>1080</v>
      </c>
      <c r="CT20" s="37">
        <v>1647</v>
      </c>
      <c r="CU20" s="37">
        <v>178</v>
      </c>
      <c r="CV20" s="37">
        <v>309</v>
      </c>
      <c r="CW20" s="37">
        <v>1218</v>
      </c>
      <c r="CX20" s="37">
        <v>1621</v>
      </c>
      <c r="CY20" s="37">
        <v>168</v>
      </c>
      <c r="CZ20" s="37">
        <v>1274</v>
      </c>
      <c r="DA20" s="37">
        <v>2511</v>
      </c>
      <c r="DB20" s="37">
        <v>2298</v>
      </c>
      <c r="DC20" s="37">
        <v>2613</v>
      </c>
      <c r="DD20" s="37">
        <v>1615</v>
      </c>
      <c r="DE20" s="37">
        <v>1484</v>
      </c>
      <c r="DF20" s="37">
        <v>1484</v>
      </c>
      <c r="DG20" s="37">
        <v>1379</v>
      </c>
      <c r="DH20" s="37">
        <v>1363</v>
      </c>
      <c r="DI20" s="37">
        <v>272</v>
      </c>
      <c r="DJ20" s="37">
        <v>1278</v>
      </c>
      <c r="DK20" s="37">
        <v>1658</v>
      </c>
      <c r="DL20" s="37">
        <v>1560</v>
      </c>
      <c r="DM20" s="37">
        <v>1482</v>
      </c>
      <c r="DN20" s="37">
        <v>1407</v>
      </c>
      <c r="DO20" s="37">
        <v>1327</v>
      </c>
      <c r="DP20" s="37">
        <v>1427</v>
      </c>
      <c r="DQ20" s="37">
        <v>296</v>
      </c>
      <c r="DR20" s="37">
        <v>200</v>
      </c>
      <c r="DS20" s="37">
        <v>385</v>
      </c>
      <c r="DT20" s="37">
        <v>1425</v>
      </c>
      <c r="DU20" s="37">
        <v>2562</v>
      </c>
      <c r="DV20" s="37">
        <v>1329</v>
      </c>
      <c r="DW20" s="37">
        <v>1516</v>
      </c>
      <c r="DX20" s="37">
        <v>1870</v>
      </c>
      <c r="DY20" s="37">
        <v>110</v>
      </c>
      <c r="DZ20" s="37">
        <v>1749</v>
      </c>
      <c r="EA20" s="37">
        <v>2278</v>
      </c>
      <c r="EB20" s="37">
        <v>1714</v>
      </c>
      <c r="EC20" s="37">
        <v>1289</v>
      </c>
      <c r="ED20" s="37">
        <v>1155</v>
      </c>
      <c r="EE20" s="37">
        <v>1780</v>
      </c>
      <c r="EF20" s="37">
        <v>169</v>
      </c>
      <c r="EG20" s="37">
        <v>332</v>
      </c>
      <c r="EH20" s="37">
        <v>610</v>
      </c>
      <c r="EI20" s="37">
        <v>931</v>
      </c>
      <c r="EJ20" s="37">
        <v>2174</v>
      </c>
      <c r="EK20" s="37">
        <v>2702</v>
      </c>
      <c r="EL20" s="37">
        <v>2833</v>
      </c>
      <c r="EM20" s="37">
        <v>3045</v>
      </c>
      <c r="EN20" s="37">
        <v>869</v>
      </c>
      <c r="EO20" s="37">
        <v>1053</v>
      </c>
      <c r="EP20" s="37">
        <v>1019</v>
      </c>
      <c r="EQ20" s="37">
        <v>2409</v>
      </c>
      <c r="ER20" s="37">
        <v>2044</v>
      </c>
      <c r="ES20" s="37">
        <v>1965</v>
      </c>
    </row>
    <row r="21" spans="1:149" x14ac:dyDescent="0.3">
      <c r="A21" s="37" t="s">
        <v>4</v>
      </c>
      <c r="B21" s="37">
        <v>494</v>
      </c>
      <c r="C21" s="37">
        <v>1228</v>
      </c>
      <c r="D21" s="37">
        <v>1631</v>
      </c>
      <c r="E21" s="37">
        <v>1522</v>
      </c>
      <c r="F21" s="37">
        <v>423</v>
      </c>
      <c r="G21" s="37">
        <v>964</v>
      </c>
      <c r="H21" s="37">
        <v>79</v>
      </c>
      <c r="I21" s="37">
        <v>217</v>
      </c>
      <c r="J21" s="37">
        <v>1265</v>
      </c>
      <c r="K21" s="37">
        <v>1555</v>
      </c>
      <c r="L21" s="37">
        <v>1854</v>
      </c>
      <c r="M21" s="37">
        <v>1206</v>
      </c>
      <c r="N21" s="37">
        <v>2436</v>
      </c>
      <c r="O21" s="37">
        <v>1755</v>
      </c>
      <c r="P21" s="37">
        <v>485</v>
      </c>
      <c r="Q21" s="37">
        <v>2147</v>
      </c>
      <c r="R21" s="37">
        <v>1027</v>
      </c>
      <c r="S21" s="37">
        <v>1466</v>
      </c>
      <c r="T21" s="37">
        <v>219</v>
      </c>
      <c r="U21" s="37">
        <v>2054</v>
      </c>
      <c r="V21" s="37">
        <v>1568</v>
      </c>
      <c r="W21" s="37">
        <v>237</v>
      </c>
      <c r="X21" s="37">
        <v>1396</v>
      </c>
      <c r="Y21" s="37">
        <v>350</v>
      </c>
      <c r="Z21" s="37">
        <v>1961</v>
      </c>
      <c r="AA21" s="37">
        <v>572</v>
      </c>
      <c r="AB21" s="37">
        <v>2078</v>
      </c>
      <c r="AC21" s="37">
        <v>1653</v>
      </c>
      <c r="AD21" s="37">
        <v>2798</v>
      </c>
      <c r="AE21" s="37">
        <v>37</v>
      </c>
      <c r="AF21" s="37">
        <v>1315</v>
      </c>
      <c r="AG21" s="37">
        <v>2473</v>
      </c>
      <c r="AH21" s="37">
        <v>2398</v>
      </c>
      <c r="AI21" s="37">
        <v>2442</v>
      </c>
      <c r="AJ21" s="37">
        <v>2799</v>
      </c>
      <c r="AK21" s="37">
        <v>2649</v>
      </c>
      <c r="AL21" s="37">
        <v>1941</v>
      </c>
      <c r="AM21" s="37">
        <v>1413</v>
      </c>
      <c r="AN21" s="37">
        <v>2294</v>
      </c>
      <c r="AO21" s="37">
        <v>279</v>
      </c>
      <c r="AP21" s="37">
        <v>1545</v>
      </c>
      <c r="AQ21" s="37">
        <v>1141</v>
      </c>
      <c r="AR21" s="37">
        <v>1490</v>
      </c>
      <c r="AS21" s="37">
        <v>2974</v>
      </c>
      <c r="AT21" s="37">
        <v>2700</v>
      </c>
      <c r="AU21" s="37">
        <v>601</v>
      </c>
      <c r="AV21" s="37">
        <v>949</v>
      </c>
      <c r="AW21" s="37">
        <v>224</v>
      </c>
      <c r="AX21" s="37">
        <v>1337</v>
      </c>
      <c r="AY21" s="37">
        <v>305</v>
      </c>
      <c r="AZ21" s="37">
        <v>1884</v>
      </c>
      <c r="BA21" s="37">
        <v>238</v>
      </c>
      <c r="BB21" s="37">
        <v>1990</v>
      </c>
      <c r="BC21" s="37">
        <v>2115</v>
      </c>
      <c r="BD21" s="37">
        <v>207</v>
      </c>
      <c r="BE21" s="37">
        <v>2261</v>
      </c>
      <c r="BF21" s="37">
        <v>624</v>
      </c>
      <c r="BG21" s="37">
        <v>1344</v>
      </c>
      <c r="BH21" s="37">
        <v>351</v>
      </c>
      <c r="BI21" s="37">
        <v>1482</v>
      </c>
      <c r="BJ21" s="37">
        <v>1125</v>
      </c>
      <c r="BK21" s="37">
        <v>284</v>
      </c>
      <c r="BL21" s="37">
        <v>1133</v>
      </c>
      <c r="BM21" s="37">
        <v>2148</v>
      </c>
      <c r="BN21" s="37">
        <v>1847</v>
      </c>
      <c r="BO21" s="37">
        <v>1187</v>
      </c>
      <c r="BP21" s="37">
        <v>1111</v>
      </c>
      <c r="BQ21" s="37">
        <v>563</v>
      </c>
      <c r="BR21" s="37">
        <v>137</v>
      </c>
      <c r="BS21" s="37">
        <v>1438</v>
      </c>
      <c r="BT21" s="37">
        <v>439</v>
      </c>
      <c r="BU21" s="37">
        <v>230</v>
      </c>
      <c r="BV21" s="37">
        <v>760</v>
      </c>
      <c r="BW21" s="37">
        <v>2560</v>
      </c>
      <c r="BX21" s="37">
        <v>1504</v>
      </c>
      <c r="BY21" s="37">
        <v>189</v>
      </c>
      <c r="BZ21" s="37">
        <v>2757</v>
      </c>
      <c r="CA21" s="37">
        <v>759</v>
      </c>
      <c r="CB21" s="37">
        <v>1732</v>
      </c>
      <c r="CC21" s="37">
        <v>163</v>
      </c>
      <c r="CD21" s="37">
        <v>82</v>
      </c>
      <c r="CE21" s="37">
        <v>1946</v>
      </c>
      <c r="CF21" s="37">
        <v>1755</v>
      </c>
      <c r="CG21" s="37">
        <v>801</v>
      </c>
      <c r="CH21" s="37">
        <v>3031</v>
      </c>
      <c r="CI21" s="37">
        <v>446</v>
      </c>
      <c r="CJ21" s="37">
        <v>2526</v>
      </c>
      <c r="CK21" s="37">
        <v>573</v>
      </c>
      <c r="CL21" s="37">
        <v>652</v>
      </c>
      <c r="CM21" s="37">
        <v>815</v>
      </c>
      <c r="CN21" s="37">
        <v>110</v>
      </c>
      <c r="CO21" s="37">
        <v>2870</v>
      </c>
      <c r="CP21" s="37">
        <v>1969</v>
      </c>
      <c r="CQ21" s="37">
        <v>1455</v>
      </c>
      <c r="CR21" s="37">
        <v>269</v>
      </c>
      <c r="CS21" s="37">
        <v>1155</v>
      </c>
      <c r="CT21" s="37">
        <v>1718</v>
      </c>
      <c r="CU21" s="37">
        <v>179</v>
      </c>
      <c r="CV21" s="37">
        <v>385</v>
      </c>
      <c r="CW21" s="37">
        <v>1296</v>
      </c>
      <c r="CX21" s="37">
        <v>1697</v>
      </c>
      <c r="CY21" s="37">
        <v>243</v>
      </c>
      <c r="CZ21" s="37">
        <v>1352</v>
      </c>
      <c r="DA21" s="37">
        <v>2586</v>
      </c>
      <c r="DB21" s="37">
        <v>2376</v>
      </c>
      <c r="DC21" s="37">
        <v>2688</v>
      </c>
      <c r="DD21" s="37">
        <v>1691</v>
      </c>
      <c r="DE21" s="37">
        <v>1560</v>
      </c>
      <c r="DF21" s="37">
        <v>1560</v>
      </c>
      <c r="DG21" s="37">
        <v>1859</v>
      </c>
      <c r="DH21" s="37">
        <v>1439</v>
      </c>
      <c r="DI21" s="37">
        <v>347</v>
      </c>
      <c r="DJ21" s="37">
        <v>1356</v>
      </c>
      <c r="DK21" s="37">
        <v>1733</v>
      </c>
      <c r="DL21" s="37">
        <v>1638</v>
      </c>
      <c r="DM21" s="37">
        <v>1545</v>
      </c>
      <c r="DN21" s="37">
        <v>1482</v>
      </c>
      <c r="DO21" s="37">
        <v>1403</v>
      </c>
      <c r="DP21" s="37">
        <v>1503</v>
      </c>
      <c r="DQ21" s="37">
        <v>371</v>
      </c>
      <c r="DR21" s="37">
        <v>276</v>
      </c>
      <c r="DS21" s="37">
        <v>460</v>
      </c>
      <c r="DT21" s="37">
        <v>1506</v>
      </c>
      <c r="DU21" s="37">
        <v>2638</v>
      </c>
      <c r="DV21" s="37">
        <v>1406</v>
      </c>
      <c r="DW21" s="37">
        <v>1591</v>
      </c>
      <c r="DX21" s="37">
        <v>1945</v>
      </c>
      <c r="DY21" s="37">
        <v>157</v>
      </c>
      <c r="DZ21" s="37">
        <v>1825</v>
      </c>
      <c r="EA21" s="37">
        <v>2354</v>
      </c>
      <c r="EB21" s="37">
        <v>1792</v>
      </c>
      <c r="EC21" s="37">
        <v>1367</v>
      </c>
      <c r="ED21" s="37">
        <v>1230</v>
      </c>
      <c r="EE21" s="37">
        <v>1591</v>
      </c>
      <c r="EF21" s="37">
        <v>244</v>
      </c>
      <c r="EG21" s="37">
        <v>359</v>
      </c>
      <c r="EH21" s="37">
        <v>552</v>
      </c>
      <c r="EI21" s="37">
        <v>1056</v>
      </c>
      <c r="EJ21" s="37">
        <v>2250</v>
      </c>
      <c r="EK21" s="37">
        <v>2778</v>
      </c>
      <c r="EL21" s="37">
        <v>2908</v>
      </c>
      <c r="EM21" s="37">
        <v>3120</v>
      </c>
      <c r="EN21" s="37">
        <v>945</v>
      </c>
      <c r="EO21" s="37">
        <v>1129</v>
      </c>
      <c r="EP21" s="37">
        <v>1083</v>
      </c>
      <c r="EQ21" s="37">
        <v>2485</v>
      </c>
      <c r="ER21" s="37">
        <v>2120</v>
      </c>
      <c r="ES21" s="37">
        <v>2041</v>
      </c>
    </row>
    <row r="22" spans="1:149" x14ac:dyDescent="0.3">
      <c r="A22" s="37" t="s">
        <v>20</v>
      </c>
      <c r="B22" s="37">
        <v>1923</v>
      </c>
      <c r="C22" s="37">
        <v>1494</v>
      </c>
      <c r="D22" s="37">
        <v>927</v>
      </c>
      <c r="E22" s="37">
        <v>1035</v>
      </c>
      <c r="F22" s="37">
        <v>2013</v>
      </c>
      <c r="G22" s="37">
        <v>1725</v>
      </c>
      <c r="H22" s="37">
        <v>2362</v>
      </c>
      <c r="I22" s="37">
        <v>2609</v>
      </c>
      <c r="J22" s="37">
        <v>1433</v>
      </c>
      <c r="K22" s="37">
        <v>1041</v>
      </c>
      <c r="L22" s="37">
        <v>1614</v>
      </c>
      <c r="M22" s="37">
        <v>1993</v>
      </c>
      <c r="N22" s="37">
        <v>25</v>
      </c>
      <c r="O22" s="37">
        <v>824</v>
      </c>
      <c r="P22" s="37">
        <v>2204</v>
      </c>
      <c r="Q22" s="37">
        <v>2746</v>
      </c>
      <c r="R22" s="37">
        <v>2084</v>
      </c>
      <c r="S22" s="37">
        <v>2287</v>
      </c>
      <c r="T22" s="37">
        <v>2626</v>
      </c>
      <c r="U22" s="37">
        <v>506</v>
      </c>
      <c r="V22" s="37">
        <v>2144</v>
      </c>
      <c r="W22" s="37">
        <v>2487</v>
      </c>
      <c r="X22" s="37">
        <v>1562</v>
      </c>
      <c r="Y22" s="37">
        <v>2246</v>
      </c>
      <c r="Z22" s="37">
        <v>1418</v>
      </c>
      <c r="AA22" s="37">
        <v>2190</v>
      </c>
      <c r="AB22" s="37">
        <v>2677</v>
      </c>
      <c r="AC22" s="37">
        <v>1935</v>
      </c>
      <c r="AD22" s="37">
        <v>363</v>
      </c>
      <c r="AE22" s="37">
        <v>2404</v>
      </c>
      <c r="AF22" s="37">
        <v>2087</v>
      </c>
      <c r="AG22" s="37">
        <v>346</v>
      </c>
      <c r="AH22" s="37">
        <v>74</v>
      </c>
      <c r="AI22" s="37">
        <v>180</v>
      </c>
      <c r="AJ22" s="37">
        <v>364</v>
      </c>
      <c r="AK22" s="37">
        <v>310</v>
      </c>
      <c r="AL22" s="37">
        <v>1444</v>
      </c>
      <c r="AM22" s="37">
        <v>2224</v>
      </c>
      <c r="AN22" s="37">
        <v>263</v>
      </c>
      <c r="AO22" s="37">
        <v>2167</v>
      </c>
      <c r="AP22" s="37">
        <v>2044</v>
      </c>
      <c r="AQ22" s="37">
        <v>1983</v>
      </c>
      <c r="AR22" s="37">
        <v>1910</v>
      </c>
      <c r="AS22" s="37">
        <v>539</v>
      </c>
      <c r="AT22" s="37">
        <v>265</v>
      </c>
      <c r="AU22" s="37">
        <v>1889</v>
      </c>
      <c r="AV22" s="37">
        <v>2007</v>
      </c>
      <c r="AW22" s="37">
        <v>2582</v>
      </c>
      <c r="AX22" s="37">
        <v>2128</v>
      </c>
      <c r="AY22" s="37">
        <v>2143</v>
      </c>
      <c r="AZ22" s="37">
        <v>827</v>
      </c>
      <c r="BA22" s="37">
        <v>2364</v>
      </c>
      <c r="BB22" s="37">
        <v>636</v>
      </c>
      <c r="BC22" s="37">
        <v>609</v>
      </c>
      <c r="BD22" s="37">
        <v>2624</v>
      </c>
      <c r="BE22" s="37">
        <v>2859</v>
      </c>
      <c r="BF22" s="37">
        <v>1793</v>
      </c>
      <c r="BG22" s="37">
        <v>2145</v>
      </c>
      <c r="BH22" s="37">
        <v>2310</v>
      </c>
      <c r="BI22" s="37">
        <v>2328</v>
      </c>
      <c r="BJ22" s="37">
        <v>1565</v>
      </c>
      <c r="BK22" s="37">
        <v>2335</v>
      </c>
      <c r="BL22" s="37">
        <v>1367</v>
      </c>
      <c r="BM22" s="37">
        <v>411</v>
      </c>
      <c r="BN22" s="37">
        <v>569</v>
      </c>
      <c r="BO22" s="37">
        <v>1412</v>
      </c>
      <c r="BP22" s="37">
        <v>1375</v>
      </c>
      <c r="BQ22" s="37">
        <v>2001</v>
      </c>
      <c r="BR22" s="37">
        <v>2530</v>
      </c>
      <c r="BS22" s="37">
        <v>1195</v>
      </c>
      <c r="BT22" s="37">
        <v>2126</v>
      </c>
      <c r="BU22" s="37">
        <v>2289</v>
      </c>
      <c r="BV22" s="37">
        <v>1947</v>
      </c>
      <c r="BW22" s="37">
        <v>3159</v>
      </c>
      <c r="BX22" s="37">
        <v>1777</v>
      </c>
      <c r="BY22" s="37">
        <v>2605</v>
      </c>
      <c r="BZ22" s="37">
        <v>321</v>
      </c>
      <c r="CA22" s="37">
        <v>1927</v>
      </c>
      <c r="CB22" s="37">
        <v>756</v>
      </c>
      <c r="CC22" s="37">
        <v>2269</v>
      </c>
      <c r="CD22" s="37">
        <v>2429</v>
      </c>
      <c r="CE22" s="37">
        <v>613</v>
      </c>
      <c r="CF22" s="37">
        <v>1859</v>
      </c>
      <c r="CG22" s="37">
        <v>1994</v>
      </c>
      <c r="CH22" s="37">
        <v>596</v>
      </c>
      <c r="CI22" s="37">
        <v>2107</v>
      </c>
      <c r="CJ22" s="37">
        <v>90</v>
      </c>
      <c r="CK22" s="37">
        <v>1983</v>
      </c>
      <c r="CL22" s="37">
        <v>2146</v>
      </c>
      <c r="CM22" s="37">
        <v>2015</v>
      </c>
      <c r="CN22" s="37">
        <v>2468</v>
      </c>
      <c r="CO22" s="37">
        <v>435</v>
      </c>
      <c r="CP22" s="37">
        <v>481</v>
      </c>
      <c r="CQ22" s="37">
        <v>1101</v>
      </c>
      <c r="CR22" s="37">
        <v>2180</v>
      </c>
      <c r="CS22" s="37">
        <v>1568</v>
      </c>
      <c r="CT22" s="37">
        <v>1749</v>
      </c>
      <c r="CU22" s="37">
        <v>2528</v>
      </c>
      <c r="CV22" s="37">
        <v>2254</v>
      </c>
      <c r="CW22" s="37">
        <v>2354</v>
      </c>
      <c r="CX22" s="37">
        <v>981</v>
      </c>
      <c r="CY22" s="37">
        <v>2245</v>
      </c>
      <c r="CZ22" s="37">
        <v>2154</v>
      </c>
      <c r="DA22" s="37">
        <v>150</v>
      </c>
      <c r="DB22" s="37">
        <v>2975</v>
      </c>
      <c r="DC22" s="37">
        <v>253</v>
      </c>
      <c r="DD22" s="37">
        <v>822</v>
      </c>
      <c r="DE22" s="37">
        <v>1056</v>
      </c>
      <c r="DF22" s="37">
        <v>1056</v>
      </c>
      <c r="DG22" s="37">
        <v>1214</v>
      </c>
      <c r="DH22" s="37">
        <v>1230</v>
      </c>
      <c r="DI22" s="37">
        <v>2063</v>
      </c>
      <c r="DJ22" s="37">
        <v>2127</v>
      </c>
      <c r="DK22" s="37">
        <v>838</v>
      </c>
      <c r="DL22" s="37">
        <v>2214</v>
      </c>
      <c r="DM22" s="37">
        <v>1850</v>
      </c>
      <c r="DN22" s="37">
        <v>1370</v>
      </c>
      <c r="DO22" s="37">
        <v>1675</v>
      </c>
      <c r="DP22" s="37">
        <v>1967</v>
      </c>
      <c r="DQ22" s="37">
        <v>2147</v>
      </c>
      <c r="DR22" s="37">
        <v>2225</v>
      </c>
      <c r="DS22" s="37">
        <v>2248</v>
      </c>
      <c r="DT22" s="37">
        <v>2247</v>
      </c>
      <c r="DU22" s="37">
        <v>202</v>
      </c>
      <c r="DV22" s="37">
        <v>2211</v>
      </c>
      <c r="DW22" s="37">
        <v>989</v>
      </c>
      <c r="DX22" s="37">
        <v>654</v>
      </c>
      <c r="DY22" s="37">
        <v>2435</v>
      </c>
      <c r="DZ22" s="37">
        <v>729</v>
      </c>
      <c r="EA22" s="37">
        <v>311</v>
      </c>
      <c r="EB22" s="37">
        <v>2391</v>
      </c>
      <c r="EC22" s="37">
        <v>2424</v>
      </c>
      <c r="ED22" s="37">
        <v>2052</v>
      </c>
      <c r="EE22" s="37">
        <v>627</v>
      </c>
      <c r="EF22" s="37">
        <v>2196</v>
      </c>
      <c r="EG22" s="37">
        <v>2438</v>
      </c>
      <c r="EH22" s="37">
        <v>2960</v>
      </c>
      <c r="EI22" s="37">
        <v>1533</v>
      </c>
      <c r="EJ22" s="37">
        <v>777</v>
      </c>
      <c r="EK22" s="37">
        <v>343</v>
      </c>
      <c r="EL22" s="37">
        <v>473</v>
      </c>
      <c r="EM22" s="37">
        <v>685</v>
      </c>
      <c r="EN22" s="37">
        <v>1723</v>
      </c>
      <c r="EO22" s="37">
        <v>1469</v>
      </c>
      <c r="EP22" s="37">
        <v>1831</v>
      </c>
      <c r="EQ22" s="37">
        <v>212</v>
      </c>
      <c r="ER22" s="37">
        <v>642</v>
      </c>
      <c r="ES22" s="37">
        <v>993</v>
      </c>
    </row>
    <row r="23" spans="1:149" x14ac:dyDescent="0.3">
      <c r="A23" s="37" t="s">
        <v>24</v>
      </c>
      <c r="B23" s="37">
        <v>2470</v>
      </c>
      <c r="C23" s="37">
        <v>2049</v>
      </c>
      <c r="D23" s="37">
        <v>1482</v>
      </c>
      <c r="E23" s="37">
        <v>1581</v>
      </c>
      <c r="F23" s="37">
        <v>2559</v>
      </c>
      <c r="G23" s="37">
        <v>2272</v>
      </c>
      <c r="H23" s="37">
        <v>2909</v>
      </c>
      <c r="I23" s="37">
        <v>3156</v>
      </c>
      <c r="J23" s="37">
        <v>1988</v>
      </c>
      <c r="K23" s="37">
        <v>1596</v>
      </c>
      <c r="L23" s="37">
        <v>2048</v>
      </c>
      <c r="M23" s="37">
        <v>2540</v>
      </c>
      <c r="N23" s="37">
        <v>549</v>
      </c>
      <c r="O23" s="37">
        <v>1379</v>
      </c>
      <c r="P23" s="37">
        <v>2751</v>
      </c>
      <c r="Q23" s="37">
        <v>3180</v>
      </c>
      <c r="R23" s="37">
        <v>2631</v>
      </c>
      <c r="S23" s="37">
        <v>2642</v>
      </c>
      <c r="T23" s="37">
        <v>3173</v>
      </c>
      <c r="U23" s="37">
        <v>1060</v>
      </c>
      <c r="V23" s="37">
        <v>2578</v>
      </c>
      <c r="W23" s="37">
        <v>3034</v>
      </c>
      <c r="X23" s="37">
        <v>2117</v>
      </c>
      <c r="Y23" s="37">
        <v>2846</v>
      </c>
      <c r="Z23" s="37">
        <v>1852</v>
      </c>
      <c r="AA23" s="37">
        <v>2745</v>
      </c>
      <c r="AB23" s="37">
        <v>3111</v>
      </c>
      <c r="AC23" s="37">
        <v>2369</v>
      </c>
      <c r="AD23" s="37">
        <v>188</v>
      </c>
      <c r="AE23" s="37">
        <v>2951</v>
      </c>
      <c r="AF23" s="37">
        <v>2634</v>
      </c>
      <c r="AG23" s="37">
        <v>694</v>
      </c>
      <c r="AH23" s="37">
        <v>583</v>
      </c>
      <c r="AI23" s="37">
        <v>596</v>
      </c>
      <c r="AJ23" s="37">
        <v>190</v>
      </c>
      <c r="AK23" s="37">
        <v>550</v>
      </c>
      <c r="AL23" s="37">
        <v>1878</v>
      </c>
      <c r="AM23" s="37">
        <v>2733</v>
      </c>
      <c r="AN23" s="37">
        <v>817</v>
      </c>
      <c r="AO23" s="37">
        <v>2723</v>
      </c>
      <c r="AP23" s="37">
        <v>2482</v>
      </c>
      <c r="AQ23" s="37">
        <v>2530</v>
      </c>
      <c r="AR23" s="37">
        <v>2344</v>
      </c>
      <c r="AS23" s="37">
        <v>10</v>
      </c>
      <c r="AT23" s="37">
        <v>285</v>
      </c>
      <c r="AU23" s="37">
        <v>2436</v>
      </c>
      <c r="AV23" s="37">
        <v>2553</v>
      </c>
      <c r="AW23" s="37">
        <v>3129</v>
      </c>
      <c r="AX23" s="37">
        <v>2674</v>
      </c>
      <c r="AY23" s="37">
        <v>2690</v>
      </c>
      <c r="AZ23" s="37">
        <v>1263</v>
      </c>
      <c r="BA23" s="37">
        <v>2911</v>
      </c>
      <c r="BB23" s="37">
        <v>1183</v>
      </c>
      <c r="BC23" s="37">
        <v>1039</v>
      </c>
      <c r="BD23" s="37">
        <v>3171</v>
      </c>
      <c r="BE23" s="37">
        <v>3293</v>
      </c>
      <c r="BF23" s="37">
        <v>2339</v>
      </c>
      <c r="BG23" s="37">
        <v>2692</v>
      </c>
      <c r="BH23" s="37">
        <v>2865</v>
      </c>
      <c r="BI23" s="37">
        <v>2875</v>
      </c>
      <c r="BJ23" s="37">
        <v>2119</v>
      </c>
      <c r="BK23" s="37">
        <v>2882</v>
      </c>
      <c r="BL23" s="37">
        <v>1913</v>
      </c>
      <c r="BM23" s="37">
        <v>965</v>
      </c>
      <c r="BN23" s="37">
        <v>1116</v>
      </c>
      <c r="BO23" s="37">
        <v>1967</v>
      </c>
      <c r="BP23" s="37">
        <v>1921</v>
      </c>
      <c r="BQ23" s="37">
        <v>2556</v>
      </c>
      <c r="BR23" s="37">
        <v>3077</v>
      </c>
      <c r="BS23" s="37">
        <v>1750</v>
      </c>
      <c r="BT23" s="37">
        <v>2681</v>
      </c>
      <c r="BU23" s="37">
        <v>2844</v>
      </c>
      <c r="BV23" s="37">
        <v>2502</v>
      </c>
      <c r="BW23" s="37">
        <v>3593</v>
      </c>
      <c r="BX23" s="37">
        <v>2331</v>
      </c>
      <c r="BY23" s="37">
        <v>3152</v>
      </c>
      <c r="BZ23" s="37">
        <v>276</v>
      </c>
      <c r="CA23" s="37">
        <v>2474</v>
      </c>
      <c r="CB23" s="37">
        <v>1303</v>
      </c>
      <c r="CC23" s="37">
        <v>2824</v>
      </c>
      <c r="CD23" s="37">
        <v>2975</v>
      </c>
      <c r="CE23" s="37">
        <v>1167</v>
      </c>
      <c r="CF23" s="37">
        <v>2293</v>
      </c>
      <c r="CG23" s="37">
        <v>2348</v>
      </c>
      <c r="CH23" s="37">
        <v>62</v>
      </c>
      <c r="CI23" s="37">
        <v>2662</v>
      </c>
      <c r="CJ23" s="37">
        <v>461</v>
      </c>
      <c r="CK23" s="37">
        <v>2537</v>
      </c>
      <c r="CL23" s="37">
        <v>2693</v>
      </c>
      <c r="CM23" s="37">
        <v>2561</v>
      </c>
      <c r="CN23" s="37">
        <v>3015</v>
      </c>
      <c r="CO23" s="37">
        <v>267</v>
      </c>
      <c r="CP23" s="37">
        <v>1028</v>
      </c>
      <c r="CQ23" s="37">
        <v>1656</v>
      </c>
      <c r="CR23" s="37">
        <v>2727</v>
      </c>
      <c r="CS23" s="37">
        <v>2123</v>
      </c>
      <c r="CT23" s="37">
        <v>2183</v>
      </c>
      <c r="CU23" s="37">
        <v>3074</v>
      </c>
      <c r="CV23" s="37">
        <v>2800</v>
      </c>
      <c r="CW23" s="37">
        <v>2901</v>
      </c>
      <c r="CX23" s="37">
        <v>1535</v>
      </c>
      <c r="CY23" s="37">
        <v>2792</v>
      </c>
      <c r="CZ23" s="37">
        <v>2701</v>
      </c>
      <c r="DA23" s="37">
        <v>394</v>
      </c>
      <c r="DB23" s="37">
        <v>3409</v>
      </c>
      <c r="DC23" s="37">
        <v>333</v>
      </c>
      <c r="DD23" s="37">
        <v>1369</v>
      </c>
      <c r="DE23" s="37">
        <v>1610</v>
      </c>
      <c r="DF23" s="37">
        <v>1610</v>
      </c>
      <c r="DG23" s="37">
        <v>1769</v>
      </c>
      <c r="DH23" s="37">
        <v>1785</v>
      </c>
      <c r="DI23" s="37">
        <v>2618</v>
      </c>
      <c r="DJ23" s="37">
        <v>2673</v>
      </c>
      <c r="DK23" s="37">
        <v>1392</v>
      </c>
      <c r="DL23" s="37">
        <v>2648</v>
      </c>
      <c r="DM23" s="37">
        <v>2284</v>
      </c>
      <c r="DN23" s="37">
        <v>1917</v>
      </c>
      <c r="DO23" s="37">
        <v>2230</v>
      </c>
      <c r="DP23" s="37">
        <v>2304</v>
      </c>
      <c r="DQ23" s="37">
        <v>2703</v>
      </c>
      <c r="DR23" s="37">
        <v>2772</v>
      </c>
      <c r="DS23" s="37">
        <v>2795</v>
      </c>
      <c r="DT23" s="37">
        <v>2681</v>
      </c>
      <c r="DU23" s="37">
        <v>352</v>
      </c>
      <c r="DV23" s="37">
        <v>2694</v>
      </c>
      <c r="DW23" s="37">
        <v>1544</v>
      </c>
      <c r="DX23" s="37">
        <v>1209</v>
      </c>
      <c r="DY23" s="37">
        <v>2982</v>
      </c>
      <c r="DZ23" s="37">
        <v>1283</v>
      </c>
      <c r="EA23" s="37">
        <v>640</v>
      </c>
      <c r="EB23" s="37">
        <v>2825</v>
      </c>
      <c r="EC23" s="37">
        <v>2971</v>
      </c>
      <c r="ED23" s="37">
        <v>2599</v>
      </c>
      <c r="EE23" s="37">
        <v>1181</v>
      </c>
      <c r="EF23" s="37">
        <v>2752</v>
      </c>
      <c r="EG23" s="37">
        <v>2993</v>
      </c>
      <c r="EH23" s="37">
        <v>3516</v>
      </c>
      <c r="EI23" s="37">
        <v>2080</v>
      </c>
      <c r="EJ23" s="37">
        <v>1207</v>
      </c>
      <c r="EK23" s="37">
        <v>397</v>
      </c>
      <c r="EL23" s="37">
        <v>87</v>
      </c>
      <c r="EM23" s="37">
        <v>199</v>
      </c>
      <c r="EN23" s="37">
        <v>2278</v>
      </c>
      <c r="EO23" s="37">
        <v>2023</v>
      </c>
      <c r="EP23" s="37">
        <v>2378</v>
      </c>
      <c r="EQ23" s="37">
        <v>577</v>
      </c>
      <c r="ER23" s="37">
        <v>1076</v>
      </c>
      <c r="ES23" s="37">
        <v>1423</v>
      </c>
    </row>
    <row r="24" spans="1:149" x14ac:dyDescent="0.3">
      <c r="A24" s="37" t="s">
        <v>21</v>
      </c>
      <c r="B24" s="37">
        <v>2287</v>
      </c>
      <c r="C24" s="37">
        <v>1744</v>
      </c>
      <c r="D24" s="37">
        <v>1177</v>
      </c>
      <c r="E24" s="37">
        <v>1398</v>
      </c>
      <c r="F24" s="37">
        <v>2376</v>
      </c>
      <c r="G24" s="37">
        <v>2088</v>
      </c>
      <c r="H24" s="37">
        <v>2726</v>
      </c>
      <c r="I24" s="37">
        <v>2964</v>
      </c>
      <c r="J24" s="37">
        <v>1683</v>
      </c>
      <c r="K24" s="37">
        <v>1291</v>
      </c>
      <c r="L24" s="37">
        <v>1864</v>
      </c>
      <c r="M24" s="37">
        <v>2356</v>
      </c>
      <c r="N24" s="37">
        <v>365</v>
      </c>
      <c r="O24" s="37">
        <v>1074</v>
      </c>
      <c r="P24" s="37">
        <v>2568</v>
      </c>
      <c r="Q24" s="37">
        <v>2996</v>
      </c>
      <c r="R24" s="37">
        <v>2448</v>
      </c>
      <c r="S24" s="37">
        <v>2459</v>
      </c>
      <c r="T24" s="37">
        <v>2990</v>
      </c>
      <c r="U24" s="37">
        <v>756</v>
      </c>
      <c r="V24" s="37">
        <v>2395</v>
      </c>
      <c r="W24" s="37">
        <v>2846</v>
      </c>
      <c r="X24" s="37">
        <v>1812</v>
      </c>
      <c r="Y24" s="37">
        <v>2663</v>
      </c>
      <c r="Z24" s="37">
        <v>1669</v>
      </c>
      <c r="AA24" s="37">
        <v>2440</v>
      </c>
      <c r="AB24" s="37">
        <v>2927</v>
      </c>
      <c r="AC24" s="37">
        <v>2186</v>
      </c>
      <c r="AD24" s="37">
        <v>179</v>
      </c>
      <c r="AE24" s="37">
        <v>2759</v>
      </c>
      <c r="AF24" s="37">
        <v>2451</v>
      </c>
      <c r="AG24" s="37">
        <v>511</v>
      </c>
      <c r="AH24" s="37">
        <v>400</v>
      </c>
      <c r="AI24" s="37">
        <v>412</v>
      </c>
      <c r="AJ24" s="37">
        <v>25</v>
      </c>
      <c r="AK24" s="37">
        <v>367</v>
      </c>
      <c r="AL24" s="37">
        <v>1694</v>
      </c>
      <c r="AM24" s="37">
        <v>2550</v>
      </c>
      <c r="AN24" s="37">
        <v>512</v>
      </c>
      <c r="AO24" s="37">
        <v>2540</v>
      </c>
      <c r="AP24" s="37">
        <v>2299</v>
      </c>
      <c r="AQ24" s="37">
        <v>2347</v>
      </c>
      <c r="AR24" s="37">
        <v>2161</v>
      </c>
      <c r="AS24" s="37">
        <v>181</v>
      </c>
      <c r="AT24" s="37">
        <v>102</v>
      </c>
      <c r="AU24" s="37">
        <v>2253</v>
      </c>
      <c r="AV24" s="37">
        <v>2370</v>
      </c>
      <c r="AW24" s="37">
        <v>2709</v>
      </c>
      <c r="AX24" s="37">
        <v>2492</v>
      </c>
      <c r="AY24" s="37">
        <v>2506</v>
      </c>
      <c r="AZ24" s="37">
        <v>1080</v>
      </c>
      <c r="BA24" s="37">
        <v>2728</v>
      </c>
      <c r="BB24" s="37">
        <v>999</v>
      </c>
      <c r="BC24" s="37">
        <v>856</v>
      </c>
      <c r="BD24" s="37">
        <v>2987</v>
      </c>
      <c r="BE24" s="37">
        <v>3110</v>
      </c>
      <c r="BF24" s="37">
        <v>2156</v>
      </c>
      <c r="BG24" s="37">
        <v>2509</v>
      </c>
      <c r="BH24" s="37">
        <v>2560</v>
      </c>
      <c r="BI24" s="37">
        <v>2691</v>
      </c>
      <c r="BJ24" s="37">
        <v>1814</v>
      </c>
      <c r="BK24" s="37">
        <v>2699</v>
      </c>
      <c r="BL24" s="37">
        <v>1730</v>
      </c>
      <c r="BM24" s="37">
        <v>660</v>
      </c>
      <c r="BN24" s="37">
        <v>933</v>
      </c>
      <c r="BO24" s="37">
        <v>1662</v>
      </c>
      <c r="BP24" s="37">
        <v>1738</v>
      </c>
      <c r="BQ24" s="37">
        <v>2251</v>
      </c>
      <c r="BR24" s="37">
        <v>2893</v>
      </c>
      <c r="BS24" s="37">
        <v>1445</v>
      </c>
      <c r="BT24" s="37">
        <v>2376</v>
      </c>
      <c r="BU24" s="37">
        <v>2661</v>
      </c>
      <c r="BV24" s="37">
        <v>2197</v>
      </c>
      <c r="BW24" s="37">
        <v>3409</v>
      </c>
      <c r="BX24" s="37">
        <v>2026</v>
      </c>
      <c r="BY24" s="37">
        <v>2969</v>
      </c>
      <c r="BZ24" s="37">
        <v>267</v>
      </c>
      <c r="CA24" s="37">
        <v>2290</v>
      </c>
      <c r="CB24" s="37">
        <v>1120</v>
      </c>
      <c r="CC24" s="37">
        <v>2641</v>
      </c>
      <c r="CD24" s="37">
        <v>2792</v>
      </c>
      <c r="CE24" s="37">
        <v>862</v>
      </c>
      <c r="CF24" s="37">
        <v>2110</v>
      </c>
      <c r="CG24" s="37">
        <v>2043</v>
      </c>
      <c r="CH24" s="37">
        <v>238</v>
      </c>
      <c r="CI24" s="37">
        <v>2357</v>
      </c>
      <c r="CJ24" s="37">
        <v>278</v>
      </c>
      <c r="CK24" s="37">
        <v>2232</v>
      </c>
      <c r="CL24" s="37">
        <v>2509</v>
      </c>
      <c r="CM24" s="37">
        <v>2378</v>
      </c>
      <c r="CN24" s="37">
        <v>2831</v>
      </c>
      <c r="CO24" s="37">
        <v>207</v>
      </c>
      <c r="CP24" s="37">
        <v>845</v>
      </c>
      <c r="CQ24" s="37">
        <v>1351</v>
      </c>
      <c r="CR24" s="37">
        <v>2544</v>
      </c>
      <c r="CS24" s="37">
        <v>1818</v>
      </c>
      <c r="CT24" s="37">
        <v>2000</v>
      </c>
      <c r="CU24" s="37">
        <v>2891</v>
      </c>
      <c r="CV24" s="37">
        <v>2617</v>
      </c>
      <c r="CW24" s="37">
        <v>2717</v>
      </c>
      <c r="CX24" s="37">
        <v>1230</v>
      </c>
      <c r="CY24" s="37">
        <v>2608</v>
      </c>
      <c r="CZ24" s="37">
        <v>2518</v>
      </c>
      <c r="DA24" s="37">
        <v>196</v>
      </c>
      <c r="DB24" s="37">
        <v>3225</v>
      </c>
      <c r="DC24" s="37">
        <v>153</v>
      </c>
      <c r="DD24" s="37">
        <v>1185</v>
      </c>
      <c r="DE24" s="37">
        <v>1305</v>
      </c>
      <c r="DF24" s="37">
        <v>1305</v>
      </c>
      <c r="DG24" s="37">
        <v>1464</v>
      </c>
      <c r="DH24" s="37">
        <v>1480</v>
      </c>
      <c r="DI24" s="37">
        <v>2435</v>
      </c>
      <c r="DJ24" s="37">
        <v>2490</v>
      </c>
      <c r="DK24" s="37">
        <v>1087</v>
      </c>
      <c r="DL24" s="37">
        <v>2465</v>
      </c>
      <c r="DM24" s="37">
        <v>2101</v>
      </c>
      <c r="DN24" s="37">
        <v>1734</v>
      </c>
      <c r="DO24" s="37">
        <v>1925</v>
      </c>
      <c r="DP24" s="37">
        <v>2121</v>
      </c>
      <c r="DQ24" s="37">
        <v>2519</v>
      </c>
      <c r="DR24" s="37">
        <v>2598</v>
      </c>
      <c r="DS24" s="37">
        <v>2648</v>
      </c>
      <c r="DT24" s="37">
        <v>2498</v>
      </c>
      <c r="DU24" s="37">
        <v>168</v>
      </c>
      <c r="DV24" s="37">
        <v>2511</v>
      </c>
      <c r="DW24" s="37">
        <v>1239</v>
      </c>
      <c r="DX24" s="37">
        <v>904</v>
      </c>
      <c r="DY24" s="37">
        <v>2799</v>
      </c>
      <c r="DZ24" s="37">
        <v>978</v>
      </c>
      <c r="EA24" s="37">
        <v>443</v>
      </c>
      <c r="EB24" s="37">
        <v>2641</v>
      </c>
      <c r="EC24" s="37">
        <v>2788</v>
      </c>
      <c r="ED24" s="37">
        <v>2416</v>
      </c>
      <c r="EE24" s="37">
        <v>876</v>
      </c>
      <c r="EF24" s="37">
        <v>2568</v>
      </c>
      <c r="EG24" s="37">
        <v>2688</v>
      </c>
      <c r="EH24" s="37">
        <v>3333</v>
      </c>
      <c r="EI24" s="37">
        <v>1897</v>
      </c>
      <c r="EJ24" s="37">
        <v>1023</v>
      </c>
      <c r="EK24" s="37">
        <v>217</v>
      </c>
      <c r="EL24" s="37">
        <v>115</v>
      </c>
      <c r="EM24" s="37">
        <v>382</v>
      </c>
      <c r="EN24" s="37">
        <v>1973</v>
      </c>
      <c r="EO24" s="37">
        <v>1718</v>
      </c>
      <c r="EP24" s="37">
        <v>2194</v>
      </c>
      <c r="EQ24" s="37">
        <v>394</v>
      </c>
      <c r="ER24" s="37">
        <v>893</v>
      </c>
      <c r="ES24" s="37">
        <v>1239</v>
      </c>
    </row>
    <row r="25" spans="1:149" x14ac:dyDescent="0.3">
      <c r="A25" s="37" t="s">
        <v>5</v>
      </c>
      <c r="B25" s="37">
        <v>1439</v>
      </c>
      <c r="C25" s="37">
        <v>1691</v>
      </c>
      <c r="D25" s="37">
        <v>1430</v>
      </c>
      <c r="E25" s="37">
        <v>1086</v>
      </c>
      <c r="F25" s="37">
        <v>1543</v>
      </c>
      <c r="G25" s="37">
        <v>945</v>
      </c>
      <c r="H25" s="37">
        <v>1844</v>
      </c>
      <c r="I25" s="37">
        <v>2092</v>
      </c>
      <c r="J25" s="37">
        <v>1630</v>
      </c>
      <c r="K25" s="37">
        <v>1314</v>
      </c>
      <c r="L25" s="37">
        <v>175</v>
      </c>
      <c r="M25" s="37">
        <v>875</v>
      </c>
      <c r="N25" s="37">
        <v>1444</v>
      </c>
      <c r="O25" s="37">
        <v>1568</v>
      </c>
      <c r="P25" s="37">
        <v>1415</v>
      </c>
      <c r="Q25" s="37">
        <v>1307</v>
      </c>
      <c r="R25" s="37">
        <v>1084</v>
      </c>
      <c r="S25" s="37">
        <v>770</v>
      </c>
      <c r="T25" s="37">
        <v>2118</v>
      </c>
      <c r="U25" s="37">
        <v>1624</v>
      </c>
      <c r="V25" s="37">
        <v>705</v>
      </c>
      <c r="W25" s="37">
        <v>1969</v>
      </c>
      <c r="X25" s="37">
        <v>1787</v>
      </c>
      <c r="Y25" s="37">
        <v>1781</v>
      </c>
      <c r="Z25" s="37">
        <v>26</v>
      </c>
      <c r="AA25" s="37">
        <v>2070</v>
      </c>
      <c r="AB25" s="37">
        <v>1238</v>
      </c>
      <c r="AC25" s="37">
        <v>497</v>
      </c>
      <c r="AD25" s="37">
        <v>1867</v>
      </c>
      <c r="AE25" s="37">
        <v>1886</v>
      </c>
      <c r="AF25" s="37">
        <v>856</v>
      </c>
      <c r="AG25" s="37">
        <v>1256</v>
      </c>
      <c r="AH25" s="37">
        <v>1349</v>
      </c>
      <c r="AI25" s="37">
        <v>1281</v>
      </c>
      <c r="AJ25" s="37">
        <v>1694</v>
      </c>
      <c r="AK25" s="37">
        <v>1432</v>
      </c>
      <c r="AL25" s="37">
        <v>25</v>
      </c>
      <c r="AM25" s="37">
        <v>860</v>
      </c>
      <c r="AN25" s="37">
        <v>1504</v>
      </c>
      <c r="AO25" s="37">
        <v>1658</v>
      </c>
      <c r="AP25" s="37">
        <v>601</v>
      </c>
      <c r="AQ25" s="37">
        <v>969</v>
      </c>
      <c r="AR25" s="37">
        <v>472</v>
      </c>
      <c r="AS25" s="37">
        <v>1869</v>
      </c>
      <c r="AT25" s="37">
        <v>1594</v>
      </c>
      <c r="AU25" s="37">
        <v>1309</v>
      </c>
      <c r="AV25" s="37">
        <v>1094</v>
      </c>
      <c r="AW25" s="37">
        <v>2065</v>
      </c>
      <c r="AX25" s="37">
        <v>684</v>
      </c>
      <c r="AY25" s="37">
        <v>1634</v>
      </c>
      <c r="AZ25" s="37">
        <v>870</v>
      </c>
      <c r="BA25" s="37">
        <v>1851</v>
      </c>
      <c r="BB25" s="37">
        <v>1282</v>
      </c>
      <c r="BC25" s="37">
        <v>841</v>
      </c>
      <c r="BD25" s="37">
        <v>2106</v>
      </c>
      <c r="BE25" s="37">
        <v>1421</v>
      </c>
      <c r="BF25" s="37">
        <v>1381</v>
      </c>
      <c r="BG25" s="37">
        <v>786</v>
      </c>
      <c r="BH25" s="37">
        <v>1992</v>
      </c>
      <c r="BI25" s="37">
        <v>1667</v>
      </c>
      <c r="BJ25" s="37">
        <v>1716</v>
      </c>
      <c r="BK25" s="37">
        <v>1818</v>
      </c>
      <c r="BL25" s="37">
        <v>1099</v>
      </c>
      <c r="BM25" s="37">
        <v>1570</v>
      </c>
      <c r="BN25" s="37">
        <v>1075</v>
      </c>
      <c r="BO25" s="37">
        <v>1271</v>
      </c>
      <c r="BP25" s="37">
        <v>864</v>
      </c>
      <c r="BQ25" s="37">
        <v>1737</v>
      </c>
      <c r="BR25" s="37">
        <v>2012</v>
      </c>
      <c r="BS25" s="37">
        <v>1264</v>
      </c>
      <c r="BT25" s="37">
        <v>1816</v>
      </c>
      <c r="BU25" s="37">
        <v>1780</v>
      </c>
      <c r="BV25" s="37">
        <v>1968</v>
      </c>
      <c r="BW25" s="37">
        <v>1720</v>
      </c>
      <c r="BX25" s="37">
        <v>1974</v>
      </c>
      <c r="BY25" s="37">
        <v>2096</v>
      </c>
      <c r="BZ25" s="37">
        <v>1765</v>
      </c>
      <c r="CA25" s="37">
        <v>1156</v>
      </c>
      <c r="CB25" s="37">
        <v>1031</v>
      </c>
      <c r="CC25" s="37">
        <v>1760</v>
      </c>
      <c r="CD25" s="37">
        <v>1911</v>
      </c>
      <c r="CE25" s="37">
        <v>1608</v>
      </c>
      <c r="CF25" s="37">
        <v>421</v>
      </c>
      <c r="CG25" s="37">
        <v>2459</v>
      </c>
      <c r="CH25" s="37">
        <v>1919</v>
      </c>
      <c r="CI25" s="37">
        <v>1731</v>
      </c>
      <c r="CJ25" s="37">
        <v>1426</v>
      </c>
      <c r="CK25" s="37">
        <v>1880</v>
      </c>
      <c r="CL25" s="37">
        <v>1283</v>
      </c>
      <c r="CM25" s="37">
        <v>1144</v>
      </c>
      <c r="CN25" s="37">
        <v>1950</v>
      </c>
      <c r="CO25" s="37">
        <v>1706</v>
      </c>
      <c r="CP25" s="37">
        <v>1169</v>
      </c>
      <c r="CQ25" s="37">
        <v>1401</v>
      </c>
      <c r="CR25" s="37">
        <v>1671</v>
      </c>
      <c r="CS25" s="37">
        <v>1767</v>
      </c>
      <c r="CT25" s="37">
        <v>310</v>
      </c>
      <c r="CU25" s="37">
        <v>2066</v>
      </c>
      <c r="CV25" s="37">
        <v>1513</v>
      </c>
      <c r="CW25" s="37">
        <v>920</v>
      </c>
      <c r="CX25" s="37">
        <v>1659</v>
      </c>
      <c r="CY25" s="37">
        <v>1736</v>
      </c>
      <c r="CZ25" s="37">
        <v>838</v>
      </c>
      <c r="DA25" s="37">
        <v>1594</v>
      </c>
      <c r="DB25" s="37">
        <v>1536</v>
      </c>
      <c r="DC25" s="37">
        <v>1633</v>
      </c>
      <c r="DD25" s="37">
        <v>1165</v>
      </c>
      <c r="DE25" s="37">
        <v>1505</v>
      </c>
      <c r="DF25" s="37">
        <v>1505</v>
      </c>
      <c r="DG25" s="37">
        <v>1575</v>
      </c>
      <c r="DH25" s="37">
        <v>1558</v>
      </c>
      <c r="DI25" s="37">
        <v>1582</v>
      </c>
      <c r="DJ25" s="37">
        <v>778</v>
      </c>
      <c r="DK25" s="37">
        <v>1551</v>
      </c>
      <c r="DL25" s="37">
        <v>776</v>
      </c>
      <c r="DM25" s="37">
        <v>412</v>
      </c>
      <c r="DN25" s="37">
        <v>540</v>
      </c>
      <c r="DO25" s="37">
        <v>1872</v>
      </c>
      <c r="DP25" s="37">
        <v>432</v>
      </c>
      <c r="DQ25" s="37">
        <v>1667</v>
      </c>
      <c r="DR25" s="37">
        <v>1716</v>
      </c>
      <c r="DS25" s="37">
        <v>1495</v>
      </c>
      <c r="DT25" s="37">
        <v>809</v>
      </c>
      <c r="DU25" s="37">
        <v>1532</v>
      </c>
      <c r="DV25" s="37">
        <v>821</v>
      </c>
      <c r="DW25" s="37">
        <v>1462</v>
      </c>
      <c r="DX25" s="37">
        <v>1574</v>
      </c>
      <c r="DY25" s="37">
        <v>1918</v>
      </c>
      <c r="DZ25" s="37">
        <v>1617</v>
      </c>
      <c r="EA25" s="37">
        <v>1548</v>
      </c>
      <c r="EB25" s="37">
        <v>952</v>
      </c>
      <c r="EC25" s="37">
        <v>904</v>
      </c>
      <c r="ED25" s="37">
        <v>922</v>
      </c>
      <c r="EE25" s="37">
        <v>1400</v>
      </c>
      <c r="EF25" s="37">
        <v>1687</v>
      </c>
      <c r="EG25" s="37">
        <v>2057</v>
      </c>
      <c r="EH25" s="37">
        <v>2451</v>
      </c>
      <c r="EI25" s="37">
        <v>1266</v>
      </c>
      <c r="EJ25" s="37">
        <v>685</v>
      </c>
      <c r="EK25" s="37">
        <v>1575</v>
      </c>
      <c r="EL25" s="37">
        <v>1803</v>
      </c>
      <c r="EM25" s="37">
        <v>1970</v>
      </c>
      <c r="EN25" s="37">
        <v>1669</v>
      </c>
      <c r="EO25" s="37">
        <v>1331</v>
      </c>
      <c r="EP25" s="37">
        <v>882</v>
      </c>
      <c r="EQ25" s="37">
        <v>1323</v>
      </c>
      <c r="ER25" s="37">
        <v>803</v>
      </c>
      <c r="ES25" s="37">
        <v>468</v>
      </c>
    </row>
    <row r="26" spans="1:149" x14ac:dyDescent="0.3">
      <c r="A26" s="37" t="s">
        <v>16</v>
      </c>
      <c r="B26" s="37">
        <v>234</v>
      </c>
      <c r="C26" s="37">
        <v>947</v>
      </c>
      <c r="D26" s="37">
        <v>1350</v>
      </c>
      <c r="E26" s="37">
        <v>1261</v>
      </c>
      <c r="F26" s="37">
        <v>163</v>
      </c>
      <c r="G26" s="37">
        <v>703</v>
      </c>
      <c r="H26" s="37">
        <v>202</v>
      </c>
      <c r="I26" s="37">
        <v>450</v>
      </c>
      <c r="J26" s="37">
        <v>984</v>
      </c>
      <c r="K26" s="37">
        <v>1274</v>
      </c>
      <c r="L26" s="37">
        <v>1593</v>
      </c>
      <c r="M26" s="37">
        <v>945</v>
      </c>
      <c r="N26" s="37">
        <v>2175</v>
      </c>
      <c r="O26" s="37">
        <v>1474</v>
      </c>
      <c r="P26" s="37">
        <v>280</v>
      </c>
      <c r="Q26" s="37">
        <v>1886</v>
      </c>
      <c r="R26" s="37">
        <v>766</v>
      </c>
      <c r="S26" s="37">
        <v>1205</v>
      </c>
      <c r="T26" s="37">
        <v>475</v>
      </c>
      <c r="U26" s="37">
        <v>1773</v>
      </c>
      <c r="V26" s="37">
        <v>1307</v>
      </c>
      <c r="W26" s="37">
        <v>319</v>
      </c>
      <c r="X26" s="37">
        <v>1116</v>
      </c>
      <c r="Y26" s="37">
        <v>131</v>
      </c>
      <c r="Z26" s="37">
        <v>1700</v>
      </c>
      <c r="AA26" s="37">
        <v>450</v>
      </c>
      <c r="AB26" s="37">
        <v>1817</v>
      </c>
      <c r="AC26" s="37">
        <v>1392</v>
      </c>
      <c r="AD26" s="37">
        <v>2537</v>
      </c>
      <c r="AE26" s="37">
        <v>244</v>
      </c>
      <c r="AF26" s="37">
        <v>1054</v>
      </c>
      <c r="AG26" s="37">
        <v>2212</v>
      </c>
      <c r="AH26" s="37">
        <v>2137</v>
      </c>
      <c r="AI26" s="37">
        <v>2181</v>
      </c>
      <c r="AJ26" s="37">
        <v>2538</v>
      </c>
      <c r="AK26" s="37">
        <v>2388</v>
      </c>
      <c r="AL26" s="37">
        <v>1680</v>
      </c>
      <c r="AM26" s="37">
        <v>1152</v>
      </c>
      <c r="AN26" s="37">
        <v>2013</v>
      </c>
      <c r="AO26" s="37">
        <v>25</v>
      </c>
      <c r="AP26" s="37">
        <v>1284</v>
      </c>
      <c r="AQ26" s="37">
        <v>880</v>
      </c>
      <c r="AR26" s="37">
        <v>1229</v>
      </c>
      <c r="AS26" s="37">
        <v>2713</v>
      </c>
      <c r="AT26" s="37">
        <v>2439</v>
      </c>
      <c r="AU26" s="37">
        <v>340</v>
      </c>
      <c r="AV26" s="37">
        <v>688</v>
      </c>
      <c r="AW26" s="37">
        <v>365</v>
      </c>
      <c r="AX26" s="37">
        <v>1076</v>
      </c>
      <c r="AY26" s="37">
        <v>45</v>
      </c>
      <c r="AZ26" s="37">
        <v>1623</v>
      </c>
      <c r="BA26" s="37">
        <v>201</v>
      </c>
      <c r="BB26" s="37">
        <v>1729</v>
      </c>
      <c r="BC26" s="37">
        <v>1854</v>
      </c>
      <c r="BD26" s="37">
        <v>464</v>
      </c>
      <c r="BE26" s="37">
        <v>2000</v>
      </c>
      <c r="BF26" s="37">
        <v>363</v>
      </c>
      <c r="BG26" s="37">
        <v>1083</v>
      </c>
      <c r="BH26" s="37">
        <v>342</v>
      </c>
      <c r="BI26" s="37">
        <v>223</v>
      </c>
      <c r="BJ26" s="37">
        <v>844</v>
      </c>
      <c r="BK26" s="37">
        <v>168</v>
      </c>
      <c r="BL26" s="37">
        <v>873</v>
      </c>
      <c r="BM26" s="37">
        <v>1867</v>
      </c>
      <c r="BN26" s="37">
        <v>1586</v>
      </c>
      <c r="BO26" s="37">
        <v>906</v>
      </c>
      <c r="BP26" s="37">
        <v>850</v>
      </c>
      <c r="BQ26" s="37">
        <v>282</v>
      </c>
      <c r="BR26" s="37">
        <v>370</v>
      </c>
      <c r="BS26" s="37">
        <v>1157</v>
      </c>
      <c r="BT26" s="37">
        <v>203</v>
      </c>
      <c r="BU26" s="37">
        <v>130</v>
      </c>
      <c r="BV26" s="37">
        <v>608</v>
      </c>
      <c r="BW26" s="37">
        <v>2299</v>
      </c>
      <c r="BX26" s="37">
        <v>1223</v>
      </c>
      <c r="BY26" s="37">
        <v>454</v>
      </c>
      <c r="BZ26" s="37">
        <v>2496</v>
      </c>
      <c r="CA26" s="37">
        <v>497</v>
      </c>
      <c r="CB26" s="37">
        <v>1471</v>
      </c>
      <c r="CC26" s="37">
        <v>117</v>
      </c>
      <c r="CD26" s="37">
        <v>269</v>
      </c>
      <c r="CE26" s="37">
        <v>1665</v>
      </c>
      <c r="CF26" s="37">
        <v>1494</v>
      </c>
      <c r="CG26" s="37">
        <v>3415</v>
      </c>
      <c r="CH26" s="37">
        <v>2770</v>
      </c>
      <c r="CI26" s="37">
        <v>166</v>
      </c>
      <c r="CJ26" s="37">
        <v>2265</v>
      </c>
      <c r="CK26" s="37">
        <v>379</v>
      </c>
      <c r="CL26" s="37">
        <v>447</v>
      </c>
      <c r="CM26" s="37">
        <v>555</v>
      </c>
      <c r="CN26" s="37">
        <v>308</v>
      </c>
      <c r="CO26" s="37">
        <v>2609</v>
      </c>
      <c r="CP26" s="37">
        <v>1708</v>
      </c>
      <c r="CQ26" s="37">
        <v>1174</v>
      </c>
      <c r="CR26" s="37">
        <v>83</v>
      </c>
      <c r="CS26" s="37">
        <v>874</v>
      </c>
      <c r="CT26" s="37">
        <v>1457</v>
      </c>
      <c r="CU26" s="37">
        <v>377</v>
      </c>
      <c r="CV26" s="37">
        <v>181</v>
      </c>
      <c r="CW26" s="37">
        <v>1035</v>
      </c>
      <c r="CX26" s="37">
        <v>1416</v>
      </c>
      <c r="CY26" s="37">
        <v>140</v>
      </c>
      <c r="CZ26" s="37">
        <v>1091</v>
      </c>
      <c r="DA26" s="37">
        <v>2326</v>
      </c>
      <c r="DB26" s="37">
        <v>2115</v>
      </c>
      <c r="DC26" s="37">
        <v>2427</v>
      </c>
      <c r="DD26" s="37">
        <v>1430</v>
      </c>
      <c r="DE26" s="37">
        <v>1279</v>
      </c>
      <c r="DF26" s="37">
        <v>1279</v>
      </c>
      <c r="DG26" s="37">
        <v>1174</v>
      </c>
      <c r="DH26" s="37">
        <v>1158</v>
      </c>
      <c r="DI26" s="37">
        <v>87</v>
      </c>
      <c r="DJ26" s="37">
        <v>1095</v>
      </c>
      <c r="DK26" s="37">
        <v>1453</v>
      </c>
      <c r="DL26" s="37">
        <v>1377</v>
      </c>
      <c r="DM26" s="37">
        <v>1284</v>
      </c>
      <c r="DN26" s="37">
        <v>1221</v>
      </c>
      <c r="DO26" s="37">
        <v>1122</v>
      </c>
      <c r="DP26" s="37">
        <v>1241</v>
      </c>
      <c r="DQ26" s="37">
        <v>102</v>
      </c>
      <c r="DR26" s="37">
        <v>66</v>
      </c>
      <c r="DS26" s="37">
        <v>256</v>
      </c>
      <c r="DT26" s="37">
        <v>1245</v>
      </c>
      <c r="DU26" s="37">
        <v>2377</v>
      </c>
      <c r="DV26" s="37">
        <v>1146</v>
      </c>
      <c r="DW26" s="37">
        <v>1310</v>
      </c>
      <c r="DX26" s="37">
        <v>1665</v>
      </c>
      <c r="DY26" s="37">
        <v>275</v>
      </c>
      <c r="DZ26" s="37">
        <v>1544</v>
      </c>
      <c r="EA26" s="37">
        <v>2073</v>
      </c>
      <c r="EB26" s="37">
        <v>1284</v>
      </c>
      <c r="EC26" s="37">
        <v>1106</v>
      </c>
      <c r="ED26" s="37">
        <v>969</v>
      </c>
      <c r="EE26" s="37">
        <v>1575</v>
      </c>
      <c r="EF26" s="37">
        <v>45</v>
      </c>
      <c r="EG26" s="37">
        <v>407</v>
      </c>
      <c r="EH26" s="37">
        <v>809</v>
      </c>
      <c r="EI26" s="37">
        <v>745</v>
      </c>
      <c r="EJ26" s="37">
        <v>1989</v>
      </c>
      <c r="EK26" s="37">
        <v>2517</v>
      </c>
      <c r="EL26" s="37">
        <v>2647</v>
      </c>
      <c r="EM26" s="37">
        <v>2859</v>
      </c>
      <c r="EN26" s="37">
        <v>664</v>
      </c>
      <c r="EO26" s="37">
        <v>848</v>
      </c>
      <c r="EP26" s="37">
        <v>822</v>
      </c>
      <c r="EQ26" s="37">
        <v>2224</v>
      </c>
      <c r="ER26" s="37">
        <v>1858</v>
      </c>
      <c r="ES26" s="37">
        <v>1780</v>
      </c>
    </row>
    <row r="27" spans="1:149" x14ac:dyDescent="0.3">
      <c r="A27" s="37" t="s">
        <v>17</v>
      </c>
      <c r="B27" s="37">
        <v>208</v>
      </c>
      <c r="C27" s="37">
        <v>965</v>
      </c>
      <c r="D27" s="37">
        <v>1368</v>
      </c>
      <c r="E27" s="37">
        <v>1235</v>
      </c>
      <c r="F27" s="37">
        <v>122</v>
      </c>
      <c r="G27" s="37">
        <v>677</v>
      </c>
      <c r="H27" s="37">
        <v>228</v>
      </c>
      <c r="I27" s="37">
        <v>475</v>
      </c>
      <c r="J27" s="37">
        <v>1002</v>
      </c>
      <c r="K27" s="37">
        <v>1292</v>
      </c>
      <c r="L27" s="37">
        <v>1567</v>
      </c>
      <c r="M27" s="37">
        <v>919</v>
      </c>
      <c r="N27" s="37">
        <v>2149</v>
      </c>
      <c r="O27" s="37">
        <v>1492</v>
      </c>
      <c r="P27" s="37">
        <v>239</v>
      </c>
      <c r="Q27" s="37">
        <v>1861</v>
      </c>
      <c r="R27" s="37">
        <v>740</v>
      </c>
      <c r="S27" s="37">
        <v>1180</v>
      </c>
      <c r="T27" s="37">
        <v>501</v>
      </c>
      <c r="U27" s="37">
        <v>1791</v>
      </c>
      <c r="V27" s="37">
        <v>1281</v>
      </c>
      <c r="W27" s="37">
        <v>358</v>
      </c>
      <c r="X27" s="37">
        <v>1133</v>
      </c>
      <c r="Y27" s="37">
        <v>170</v>
      </c>
      <c r="Z27" s="37">
        <v>1675</v>
      </c>
      <c r="AA27" s="37">
        <v>489</v>
      </c>
      <c r="AB27" s="37">
        <v>1792</v>
      </c>
      <c r="AC27" s="37">
        <v>1366</v>
      </c>
      <c r="AD27" s="37">
        <v>2511</v>
      </c>
      <c r="AE27" s="37">
        <v>270</v>
      </c>
      <c r="AF27" s="37">
        <v>1029</v>
      </c>
      <c r="AG27" s="37">
        <v>2186</v>
      </c>
      <c r="AH27" s="37">
        <v>2111</v>
      </c>
      <c r="AI27" s="37">
        <v>2155</v>
      </c>
      <c r="AJ27" s="37">
        <v>2513</v>
      </c>
      <c r="AK27" s="37">
        <v>2363</v>
      </c>
      <c r="AL27" s="37">
        <v>1654</v>
      </c>
      <c r="AM27" s="37">
        <v>1127</v>
      </c>
      <c r="AN27" s="37">
        <v>2031</v>
      </c>
      <c r="AO27" s="37">
        <v>42</v>
      </c>
      <c r="AP27" s="37">
        <v>1259</v>
      </c>
      <c r="AQ27" s="37">
        <v>854</v>
      </c>
      <c r="AR27" s="37">
        <v>1203</v>
      </c>
      <c r="AS27" s="37">
        <v>2688</v>
      </c>
      <c r="AT27" s="37">
        <v>2413</v>
      </c>
      <c r="AU27" s="37">
        <v>315</v>
      </c>
      <c r="AV27" s="37">
        <v>663</v>
      </c>
      <c r="AW27" s="37">
        <v>448</v>
      </c>
      <c r="AX27" s="37">
        <v>1050</v>
      </c>
      <c r="AY27" s="37">
        <v>25</v>
      </c>
      <c r="AZ27" s="37">
        <v>1597</v>
      </c>
      <c r="BA27" s="37">
        <v>240</v>
      </c>
      <c r="BB27" s="37">
        <v>1704</v>
      </c>
      <c r="BC27" s="37">
        <v>1828</v>
      </c>
      <c r="BD27" s="37">
        <v>490</v>
      </c>
      <c r="BE27" s="37">
        <v>1975</v>
      </c>
      <c r="BF27" s="37">
        <v>338</v>
      </c>
      <c r="BG27" s="37">
        <v>1057</v>
      </c>
      <c r="BH27" s="37">
        <v>381</v>
      </c>
      <c r="BI27" s="37">
        <v>186</v>
      </c>
      <c r="BJ27" s="37">
        <v>862</v>
      </c>
      <c r="BK27" s="37">
        <v>206</v>
      </c>
      <c r="BL27" s="37">
        <v>847</v>
      </c>
      <c r="BM27" s="37">
        <v>1885</v>
      </c>
      <c r="BN27" s="37">
        <v>1560</v>
      </c>
      <c r="BO27" s="37">
        <v>923</v>
      </c>
      <c r="BP27" s="37">
        <v>825</v>
      </c>
      <c r="BQ27" s="37">
        <v>300</v>
      </c>
      <c r="BR27" s="37">
        <v>396</v>
      </c>
      <c r="BS27" s="37">
        <v>1175</v>
      </c>
      <c r="BT27" s="37">
        <v>242</v>
      </c>
      <c r="BU27" s="37">
        <v>154</v>
      </c>
      <c r="BV27" s="37">
        <v>625</v>
      </c>
      <c r="BW27" s="37">
        <v>2274</v>
      </c>
      <c r="BX27" s="37">
        <v>1241</v>
      </c>
      <c r="BY27" s="37">
        <v>480</v>
      </c>
      <c r="BZ27" s="37">
        <v>2471</v>
      </c>
      <c r="CA27" s="37">
        <v>472</v>
      </c>
      <c r="CB27" s="37">
        <v>1446</v>
      </c>
      <c r="CC27" s="37">
        <v>144</v>
      </c>
      <c r="CD27" s="37">
        <v>295</v>
      </c>
      <c r="CE27" s="37">
        <v>1683</v>
      </c>
      <c r="CF27" s="37">
        <v>1469</v>
      </c>
      <c r="CG27" s="37">
        <v>538</v>
      </c>
      <c r="CH27" s="37">
        <v>2744</v>
      </c>
      <c r="CI27" s="37">
        <v>183</v>
      </c>
      <c r="CJ27" s="37">
        <v>2239</v>
      </c>
      <c r="CK27" s="37">
        <v>396</v>
      </c>
      <c r="CL27" s="37">
        <v>406</v>
      </c>
      <c r="CM27" s="37">
        <v>529</v>
      </c>
      <c r="CN27" s="37">
        <v>334</v>
      </c>
      <c r="CO27" s="37">
        <v>2583</v>
      </c>
      <c r="CP27" s="37">
        <v>1683</v>
      </c>
      <c r="CQ27" s="37">
        <v>1192</v>
      </c>
      <c r="CR27" s="37">
        <v>47</v>
      </c>
      <c r="CS27" s="37">
        <v>892</v>
      </c>
      <c r="CT27" s="37">
        <v>1432</v>
      </c>
      <c r="CU27" s="37">
        <v>404</v>
      </c>
      <c r="CV27" s="37">
        <v>140</v>
      </c>
      <c r="CW27" s="37">
        <v>1010</v>
      </c>
      <c r="CX27" s="37">
        <v>1434</v>
      </c>
      <c r="CY27" s="37">
        <v>103</v>
      </c>
      <c r="CZ27" s="37">
        <v>1066</v>
      </c>
      <c r="DA27" s="37">
        <v>2300</v>
      </c>
      <c r="DB27" s="37">
        <v>2090</v>
      </c>
      <c r="DC27" s="37">
        <v>2402</v>
      </c>
      <c r="DD27" s="37">
        <v>1404</v>
      </c>
      <c r="DE27" s="37">
        <v>1297</v>
      </c>
      <c r="DF27" s="37">
        <v>1297</v>
      </c>
      <c r="DG27" s="37">
        <v>1192</v>
      </c>
      <c r="DH27" s="37">
        <v>1176</v>
      </c>
      <c r="DI27" s="37">
        <v>80</v>
      </c>
      <c r="DJ27" s="37">
        <v>1070</v>
      </c>
      <c r="DK27" s="37">
        <v>1470</v>
      </c>
      <c r="DL27" s="37">
        <v>1352</v>
      </c>
      <c r="DM27" s="37">
        <v>1259</v>
      </c>
      <c r="DN27" s="37">
        <v>1196</v>
      </c>
      <c r="DO27" s="37">
        <v>1140</v>
      </c>
      <c r="DP27" s="37">
        <v>1216</v>
      </c>
      <c r="DQ27" s="37">
        <v>120</v>
      </c>
      <c r="DR27" s="37">
        <v>105</v>
      </c>
      <c r="DS27" s="37">
        <v>215</v>
      </c>
      <c r="DT27" s="37">
        <v>1220</v>
      </c>
      <c r="DU27" s="37">
        <v>2351</v>
      </c>
      <c r="DV27" s="37">
        <v>1120</v>
      </c>
      <c r="DW27" s="37">
        <v>1328</v>
      </c>
      <c r="DX27" s="37">
        <v>1682</v>
      </c>
      <c r="DY27" s="37">
        <v>301</v>
      </c>
      <c r="DZ27" s="37">
        <v>1562</v>
      </c>
      <c r="EA27" s="37">
        <v>2091</v>
      </c>
      <c r="EB27" s="37">
        <v>1506</v>
      </c>
      <c r="EC27" s="37">
        <v>1080</v>
      </c>
      <c r="ED27" s="37">
        <v>944</v>
      </c>
      <c r="EE27" s="37">
        <v>1592</v>
      </c>
      <c r="EF27" s="37">
        <v>71</v>
      </c>
      <c r="EG27" s="37">
        <v>446</v>
      </c>
      <c r="EH27" s="37">
        <v>835</v>
      </c>
      <c r="EI27" s="37">
        <v>720</v>
      </c>
      <c r="EJ27" s="37">
        <v>1963</v>
      </c>
      <c r="EK27" s="37">
        <v>2492</v>
      </c>
      <c r="EL27" s="37">
        <v>2622</v>
      </c>
      <c r="EM27" s="37">
        <v>2834</v>
      </c>
      <c r="EN27" s="37">
        <v>682</v>
      </c>
      <c r="EO27" s="37">
        <v>866</v>
      </c>
      <c r="EP27" s="37">
        <v>796</v>
      </c>
      <c r="EQ27" s="37">
        <v>2198</v>
      </c>
      <c r="ER27" s="37">
        <v>1833</v>
      </c>
      <c r="ES27" s="37">
        <v>1754</v>
      </c>
    </row>
    <row r="28" spans="1:149" x14ac:dyDescent="0.3">
      <c r="A28" s="37" t="s">
        <v>29</v>
      </c>
      <c r="B28" s="37">
        <v>1733</v>
      </c>
      <c r="C28" s="37">
        <v>2575</v>
      </c>
      <c r="D28" s="37">
        <v>2753</v>
      </c>
      <c r="E28" s="37">
        <v>2507</v>
      </c>
      <c r="F28" s="37">
        <v>1816</v>
      </c>
      <c r="G28" s="37">
        <v>1329</v>
      </c>
      <c r="H28" s="37">
        <v>2139</v>
      </c>
      <c r="I28" s="37">
        <v>2386</v>
      </c>
      <c r="J28" s="37">
        <v>2633</v>
      </c>
      <c r="K28" s="37">
        <v>2673</v>
      </c>
      <c r="L28" s="37">
        <v>1208</v>
      </c>
      <c r="M28" s="37">
        <v>1027</v>
      </c>
      <c r="N28" s="37">
        <v>2820</v>
      </c>
      <c r="O28" s="37">
        <v>2877</v>
      </c>
      <c r="P28" s="37">
        <v>1681</v>
      </c>
      <c r="Q28" s="37">
        <v>99</v>
      </c>
      <c r="R28" s="37">
        <v>1197</v>
      </c>
      <c r="S28" s="37">
        <v>774</v>
      </c>
      <c r="T28" s="37">
        <v>2412</v>
      </c>
      <c r="U28" s="37">
        <v>3176</v>
      </c>
      <c r="V28" s="37">
        <v>678</v>
      </c>
      <c r="W28" s="37">
        <v>2268</v>
      </c>
      <c r="X28" s="37">
        <v>2745</v>
      </c>
      <c r="Y28" s="37">
        <v>2076</v>
      </c>
      <c r="Z28" s="37">
        <v>1402</v>
      </c>
      <c r="AA28" s="37">
        <v>2304</v>
      </c>
      <c r="AB28" s="37">
        <v>187</v>
      </c>
      <c r="AC28" s="37">
        <v>885</v>
      </c>
      <c r="AD28" s="37">
        <v>3242</v>
      </c>
      <c r="AE28" s="37">
        <v>2181</v>
      </c>
      <c r="AF28" s="37">
        <v>957</v>
      </c>
      <c r="AG28" s="37">
        <v>2632</v>
      </c>
      <c r="AH28" s="37">
        <v>2725</v>
      </c>
      <c r="AI28" s="37">
        <v>2657</v>
      </c>
      <c r="AJ28" s="37">
        <v>3069</v>
      </c>
      <c r="AK28" s="37">
        <v>2808</v>
      </c>
      <c r="AL28" s="37">
        <v>1381</v>
      </c>
      <c r="AM28" s="37">
        <v>823</v>
      </c>
      <c r="AN28" s="37">
        <v>2880</v>
      </c>
      <c r="AO28" s="37">
        <v>1953</v>
      </c>
      <c r="AP28" s="37">
        <v>802</v>
      </c>
      <c r="AQ28" s="37">
        <v>1109</v>
      </c>
      <c r="AR28" s="37">
        <v>941</v>
      </c>
      <c r="AS28" s="37">
        <v>3244</v>
      </c>
      <c r="AT28" s="37">
        <v>2970</v>
      </c>
      <c r="AU28" s="37">
        <v>1626</v>
      </c>
      <c r="AV28" s="37">
        <v>1272</v>
      </c>
      <c r="AW28" s="37">
        <v>2359</v>
      </c>
      <c r="AX28" s="37">
        <v>935</v>
      </c>
      <c r="AY28" s="37">
        <v>1928</v>
      </c>
      <c r="AZ28" s="37">
        <v>2245</v>
      </c>
      <c r="BA28" s="37">
        <v>2145</v>
      </c>
      <c r="BB28" s="37">
        <v>2658</v>
      </c>
      <c r="BC28" s="37">
        <v>2217</v>
      </c>
      <c r="BD28" s="37">
        <v>2401</v>
      </c>
      <c r="BE28" s="37">
        <v>25</v>
      </c>
      <c r="BF28" s="37">
        <v>1739</v>
      </c>
      <c r="BG28" s="37">
        <v>935</v>
      </c>
      <c r="BH28" s="37">
        <v>2286</v>
      </c>
      <c r="BI28" s="37">
        <v>1934</v>
      </c>
      <c r="BJ28" s="37">
        <v>2493</v>
      </c>
      <c r="BK28" s="37">
        <v>2112</v>
      </c>
      <c r="BL28" s="37">
        <v>2144</v>
      </c>
      <c r="BM28" s="37">
        <v>2946</v>
      </c>
      <c r="BN28" s="37">
        <v>2451</v>
      </c>
      <c r="BO28" s="37">
        <v>2260</v>
      </c>
      <c r="BP28" s="37">
        <v>1651</v>
      </c>
      <c r="BQ28" s="37">
        <v>1971</v>
      </c>
      <c r="BR28" s="37">
        <v>2307</v>
      </c>
      <c r="BS28" s="37">
        <v>2560</v>
      </c>
      <c r="BT28" s="37">
        <v>2110</v>
      </c>
      <c r="BU28" s="37">
        <v>2074</v>
      </c>
      <c r="BV28" s="37">
        <v>2310</v>
      </c>
      <c r="BW28" s="37">
        <v>306</v>
      </c>
      <c r="BX28" s="37">
        <v>2891</v>
      </c>
      <c r="BY28" s="37">
        <v>2391</v>
      </c>
      <c r="BZ28" s="37">
        <v>3141</v>
      </c>
      <c r="CA28" s="37">
        <v>1494</v>
      </c>
      <c r="CB28" s="37">
        <v>2184</v>
      </c>
      <c r="CC28" s="37">
        <v>2054</v>
      </c>
      <c r="CD28" s="37">
        <v>2205</v>
      </c>
      <c r="CE28" s="37">
        <v>3068</v>
      </c>
      <c r="CF28" s="37">
        <v>988</v>
      </c>
      <c r="CG28" s="37">
        <v>2035</v>
      </c>
      <c r="CH28" s="37">
        <v>3295</v>
      </c>
      <c r="CI28" s="37">
        <v>2025</v>
      </c>
      <c r="CJ28" s="37">
        <v>2802</v>
      </c>
      <c r="CK28" s="37">
        <v>2087</v>
      </c>
      <c r="CL28" s="37">
        <v>1522</v>
      </c>
      <c r="CM28" s="37">
        <v>1400</v>
      </c>
      <c r="CN28" s="37">
        <v>2244</v>
      </c>
      <c r="CO28" s="37">
        <v>3081</v>
      </c>
      <c r="CP28" s="37">
        <v>2544</v>
      </c>
      <c r="CQ28" s="37">
        <v>2577</v>
      </c>
      <c r="CR28" s="37">
        <v>1966</v>
      </c>
      <c r="CS28" s="37">
        <v>2577</v>
      </c>
      <c r="CT28" s="37">
        <v>1025</v>
      </c>
      <c r="CU28" s="37">
        <v>2313</v>
      </c>
      <c r="CV28" s="37">
        <v>1780</v>
      </c>
      <c r="CW28" s="37">
        <v>953</v>
      </c>
      <c r="CX28" s="37">
        <v>2847</v>
      </c>
      <c r="CY28" s="37">
        <v>2031</v>
      </c>
      <c r="CZ28" s="37">
        <v>882</v>
      </c>
      <c r="DA28" s="37">
        <v>2970</v>
      </c>
      <c r="DB28" s="37">
        <v>123</v>
      </c>
      <c r="DC28" s="37">
        <v>3009</v>
      </c>
      <c r="DD28" s="37">
        <v>2266</v>
      </c>
      <c r="DE28" s="37">
        <v>2682</v>
      </c>
      <c r="DF28" s="37">
        <v>2682</v>
      </c>
      <c r="DG28" s="37">
        <v>2723</v>
      </c>
      <c r="DH28" s="37">
        <v>2707</v>
      </c>
      <c r="DI28" s="37">
        <v>1877</v>
      </c>
      <c r="DJ28" s="37">
        <v>953</v>
      </c>
      <c r="DK28" s="37">
        <v>2856</v>
      </c>
      <c r="DL28" s="37">
        <v>598</v>
      </c>
      <c r="DM28" s="37">
        <v>966</v>
      </c>
      <c r="DN28" s="37">
        <v>1637</v>
      </c>
      <c r="DO28" s="37">
        <v>2789</v>
      </c>
      <c r="DP28" s="37">
        <v>1045</v>
      </c>
      <c r="DQ28" s="37">
        <v>1961</v>
      </c>
      <c r="DR28" s="37">
        <v>2011</v>
      </c>
      <c r="DS28" s="37">
        <v>1761</v>
      </c>
      <c r="DT28" s="37">
        <v>700</v>
      </c>
      <c r="DU28" s="37">
        <v>2908</v>
      </c>
      <c r="DV28" s="37">
        <v>869</v>
      </c>
      <c r="DW28" s="37">
        <v>2713</v>
      </c>
      <c r="DX28" s="37">
        <v>3068</v>
      </c>
      <c r="DY28" s="37">
        <v>2212</v>
      </c>
      <c r="DZ28" s="37">
        <v>2947</v>
      </c>
      <c r="EA28" s="37">
        <v>2924</v>
      </c>
      <c r="EB28" s="37">
        <v>475</v>
      </c>
      <c r="EC28" s="37">
        <v>872</v>
      </c>
      <c r="ED28" s="37">
        <v>1022</v>
      </c>
      <c r="EE28" s="37">
        <v>2515</v>
      </c>
      <c r="EF28" s="37">
        <v>1982</v>
      </c>
      <c r="EG28" s="37">
        <v>2351</v>
      </c>
      <c r="EH28" s="37">
        <v>2746</v>
      </c>
      <c r="EI28" s="37">
        <v>2071</v>
      </c>
      <c r="EJ28" s="37">
        <v>2061</v>
      </c>
      <c r="EK28" s="37">
        <v>2951</v>
      </c>
      <c r="EL28" s="37">
        <v>3179</v>
      </c>
      <c r="EM28" s="37">
        <v>3346</v>
      </c>
      <c r="EN28" s="37">
        <v>2314</v>
      </c>
      <c r="EO28" s="37">
        <v>2215</v>
      </c>
      <c r="EP28" s="37">
        <v>1244</v>
      </c>
      <c r="EQ28" s="37">
        <v>2699</v>
      </c>
      <c r="ER28" s="37">
        <v>2179</v>
      </c>
      <c r="ES28" s="37">
        <v>1843</v>
      </c>
    </row>
    <row r="29" spans="1:149" x14ac:dyDescent="0.3">
      <c r="A29" s="37" t="s">
        <v>22</v>
      </c>
      <c r="B29" s="37">
        <v>1343</v>
      </c>
      <c r="C29" s="37">
        <v>1222</v>
      </c>
      <c r="D29" s="37">
        <v>509</v>
      </c>
      <c r="E29" s="37">
        <v>560</v>
      </c>
      <c r="F29" s="37">
        <v>1433</v>
      </c>
      <c r="G29" s="37">
        <v>1136</v>
      </c>
      <c r="H29" s="37">
        <v>1773</v>
      </c>
      <c r="I29" s="37">
        <v>2021</v>
      </c>
      <c r="J29" s="37">
        <v>1161</v>
      </c>
      <c r="K29" s="37">
        <v>558</v>
      </c>
      <c r="L29" s="37">
        <v>1246</v>
      </c>
      <c r="M29" s="37">
        <v>1387</v>
      </c>
      <c r="N29" s="37">
        <v>576</v>
      </c>
      <c r="O29" s="37">
        <v>478</v>
      </c>
      <c r="P29" s="37">
        <v>1579</v>
      </c>
      <c r="Q29" s="37">
        <v>2379</v>
      </c>
      <c r="R29" s="37">
        <v>1505</v>
      </c>
      <c r="S29" s="37">
        <v>1698</v>
      </c>
      <c r="T29" s="37">
        <v>2046</v>
      </c>
      <c r="U29" s="37">
        <v>564</v>
      </c>
      <c r="V29" s="37">
        <v>1752</v>
      </c>
      <c r="W29" s="37">
        <v>1898</v>
      </c>
      <c r="X29" s="37">
        <v>1290</v>
      </c>
      <c r="Y29" s="37">
        <v>1710</v>
      </c>
      <c r="Z29" s="37">
        <v>1051</v>
      </c>
      <c r="AA29" s="37">
        <v>1670</v>
      </c>
      <c r="AB29" s="37">
        <v>2309</v>
      </c>
      <c r="AC29" s="37">
        <v>1568</v>
      </c>
      <c r="AD29" s="37">
        <v>939</v>
      </c>
      <c r="AE29" s="37">
        <v>1815</v>
      </c>
      <c r="AF29" s="37">
        <v>1481</v>
      </c>
      <c r="AG29" s="37">
        <v>628</v>
      </c>
      <c r="AH29" s="37">
        <v>538</v>
      </c>
      <c r="AI29" s="37">
        <v>582</v>
      </c>
      <c r="AJ29" s="37">
        <v>939</v>
      </c>
      <c r="AK29" s="37">
        <v>805</v>
      </c>
      <c r="AL29" s="37">
        <v>1076</v>
      </c>
      <c r="AM29" s="37">
        <v>1618</v>
      </c>
      <c r="AN29" s="37">
        <v>581</v>
      </c>
      <c r="AO29" s="37">
        <v>1587</v>
      </c>
      <c r="AP29" s="37">
        <v>1645</v>
      </c>
      <c r="AQ29" s="37">
        <v>1395</v>
      </c>
      <c r="AR29" s="37">
        <v>1558</v>
      </c>
      <c r="AS29" s="37">
        <v>1114</v>
      </c>
      <c r="AT29" s="37">
        <v>840</v>
      </c>
      <c r="AU29" s="37">
        <v>1309</v>
      </c>
      <c r="AV29" s="37">
        <v>1427</v>
      </c>
      <c r="AW29" s="37">
        <v>1994</v>
      </c>
      <c r="AX29" s="37">
        <v>1539</v>
      </c>
      <c r="AY29" s="37">
        <v>1563</v>
      </c>
      <c r="AZ29" s="37">
        <v>264</v>
      </c>
      <c r="BA29" s="37">
        <v>1780</v>
      </c>
      <c r="BB29" s="37">
        <v>213</v>
      </c>
      <c r="BC29" s="37">
        <v>271</v>
      </c>
      <c r="BD29" s="37">
        <v>2035</v>
      </c>
      <c r="BE29" s="37">
        <v>2492</v>
      </c>
      <c r="BF29" s="37">
        <v>1213</v>
      </c>
      <c r="BG29" s="37">
        <v>1557</v>
      </c>
      <c r="BH29" s="37">
        <v>1921</v>
      </c>
      <c r="BI29" s="37">
        <v>1739</v>
      </c>
      <c r="BJ29" s="37">
        <v>1292</v>
      </c>
      <c r="BK29" s="37">
        <v>1746</v>
      </c>
      <c r="BL29" s="37">
        <v>778</v>
      </c>
      <c r="BM29" s="37">
        <v>511</v>
      </c>
      <c r="BN29" s="37">
        <v>25</v>
      </c>
      <c r="BO29" s="37">
        <v>861</v>
      </c>
      <c r="BP29" s="37">
        <v>786</v>
      </c>
      <c r="BQ29" s="37">
        <v>1569</v>
      </c>
      <c r="BR29" s="37">
        <v>1941</v>
      </c>
      <c r="BS29" s="37">
        <v>655</v>
      </c>
      <c r="BT29" s="37">
        <v>1714</v>
      </c>
      <c r="BU29" s="37">
        <v>1709</v>
      </c>
      <c r="BV29" s="37">
        <v>1521</v>
      </c>
      <c r="BW29" s="37">
        <v>2791</v>
      </c>
      <c r="BX29" s="37">
        <v>1504</v>
      </c>
      <c r="BY29" s="37">
        <v>2025</v>
      </c>
      <c r="BZ29" s="37">
        <v>897</v>
      </c>
      <c r="CA29" s="37">
        <v>1347</v>
      </c>
      <c r="CB29" s="37">
        <v>164</v>
      </c>
      <c r="CC29" s="37">
        <v>1689</v>
      </c>
      <c r="CD29" s="37">
        <v>1840</v>
      </c>
      <c r="CE29" s="37">
        <v>539</v>
      </c>
      <c r="CF29" s="37">
        <v>1492</v>
      </c>
      <c r="CG29" s="37">
        <v>1405</v>
      </c>
      <c r="CH29" s="37">
        <v>1171</v>
      </c>
      <c r="CI29" s="37">
        <v>1564</v>
      </c>
      <c r="CJ29" s="37">
        <v>665</v>
      </c>
      <c r="CK29" s="37">
        <v>1495</v>
      </c>
      <c r="CL29" s="37">
        <v>1566</v>
      </c>
      <c r="CM29" s="37">
        <v>1435</v>
      </c>
      <c r="CN29" s="37">
        <v>1879</v>
      </c>
      <c r="CO29" s="37">
        <v>1010</v>
      </c>
      <c r="CP29" s="37">
        <v>109</v>
      </c>
      <c r="CQ29" s="37">
        <v>687</v>
      </c>
      <c r="CR29" s="37">
        <v>1600</v>
      </c>
      <c r="CS29" s="37">
        <v>1296</v>
      </c>
      <c r="CT29" s="37">
        <v>1382</v>
      </c>
      <c r="CU29" s="37">
        <v>1939</v>
      </c>
      <c r="CV29" s="37">
        <v>1674</v>
      </c>
      <c r="CW29" s="37">
        <v>1765</v>
      </c>
      <c r="CX29" s="37">
        <v>708</v>
      </c>
      <c r="CY29" s="37">
        <v>1665</v>
      </c>
      <c r="CZ29" s="37">
        <v>1565</v>
      </c>
      <c r="DA29" s="37">
        <v>726</v>
      </c>
      <c r="DB29" s="37">
        <v>2608</v>
      </c>
      <c r="DC29" s="37">
        <v>828</v>
      </c>
      <c r="DD29" s="37">
        <v>278</v>
      </c>
      <c r="DE29" s="37">
        <v>666</v>
      </c>
      <c r="DF29" s="37">
        <v>666</v>
      </c>
      <c r="DG29" s="37">
        <v>942</v>
      </c>
      <c r="DH29" s="37">
        <v>958</v>
      </c>
      <c r="DI29" s="37">
        <v>1482</v>
      </c>
      <c r="DJ29" s="37">
        <v>1538</v>
      </c>
      <c r="DK29" s="37">
        <v>561</v>
      </c>
      <c r="DL29" s="37">
        <v>1845</v>
      </c>
      <c r="DM29" s="37">
        <v>1503</v>
      </c>
      <c r="DN29" s="37">
        <v>782</v>
      </c>
      <c r="DO29" s="37">
        <v>1403</v>
      </c>
      <c r="DP29" s="37">
        <v>1399</v>
      </c>
      <c r="DQ29" s="37">
        <v>1567</v>
      </c>
      <c r="DR29" s="37">
        <v>1645</v>
      </c>
      <c r="DS29" s="37">
        <v>1695</v>
      </c>
      <c r="DT29" s="37">
        <v>1726</v>
      </c>
      <c r="DU29" s="37">
        <v>777</v>
      </c>
      <c r="DV29" s="37">
        <v>1622</v>
      </c>
      <c r="DW29" s="37">
        <v>606</v>
      </c>
      <c r="DX29" s="37">
        <v>505</v>
      </c>
      <c r="DY29" s="37">
        <v>1846</v>
      </c>
      <c r="DZ29" s="37">
        <v>527</v>
      </c>
      <c r="EA29" s="37">
        <v>626</v>
      </c>
      <c r="EB29" s="37">
        <v>2023</v>
      </c>
      <c r="EC29" s="37">
        <v>1835</v>
      </c>
      <c r="ED29" s="37">
        <v>1464</v>
      </c>
      <c r="EE29" s="37">
        <v>310</v>
      </c>
      <c r="EF29" s="37">
        <v>1616</v>
      </c>
      <c r="EG29" s="37">
        <v>1986</v>
      </c>
      <c r="EH29" s="37">
        <v>2380</v>
      </c>
      <c r="EI29" s="37">
        <v>945</v>
      </c>
      <c r="EJ29" s="37">
        <v>405</v>
      </c>
      <c r="EK29" s="37">
        <v>918</v>
      </c>
      <c r="EL29" s="37">
        <v>1048</v>
      </c>
      <c r="EM29" s="37">
        <v>1260</v>
      </c>
      <c r="EN29" s="37">
        <v>1269</v>
      </c>
      <c r="EO29" s="37">
        <v>1010</v>
      </c>
      <c r="EP29" s="37">
        <v>1242</v>
      </c>
      <c r="EQ29" s="37">
        <v>625</v>
      </c>
      <c r="ER29" s="37">
        <v>275</v>
      </c>
      <c r="ES29" s="37">
        <v>621</v>
      </c>
    </row>
    <row r="30" spans="1:149" x14ac:dyDescent="0.3">
      <c r="A30" s="37" t="s">
        <v>7</v>
      </c>
      <c r="B30" s="37">
        <v>705</v>
      </c>
      <c r="C30" s="37">
        <v>404</v>
      </c>
      <c r="D30" s="37">
        <v>490</v>
      </c>
      <c r="E30" s="37">
        <v>349</v>
      </c>
      <c r="F30" s="37">
        <v>794</v>
      </c>
      <c r="G30" s="37">
        <v>836</v>
      </c>
      <c r="H30" s="37">
        <v>1113</v>
      </c>
      <c r="I30" s="37">
        <v>1223</v>
      </c>
      <c r="J30" s="37">
        <v>364</v>
      </c>
      <c r="K30" s="37">
        <v>410</v>
      </c>
      <c r="L30" s="37">
        <v>1438</v>
      </c>
      <c r="M30" s="37">
        <v>1117</v>
      </c>
      <c r="N30" s="37">
        <v>1413</v>
      </c>
      <c r="O30" s="37">
        <v>614</v>
      </c>
      <c r="P30" s="37">
        <v>948</v>
      </c>
      <c r="Q30" s="37">
        <v>2192</v>
      </c>
      <c r="R30" s="37">
        <v>1072</v>
      </c>
      <c r="S30" s="37">
        <v>1511</v>
      </c>
      <c r="T30" s="37">
        <v>1386</v>
      </c>
      <c r="U30" s="37">
        <v>913</v>
      </c>
      <c r="V30" s="37">
        <v>1613</v>
      </c>
      <c r="W30" s="37">
        <v>1043</v>
      </c>
      <c r="X30" s="37">
        <v>548</v>
      </c>
      <c r="Y30" s="37">
        <v>893</v>
      </c>
      <c r="Z30" s="37">
        <v>1282</v>
      </c>
      <c r="AA30" s="37">
        <v>792</v>
      </c>
      <c r="AB30" s="37">
        <v>2123</v>
      </c>
      <c r="AC30" s="37">
        <v>1525</v>
      </c>
      <c r="AD30" s="37">
        <v>1686</v>
      </c>
      <c r="AE30" s="37">
        <v>1154</v>
      </c>
      <c r="AF30" s="37">
        <v>1360</v>
      </c>
      <c r="AG30" s="37">
        <v>1487</v>
      </c>
      <c r="AH30" s="37">
        <v>1412</v>
      </c>
      <c r="AI30" s="37">
        <v>1456</v>
      </c>
      <c r="AJ30" s="37">
        <v>1666</v>
      </c>
      <c r="AK30" s="37">
        <v>1663</v>
      </c>
      <c r="AL30" s="37">
        <v>1274</v>
      </c>
      <c r="AM30" s="37">
        <v>1458</v>
      </c>
      <c r="AN30" s="37">
        <v>1153</v>
      </c>
      <c r="AO30" s="37">
        <v>904</v>
      </c>
      <c r="AP30" s="37">
        <v>1417</v>
      </c>
      <c r="AQ30" s="37">
        <v>1185</v>
      </c>
      <c r="AR30" s="37">
        <v>1362</v>
      </c>
      <c r="AS30" s="37">
        <v>1958</v>
      </c>
      <c r="AT30" s="37">
        <v>1684</v>
      </c>
      <c r="AU30" s="37">
        <v>709</v>
      </c>
      <c r="AV30" s="37">
        <v>994</v>
      </c>
      <c r="AW30" s="37">
        <v>1094</v>
      </c>
      <c r="AX30" s="37">
        <v>1209</v>
      </c>
      <c r="AY30" s="37">
        <v>925</v>
      </c>
      <c r="AZ30" s="37">
        <v>935</v>
      </c>
      <c r="BA30" s="37">
        <v>943</v>
      </c>
      <c r="BB30" s="37">
        <v>839</v>
      </c>
      <c r="BC30" s="37">
        <v>1129</v>
      </c>
      <c r="BD30" s="37">
        <v>1374</v>
      </c>
      <c r="BE30" s="37">
        <v>2306</v>
      </c>
      <c r="BF30" s="37">
        <v>583</v>
      </c>
      <c r="BG30" s="37">
        <v>1389</v>
      </c>
      <c r="BH30" s="37">
        <v>944</v>
      </c>
      <c r="BI30" s="37">
        <v>1106</v>
      </c>
      <c r="BJ30" s="37">
        <v>418</v>
      </c>
      <c r="BK30" s="37">
        <v>906</v>
      </c>
      <c r="BL30" s="37">
        <v>265</v>
      </c>
      <c r="BM30" s="37">
        <v>1007</v>
      </c>
      <c r="BN30" s="37">
        <v>861</v>
      </c>
      <c r="BO30" s="37">
        <v>25</v>
      </c>
      <c r="BP30" s="37">
        <v>521</v>
      </c>
      <c r="BQ30" s="37">
        <v>635</v>
      </c>
      <c r="BR30" s="37">
        <v>1280</v>
      </c>
      <c r="BS30" s="37">
        <v>297</v>
      </c>
      <c r="BT30" s="37">
        <v>761</v>
      </c>
      <c r="BU30" s="37">
        <v>974</v>
      </c>
      <c r="BV30" s="37">
        <v>643</v>
      </c>
      <c r="BW30" s="37">
        <v>2605</v>
      </c>
      <c r="BX30" s="37">
        <v>707</v>
      </c>
      <c r="BY30" s="37">
        <v>1364</v>
      </c>
      <c r="BZ30" s="37">
        <v>1484</v>
      </c>
      <c r="CA30" s="37">
        <v>779</v>
      </c>
      <c r="CB30" s="37">
        <v>746</v>
      </c>
      <c r="CC30" s="37">
        <v>1028</v>
      </c>
      <c r="CD30" s="37">
        <v>1179</v>
      </c>
      <c r="CE30" s="37">
        <v>805</v>
      </c>
      <c r="CF30" s="37">
        <v>1628</v>
      </c>
      <c r="CG30" s="37">
        <v>318</v>
      </c>
      <c r="CH30" s="37">
        <v>2015</v>
      </c>
      <c r="CI30" s="37">
        <v>741</v>
      </c>
      <c r="CJ30" s="37">
        <v>1510</v>
      </c>
      <c r="CK30" s="37">
        <v>617</v>
      </c>
      <c r="CL30" s="37">
        <v>998</v>
      </c>
      <c r="CM30" s="37">
        <v>866</v>
      </c>
      <c r="CN30" s="37">
        <v>1218</v>
      </c>
      <c r="CO30" s="37">
        <v>1854</v>
      </c>
      <c r="CP30" s="37">
        <v>983</v>
      </c>
      <c r="CQ30" s="37">
        <v>314</v>
      </c>
      <c r="CR30" s="37">
        <v>966</v>
      </c>
      <c r="CS30" s="37">
        <v>469</v>
      </c>
      <c r="CT30" s="37">
        <v>1449</v>
      </c>
      <c r="CU30" s="37">
        <v>1129</v>
      </c>
      <c r="CV30" s="37">
        <v>1035</v>
      </c>
      <c r="CW30" s="37">
        <v>1341</v>
      </c>
      <c r="CX30" s="37">
        <v>584</v>
      </c>
      <c r="CY30" s="37">
        <v>1023</v>
      </c>
      <c r="CZ30" s="37">
        <v>1397</v>
      </c>
      <c r="DA30" s="37">
        <v>1473</v>
      </c>
      <c r="DB30" s="37">
        <v>2421</v>
      </c>
      <c r="DC30" s="37">
        <v>1672</v>
      </c>
      <c r="DD30" s="37">
        <v>539</v>
      </c>
      <c r="DE30" s="37">
        <v>419</v>
      </c>
      <c r="DF30" s="37">
        <v>419</v>
      </c>
      <c r="DG30" s="37">
        <v>439</v>
      </c>
      <c r="DH30" s="37">
        <v>422</v>
      </c>
      <c r="DI30" s="37">
        <v>901</v>
      </c>
      <c r="DJ30" s="37">
        <v>1221</v>
      </c>
      <c r="DK30" s="37">
        <v>593</v>
      </c>
      <c r="DL30" s="37">
        <v>1683</v>
      </c>
      <c r="DM30" s="37">
        <v>1418</v>
      </c>
      <c r="DN30" s="37">
        <v>731</v>
      </c>
      <c r="DO30" s="37">
        <v>606</v>
      </c>
      <c r="DP30" s="37">
        <v>1210</v>
      </c>
      <c r="DQ30" s="37">
        <v>817</v>
      </c>
      <c r="DR30" s="37">
        <v>909</v>
      </c>
      <c r="DS30" s="37">
        <v>1027</v>
      </c>
      <c r="DT30" s="37">
        <v>1548</v>
      </c>
      <c r="DU30" s="37">
        <v>1621</v>
      </c>
      <c r="DV30" s="37">
        <v>1451</v>
      </c>
      <c r="DW30" s="37">
        <v>450</v>
      </c>
      <c r="DX30" s="37">
        <v>805</v>
      </c>
      <c r="DY30" s="37">
        <v>1042</v>
      </c>
      <c r="DZ30" s="37">
        <v>684</v>
      </c>
      <c r="EA30" s="37">
        <v>1213</v>
      </c>
      <c r="EB30" s="37">
        <v>1837</v>
      </c>
      <c r="EC30" s="37">
        <v>1411</v>
      </c>
      <c r="ED30" s="37">
        <v>1275</v>
      </c>
      <c r="EE30" s="37">
        <v>715</v>
      </c>
      <c r="EF30" s="37">
        <v>929</v>
      </c>
      <c r="EG30" s="37">
        <v>1014</v>
      </c>
      <c r="EH30" s="37">
        <v>1719</v>
      </c>
      <c r="EI30" s="37">
        <v>160</v>
      </c>
      <c r="EJ30" s="37">
        <v>1264</v>
      </c>
      <c r="EK30" s="37">
        <v>1762</v>
      </c>
      <c r="EL30" s="37">
        <v>1892</v>
      </c>
      <c r="EM30" s="37">
        <v>2105</v>
      </c>
      <c r="EN30" s="37">
        <v>391</v>
      </c>
      <c r="EO30" s="37">
        <v>56</v>
      </c>
      <c r="EP30" s="37">
        <v>955</v>
      </c>
      <c r="EQ30" s="37">
        <v>1632</v>
      </c>
      <c r="ER30" s="37">
        <v>1134</v>
      </c>
      <c r="ES30" s="37">
        <v>1225</v>
      </c>
    </row>
    <row r="31" spans="1:149" x14ac:dyDescent="0.3">
      <c r="A31" s="37" t="s">
        <v>18</v>
      </c>
      <c r="B31" s="37">
        <v>241</v>
      </c>
      <c r="C31" s="37">
        <v>678</v>
      </c>
      <c r="D31" s="37">
        <v>1080</v>
      </c>
      <c r="E31" s="37">
        <v>984</v>
      </c>
      <c r="F31" s="37">
        <v>290</v>
      </c>
      <c r="G31" s="37">
        <v>737</v>
      </c>
      <c r="H31" s="37">
        <v>482</v>
      </c>
      <c r="I31" s="37">
        <v>729</v>
      </c>
      <c r="J31" s="37">
        <v>715</v>
      </c>
      <c r="K31" s="37">
        <v>1004</v>
      </c>
      <c r="L31" s="37">
        <v>1619</v>
      </c>
      <c r="M31" s="37">
        <v>964</v>
      </c>
      <c r="N31" s="37">
        <v>2003</v>
      </c>
      <c r="O31" s="37">
        <v>1204</v>
      </c>
      <c r="P31" s="37">
        <v>439</v>
      </c>
      <c r="Q31" s="37">
        <v>1906</v>
      </c>
      <c r="R31" s="37">
        <v>788</v>
      </c>
      <c r="S31" s="37">
        <v>1225</v>
      </c>
      <c r="T31" s="37">
        <v>755</v>
      </c>
      <c r="U31" s="37">
        <v>1503</v>
      </c>
      <c r="V31" s="37">
        <v>1327</v>
      </c>
      <c r="W31" s="37">
        <v>497</v>
      </c>
      <c r="X31" s="37">
        <v>846</v>
      </c>
      <c r="Y31" s="37">
        <v>262</v>
      </c>
      <c r="Z31" s="37">
        <v>1749</v>
      </c>
      <c r="AA31" s="37">
        <v>335</v>
      </c>
      <c r="AB31" s="37">
        <v>1837</v>
      </c>
      <c r="AC31" s="37">
        <v>1426</v>
      </c>
      <c r="AD31" s="37">
        <v>2163</v>
      </c>
      <c r="AE31" s="37">
        <v>524</v>
      </c>
      <c r="AF31" s="37">
        <v>1074</v>
      </c>
      <c r="AG31" s="37">
        <v>2198</v>
      </c>
      <c r="AH31" s="37">
        <v>2123</v>
      </c>
      <c r="AI31" s="37">
        <v>2167</v>
      </c>
      <c r="AJ31" s="37">
        <v>2256</v>
      </c>
      <c r="AK31" s="37">
        <v>2374</v>
      </c>
      <c r="AL31" s="37">
        <v>1729</v>
      </c>
      <c r="AM31" s="37">
        <v>1175</v>
      </c>
      <c r="AN31" s="37">
        <v>1743</v>
      </c>
      <c r="AO31" s="37">
        <v>273</v>
      </c>
      <c r="AP31" s="37">
        <v>1306</v>
      </c>
      <c r="AQ31" s="37">
        <v>900</v>
      </c>
      <c r="AR31" s="37">
        <v>1251</v>
      </c>
      <c r="AS31" s="37">
        <v>2548</v>
      </c>
      <c r="AT31" s="37">
        <v>2274</v>
      </c>
      <c r="AU31" s="37">
        <v>373</v>
      </c>
      <c r="AV31" s="37">
        <v>710</v>
      </c>
      <c r="AW31" s="37">
        <v>548</v>
      </c>
      <c r="AX31" s="37">
        <v>1098</v>
      </c>
      <c r="AY31" s="37">
        <v>294</v>
      </c>
      <c r="AZ31" s="37">
        <v>1611</v>
      </c>
      <c r="BA31" s="37">
        <v>370</v>
      </c>
      <c r="BB31" s="37">
        <v>1429</v>
      </c>
      <c r="BC31" s="37">
        <v>1840</v>
      </c>
      <c r="BD31" s="37">
        <v>743</v>
      </c>
      <c r="BE31" s="37">
        <v>2020</v>
      </c>
      <c r="BF31" s="37">
        <v>349</v>
      </c>
      <c r="BG31" s="37">
        <v>1105</v>
      </c>
      <c r="BH31" s="37">
        <v>398</v>
      </c>
      <c r="BI31" s="37">
        <v>475</v>
      </c>
      <c r="BJ31" s="37">
        <v>574</v>
      </c>
      <c r="BK31" s="37">
        <v>333</v>
      </c>
      <c r="BL31" s="37">
        <v>699</v>
      </c>
      <c r="BM31" s="37">
        <v>1597</v>
      </c>
      <c r="BN31" s="37">
        <v>1572</v>
      </c>
      <c r="BO31" s="37">
        <v>636</v>
      </c>
      <c r="BP31" s="37">
        <v>837</v>
      </c>
      <c r="BQ31" s="37">
        <v>25</v>
      </c>
      <c r="BR31" s="37">
        <v>649</v>
      </c>
      <c r="BS31" s="37">
        <v>887</v>
      </c>
      <c r="BT31" s="37">
        <v>180</v>
      </c>
      <c r="BU31" s="37">
        <v>343</v>
      </c>
      <c r="BV31" s="37">
        <v>337</v>
      </c>
      <c r="BW31" s="37">
        <v>2319</v>
      </c>
      <c r="BX31" s="37">
        <v>954</v>
      </c>
      <c r="BY31" s="37">
        <v>734</v>
      </c>
      <c r="BZ31" s="37">
        <v>2074</v>
      </c>
      <c r="CA31" s="37">
        <v>520</v>
      </c>
      <c r="CB31" s="37">
        <v>1457</v>
      </c>
      <c r="CC31" s="37">
        <v>397</v>
      </c>
      <c r="CD31" s="37">
        <v>547</v>
      </c>
      <c r="CE31" s="37">
        <v>1395</v>
      </c>
      <c r="CF31" s="37">
        <v>1528</v>
      </c>
      <c r="CG31" s="37">
        <v>253</v>
      </c>
      <c r="CH31" s="37">
        <v>2605</v>
      </c>
      <c r="CI31" s="37">
        <v>110</v>
      </c>
      <c r="CJ31" s="37">
        <v>2100</v>
      </c>
      <c r="CK31" s="37">
        <v>119</v>
      </c>
      <c r="CL31" s="37">
        <v>642</v>
      </c>
      <c r="CM31" s="37">
        <v>577</v>
      </c>
      <c r="CN31" s="37">
        <v>587</v>
      </c>
      <c r="CO31" s="37">
        <v>2444</v>
      </c>
      <c r="CP31" s="37">
        <v>1694</v>
      </c>
      <c r="CQ31" s="37">
        <v>904</v>
      </c>
      <c r="CR31" s="37">
        <v>335</v>
      </c>
      <c r="CS31" s="37">
        <v>604</v>
      </c>
      <c r="CT31" s="37">
        <v>1484</v>
      </c>
      <c r="CU31" s="37">
        <v>558</v>
      </c>
      <c r="CV31" s="37">
        <v>428</v>
      </c>
      <c r="CW31" s="37">
        <v>1058</v>
      </c>
      <c r="CX31" s="37">
        <v>1147</v>
      </c>
      <c r="CY31" s="37">
        <v>392</v>
      </c>
      <c r="CZ31" s="37">
        <v>1114</v>
      </c>
      <c r="DA31" s="37">
        <v>2063</v>
      </c>
      <c r="DB31" s="37">
        <v>2135</v>
      </c>
      <c r="DC31" s="37">
        <v>2262</v>
      </c>
      <c r="DD31" s="37">
        <v>1262</v>
      </c>
      <c r="DE31" s="37">
        <v>1009</v>
      </c>
      <c r="DF31" s="37">
        <v>1009</v>
      </c>
      <c r="DG31" s="37">
        <v>904</v>
      </c>
      <c r="DH31" s="37">
        <v>888</v>
      </c>
      <c r="DI31" s="37">
        <v>270</v>
      </c>
      <c r="DJ31" s="37">
        <v>1118</v>
      </c>
      <c r="DK31" s="37">
        <v>1183</v>
      </c>
      <c r="DL31" s="37">
        <v>1399</v>
      </c>
      <c r="DM31" s="37">
        <v>1318</v>
      </c>
      <c r="DN31" s="37">
        <v>1207</v>
      </c>
      <c r="DO31" s="37">
        <v>852</v>
      </c>
      <c r="DP31" s="37">
        <v>1264</v>
      </c>
      <c r="DQ31" s="37">
        <v>186</v>
      </c>
      <c r="DR31" s="37">
        <v>278</v>
      </c>
      <c r="DS31" s="37">
        <v>503</v>
      </c>
      <c r="DT31" s="37">
        <v>1268</v>
      </c>
      <c r="DU31" s="37">
        <v>2211</v>
      </c>
      <c r="DV31" s="37">
        <v>1168</v>
      </c>
      <c r="DW31" s="37">
        <v>1040</v>
      </c>
      <c r="DX31" s="37">
        <v>1395</v>
      </c>
      <c r="DY31" s="37">
        <v>475</v>
      </c>
      <c r="DZ31" s="37">
        <v>1274</v>
      </c>
      <c r="EA31" s="37">
        <v>1803</v>
      </c>
      <c r="EB31" s="37">
        <v>1551</v>
      </c>
      <c r="EC31" s="37">
        <v>1128</v>
      </c>
      <c r="ED31" s="37">
        <v>991</v>
      </c>
      <c r="EE31" s="37">
        <v>1305</v>
      </c>
      <c r="EF31" s="37">
        <v>298</v>
      </c>
      <c r="EG31" s="37">
        <v>468</v>
      </c>
      <c r="EH31" s="37">
        <v>1089</v>
      </c>
      <c r="EI31" s="37">
        <v>509</v>
      </c>
      <c r="EJ31" s="37">
        <v>1975</v>
      </c>
      <c r="EK31" s="37">
        <v>2352</v>
      </c>
      <c r="EL31" s="37">
        <v>2482</v>
      </c>
      <c r="EM31" s="37">
        <v>2695</v>
      </c>
      <c r="EN31" s="37">
        <v>394</v>
      </c>
      <c r="EO31" s="37">
        <v>511</v>
      </c>
      <c r="EP31" s="37">
        <v>856</v>
      </c>
      <c r="EQ31" s="37">
        <v>2222</v>
      </c>
      <c r="ER31" s="37">
        <v>1845</v>
      </c>
      <c r="ES31" s="37">
        <v>1766</v>
      </c>
    </row>
    <row r="32" spans="1:149" x14ac:dyDescent="0.3">
      <c r="A32" s="37" t="s">
        <v>26</v>
      </c>
      <c r="B32" s="37">
        <v>1288</v>
      </c>
      <c r="C32" s="37">
        <v>2060</v>
      </c>
      <c r="D32" s="37">
        <v>1722</v>
      </c>
      <c r="E32" s="37">
        <v>1377</v>
      </c>
      <c r="F32" s="37">
        <v>1393</v>
      </c>
      <c r="G32" s="37">
        <v>795</v>
      </c>
      <c r="H32" s="37">
        <v>1694</v>
      </c>
      <c r="I32" s="37">
        <v>1942</v>
      </c>
      <c r="J32" s="37">
        <v>1922</v>
      </c>
      <c r="K32" s="37">
        <v>1606</v>
      </c>
      <c r="L32" s="37">
        <v>247</v>
      </c>
      <c r="M32" s="37">
        <v>676</v>
      </c>
      <c r="N32" s="37">
        <v>1859</v>
      </c>
      <c r="O32" s="37">
        <v>1847</v>
      </c>
      <c r="P32" s="37">
        <v>1265</v>
      </c>
      <c r="Q32" s="37">
        <v>914</v>
      </c>
      <c r="R32" s="37">
        <v>885</v>
      </c>
      <c r="S32" s="37">
        <v>498</v>
      </c>
      <c r="T32" s="37">
        <v>1967</v>
      </c>
      <c r="U32" s="37">
        <v>2039</v>
      </c>
      <c r="V32" s="37">
        <v>400</v>
      </c>
      <c r="W32" s="37">
        <v>1819</v>
      </c>
      <c r="X32" s="37">
        <v>2230</v>
      </c>
      <c r="Y32" s="37">
        <v>1631</v>
      </c>
      <c r="Z32" s="37">
        <v>441</v>
      </c>
      <c r="AA32" s="37">
        <v>1859</v>
      </c>
      <c r="AB32" s="37">
        <v>845</v>
      </c>
      <c r="AC32" s="37">
        <v>104</v>
      </c>
      <c r="AD32" s="37">
        <v>2282</v>
      </c>
      <c r="AE32" s="37">
        <v>1736</v>
      </c>
      <c r="AF32" s="37">
        <v>657</v>
      </c>
      <c r="AG32" s="37">
        <v>1671</v>
      </c>
      <c r="AH32" s="37">
        <v>1765</v>
      </c>
      <c r="AI32" s="37">
        <v>1696</v>
      </c>
      <c r="AJ32" s="37">
        <v>2109</v>
      </c>
      <c r="AK32" s="37">
        <v>1847</v>
      </c>
      <c r="AL32" s="37">
        <v>421</v>
      </c>
      <c r="AM32" s="37">
        <v>589</v>
      </c>
      <c r="AN32" s="37">
        <v>1919</v>
      </c>
      <c r="AO32" s="37">
        <v>1508</v>
      </c>
      <c r="AP32" s="37">
        <v>330</v>
      </c>
      <c r="AQ32" s="37">
        <v>770</v>
      </c>
      <c r="AR32" s="37">
        <v>275</v>
      </c>
      <c r="AS32" s="37">
        <v>2284</v>
      </c>
      <c r="AT32" s="37">
        <v>2010</v>
      </c>
      <c r="AU32" s="37">
        <v>1158</v>
      </c>
      <c r="AV32" s="37">
        <v>895</v>
      </c>
      <c r="AW32" s="37">
        <v>1914</v>
      </c>
      <c r="AX32" s="37">
        <v>484</v>
      </c>
      <c r="AY32" s="37">
        <v>1484</v>
      </c>
      <c r="AZ32" s="37">
        <v>1285</v>
      </c>
      <c r="BA32" s="37">
        <v>1701</v>
      </c>
      <c r="BB32" s="37">
        <v>1697</v>
      </c>
      <c r="BC32" s="37">
        <v>1256</v>
      </c>
      <c r="BD32" s="37">
        <v>1956</v>
      </c>
      <c r="BE32" s="37">
        <v>1028</v>
      </c>
      <c r="BF32" s="37">
        <v>1266</v>
      </c>
      <c r="BG32" s="37">
        <v>602</v>
      </c>
      <c r="BH32" s="37">
        <v>1842</v>
      </c>
      <c r="BI32" s="37">
        <v>1517</v>
      </c>
      <c r="BJ32" s="37">
        <v>1978</v>
      </c>
      <c r="BK32" s="37">
        <v>1667</v>
      </c>
      <c r="BL32" s="37">
        <v>1391</v>
      </c>
      <c r="BM32" s="37">
        <v>1985</v>
      </c>
      <c r="BN32" s="37">
        <v>1490</v>
      </c>
      <c r="BO32" s="37">
        <v>1627</v>
      </c>
      <c r="BP32" s="37">
        <v>1170</v>
      </c>
      <c r="BQ32" s="37">
        <v>1527</v>
      </c>
      <c r="BR32" s="37">
        <v>1862</v>
      </c>
      <c r="BS32" s="37">
        <v>1555</v>
      </c>
      <c r="BT32" s="37">
        <v>1666</v>
      </c>
      <c r="BU32" s="37">
        <v>1630</v>
      </c>
      <c r="BV32" s="37">
        <v>1866</v>
      </c>
      <c r="BW32" s="37">
        <v>1327</v>
      </c>
      <c r="BX32" s="37">
        <v>2376</v>
      </c>
      <c r="BY32" s="37">
        <v>1946</v>
      </c>
      <c r="BZ32" s="37">
        <v>2181</v>
      </c>
      <c r="CA32" s="37">
        <v>1006</v>
      </c>
      <c r="CB32" s="37">
        <v>1446</v>
      </c>
      <c r="CC32" s="37">
        <v>1610</v>
      </c>
      <c r="CD32" s="37">
        <v>1761</v>
      </c>
      <c r="CE32" s="37">
        <v>2023</v>
      </c>
      <c r="CF32" s="37">
        <v>25</v>
      </c>
      <c r="CG32" s="37">
        <v>1519</v>
      </c>
      <c r="CH32" s="37">
        <v>2334</v>
      </c>
      <c r="CI32" s="37">
        <v>1580</v>
      </c>
      <c r="CJ32" s="37">
        <v>1841</v>
      </c>
      <c r="CK32" s="37">
        <v>1642</v>
      </c>
      <c r="CL32" s="37">
        <v>1133</v>
      </c>
      <c r="CM32" s="37">
        <v>994</v>
      </c>
      <c r="CN32" s="37">
        <v>1800</v>
      </c>
      <c r="CO32" s="37">
        <v>2121</v>
      </c>
      <c r="CP32" s="37">
        <v>1584</v>
      </c>
      <c r="CQ32" s="37">
        <v>1693</v>
      </c>
      <c r="CR32" s="37">
        <v>1521</v>
      </c>
      <c r="CS32" s="37">
        <v>2065</v>
      </c>
      <c r="CT32" s="37">
        <v>129</v>
      </c>
      <c r="CU32" s="37">
        <v>1867</v>
      </c>
      <c r="CV32" s="37">
        <v>1363</v>
      </c>
      <c r="CW32" s="37">
        <v>677</v>
      </c>
      <c r="CX32" s="37">
        <v>1951</v>
      </c>
      <c r="CY32" s="37">
        <v>1586</v>
      </c>
      <c r="CZ32" s="37">
        <v>595</v>
      </c>
      <c r="DA32" s="37">
        <v>2010</v>
      </c>
      <c r="DB32" s="37">
        <v>1143</v>
      </c>
      <c r="DC32" s="37">
        <v>2049</v>
      </c>
      <c r="DD32" s="37">
        <v>1456</v>
      </c>
      <c r="DE32" s="37">
        <v>1797</v>
      </c>
      <c r="DF32" s="37">
        <v>1797</v>
      </c>
      <c r="DG32" s="37">
        <v>1867</v>
      </c>
      <c r="DH32" s="37">
        <v>1850</v>
      </c>
      <c r="DI32" s="37">
        <v>1432</v>
      </c>
      <c r="DJ32" s="37">
        <v>594</v>
      </c>
      <c r="DK32" s="37">
        <v>1843</v>
      </c>
      <c r="DL32" s="37">
        <v>471</v>
      </c>
      <c r="DM32" s="37">
        <v>299</v>
      </c>
      <c r="DN32" s="37">
        <v>832</v>
      </c>
      <c r="DO32" s="37">
        <v>2274</v>
      </c>
      <c r="DP32" s="37">
        <v>403</v>
      </c>
      <c r="DQ32" s="37">
        <v>1517</v>
      </c>
      <c r="DR32" s="37">
        <v>1566</v>
      </c>
      <c r="DS32" s="37">
        <v>1345</v>
      </c>
      <c r="DT32" s="37">
        <v>504</v>
      </c>
      <c r="DU32" s="37">
        <v>1947</v>
      </c>
      <c r="DV32" s="37">
        <v>550</v>
      </c>
      <c r="DW32" s="37">
        <v>1754</v>
      </c>
      <c r="DX32" s="37">
        <v>1989</v>
      </c>
      <c r="DY32" s="37">
        <v>1767</v>
      </c>
      <c r="DZ32" s="37">
        <v>1921</v>
      </c>
      <c r="EA32" s="37">
        <v>1964</v>
      </c>
      <c r="EB32" s="37">
        <v>559</v>
      </c>
      <c r="EC32" s="37">
        <v>661</v>
      </c>
      <c r="ED32" s="37">
        <v>722</v>
      </c>
      <c r="EE32" s="37">
        <v>1816</v>
      </c>
      <c r="EF32" s="37">
        <v>1537</v>
      </c>
      <c r="EG32" s="37">
        <v>1907</v>
      </c>
      <c r="EH32" s="37">
        <v>2301</v>
      </c>
      <c r="EI32" s="37">
        <v>1556</v>
      </c>
      <c r="EJ32" s="37">
        <v>1100</v>
      </c>
      <c r="EK32" s="37">
        <v>1990</v>
      </c>
      <c r="EL32" s="37">
        <v>2218</v>
      </c>
      <c r="EM32" s="37">
        <v>2385</v>
      </c>
      <c r="EN32" s="37">
        <v>1799</v>
      </c>
      <c r="EO32" s="37">
        <v>1700</v>
      </c>
      <c r="EP32" s="37">
        <v>682</v>
      </c>
      <c r="EQ32" s="37">
        <v>1738</v>
      </c>
      <c r="ER32" s="37">
        <v>1218</v>
      </c>
      <c r="ES32" s="37">
        <v>883</v>
      </c>
    </row>
    <row r="33" spans="1:149" x14ac:dyDescent="0.3">
      <c r="A33" s="37" t="s">
        <v>19</v>
      </c>
      <c r="B33" s="37">
        <v>336</v>
      </c>
      <c r="C33" s="37">
        <v>1175</v>
      </c>
      <c r="D33" s="37">
        <v>1351</v>
      </c>
      <c r="E33" s="37">
        <v>1108</v>
      </c>
      <c r="F33" s="37">
        <v>440</v>
      </c>
      <c r="G33" s="37">
        <v>201</v>
      </c>
      <c r="H33" s="37">
        <v>741</v>
      </c>
      <c r="I33" s="37">
        <v>989</v>
      </c>
      <c r="J33" s="37">
        <v>1234</v>
      </c>
      <c r="K33" s="37">
        <v>1275</v>
      </c>
      <c r="L33" s="37">
        <v>1091</v>
      </c>
      <c r="M33" s="37">
        <v>384</v>
      </c>
      <c r="N33" s="37">
        <v>2023</v>
      </c>
      <c r="O33" s="37">
        <v>1475</v>
      </c>
      <c r="P33" s="37">
        <v>284</v>
      </c>
      <c r="Q33" s="37">
        <v>1326</v>
      </c>
      <c r="R33" s="37">
        <v>206</v>
      </c>
      <c r="S33" s="37">
        <v>645</v>
      </c>
      <c r="T33" s="37">
        <v>1014</v>
      </c>
      <c r="U33" s="37">
        <v>1774</v>
      </c>
      <c r="V33" s="37">
        <v>747</v>
      </c>
      <c r="W33" s="37">
        <v>866</v>
      </c>
      <c r="X33" s="37">
        <v>1346</v>
      </c>
      <c r="Y33" s="37">
        <v>678</v>
      </c>
      <c r="Z33" s="37">
        <v>1198</v>
      </c>
      <c r="AA33" s="37">
        <v>907</v>
      </c>
      <c r="AB33" s="37">
        <v>1257</v>
      </c>
      <c r="AC33" s="37">
        <v>890</v>
      </c>
      <c r="AD33" s="37">
        <v>2385</v>
      </c>
      <c r="AE33" s="37">
        <v>783</v>
      </c>
      <c r="AF33" s="37">
        <v>494</v>
      </c>
      <c r="AG33" s="37">
        <v>2059</v>
      </c>
      <c r="AH33" s="37">
        <v>1985</v>
      </c>
      <c r="AI33" s="37">
        <v>2028</v>
      </c>
      <c r="AJ33" s="37">
        <v>2386</v>
      </c>
      <c r="AK33" s="37">
        <v>2236</v>
      </c>
      <c r="AL33" s="37">
        <v>1178</v>
      </c>
      <c r="AM33" s="37">
        <v>592</v>
      </c>
      <c r="AN33" s="37">
        <v>2028</v>
      </c>
      <c r="AO33" s="37">
        <v>555</v>
      </c>
      <c r="AP33" s="37">
        <v>782</v>
      </c>
      <c r="AQ33" s="37">
        <v>319</v>
      </c>
      <c r="AR33" s="37">
        <v>727</v>
      </c>
      <c r="AS33" s="37">
        <v>2561</v>
      </c>
      <c r="AT33" s="37">
        <v>2287</v>
      </c>
      <c r="AU33" s="37">
        <v>229</v>
      </c>
      <c r="AV33" s="37">
        <v>128</v>
      </c>
      <c r="AW33" s="37">
        <v>962</v>
      </c>
      <c r="AX33" s="37">
        <v>574</v>
      </c>
      <c r="AY33" s="37">
        <v>531</v>
      </c>
      <c r="AZ33" s="37">
        <v>1472</v>
      </c>
      <c r="BA33" s="37">
        <v>748</v>
      </c>
      <c r="BB33" s="37">
        <v>1577</v>
      </c>
      <c r="BC33" s="37">
        <v>1702</v>
      </c>
      <c r="BD33" s="37">
        <v>1003</v>
      </c>
      <c r="BE33" s="37">
        <v>1440</v>
      </c>
      <c r="BF33" s="37">
        <v>341</v>
      </c>
      <c r="BG33" s="37">
        <v>523</v>
      </c>
      <c r="BH33" s="37">
        <v>889</v>
      </c>
      <c r="BI33" s="37">
        <v>536</v>
      </c>
      <c r="BJ33" s="37">
        <v>1094</v>
      </c>
      <c r="BK33" s="37">
        <v>715</v>
      </c>
      <c r="BL33" s="37">
        <v>745</v>
      </c>
      <c r="BM33" s="37">
        <v>1868</v>
      </c>
      <c r="BN33" s="37">
        <v>1433</v>
      </c>
      <c r="BO33" s="37">
        <v>861</v>
      </c>
      <c r="BP33" s="37">
        <v>519</v>
      </c>
      <c r="BQ33" s="37">
        <v>574</v>
      </c>
      <c r="BR33" s="37">
        <v>909</v>
      </c>
      <c r="BS33" s="37">
        <v>1158</v>
      </c>
      <c r="BT33" s="37">
        <v>713</v>
      </c>
      <c r="BU33" s="37">
        <v>677</v>
      </c>
      <c r="BV33" s="37">
        <v>913</v>
      </c>
      <c r="BW33" s="37">
        <v>1739</v>
      </c>
      <c r="BX33" s="37">
        <v>1529</v>
      </c>
      <c r="BY33" s="37">
        <v>993</v>
      </c>
      <c r="BZ33" s="37">
        <v>2344</v>
      </c>
      <c r="CA33" s="37">
        <v>95</v>
      </c>
      <c r="CB33" s="37">
        <v>1319</v>
      </c>
      <c r="CC33" s="37">
        <v>657</v>
      </c>
      <c r="CD33" s="37">
        <v>808</v>
      </c>
      <c r="CE33" s="37">
        <v>1666</v>
      </c>
      <c r="CF33" s="37">
        <v>992</v>
      </c>
      <c r="CG33" s="37">
        <v>636</v>
      </c>
      <c r="CH33" s="37">
        <v>2618</v>
      </c>
      <c r="CI33" s="37">
        <v>628</v>
      </c>
      <c r="CJ33" s="37">
        <v>2112</v>
      </c>
      <c r="CK33" s="37">
        <v>689</v>
      </c>
      <c r="CL33" s="37">
        <v>131</v>
      </c>
      <c r="CM33" s="37">
        <v>25</v>
      </c>
      <c r="CN33" s="37">
        <v>847</v>
      </c>
      <c r="CO33" s="37">
        <v>2457</v>
      </c>
      <c r="CP33" s="37">
        <v>1556</v>
      </c>
      <c r="CQ33" s="37">
        <v>1175</v>
      </c>
      <c r="CR33" s="37">
        <v>568</v>
      </c>
      <c r="CS33" s="37">
        <v>1180</v>
      </c>
      <c r="CT33" s="37">
        <v>955</v>
      </c>
      <c r="CU33" s="37">
        <v>916</v>
      </c>
      <c r="CV33" s="37">
        <v>382</v>
      </c>
      <c r="CW33" s="37">
        <v>475</v>
      </c>
      <c r="CX33" s="37">
        <v>1445</v>
      </c>
      <c r="CY33" s="37">
        <v>633</v>
      </c>
      <c r="CZ33" s="37">
        <v>531</v>
      </c>
      <c r="DA33" s="37">
        <v>2173</v>
      </c>
      <c r="DB33" s="37">
        <v>1555</v>
      </c>
      <c r="DC33" s="37">
        <v>2275</v>
      </c>
      <c r="DD33" s="37">
        <v>1277</v>
      </c>
      <c r="DE33" s="37">
        <v>1283</v>
      </c>
      <c r="DF33" s="37">
        <v>1280</v>
      </c>
      <c r="DG33" s="37">
        <v>1323</v>
      </c>
      <c r="DH33" s="37">
        <v>1308</v>
      </c>
      <c r="DI33" s="37">
        <v>479</v>
      </c>
      <c r="DJ33" s="37">
        <v>535</v>
      </c>
      <c r="DK33" s="37">
        <v>1456</v>
      </c>
      <c r="DL33" s="37">
        <v>817</v>
      </c>
      <c r="DM33" s="37">
        <v>782</v>
      </c>
      <c r="DN33" s="37">
        <v>780</v>
      </c>
      <c r="DO33" s="37">
        <v>1427</v>
      </c>
      <c r="DP33" s="37">
        <v>740</v>
      </c>
      <c r="DQ33" s="37">
        <v>564</v>
      </c>
      <c r="DR33" s="37">
        <v>613</v>
      </c>
      <c r="DS33" s="37">
        <v>364</v>
      </c>
      <c r="DT33" s="37">
        <v>685</v>
      </c>
      <c r="DU33" s="37">
        <v>2224</v>
      </c>
      <c r="DV33" s="37">
        <v>585</v>
      </c>
      <c r="DW33" s="37">
        <v>1311</v>
      </c>
      <c r="DX33" s="37">
        <v>1666</v>
      </c>
      <c r="DY33" s="37">
        <v>815</v>
      </c>
      <c r="DZ33" s="37">
        <v>1545</v>
      </c>
      <c r="EA33" s="37">
        <v>2073</v>
      </c>
      <c r="EB33" s="37">
        <v>971</v>
      </c>
      <c r="EC33" s="37">
        <v>545</v>
      </c>
      <c r="ED33" s="37">
        <v>409</v>
      </c>
      <c r="EE33" s="37">
        <v>1527</v>
      </c>
      <c r="EF33" s="37">
        <v>584</v>
      </c>
      <c r="EG33" s="37">
        <v>954</v>
      </c>
      <c r="EH33" s="37">
        <v>1348</v>
      </c>
      <c r="EI33" s="37">
        <v>671</v>
      </c>
      <c r="EJ33" s="37">
        <v>1836</v>
      </c>
      <c r="EK33" s="37">
        <v>2365</v>
      </c>
      <c r="EL33" s="37">
        <v>2495</v>
      </c>
      <c r="EM33" s="37">
        <v>2707</v>
      </c>
      <c r="EN33" s="37">
        <v>915</v>
      </c>
      <c r="EO33" s="37">
        <v>816</v>
      </c>
      <c r="EP33" s="37">
        <v>320</v>
      </c>
      <c r="EQ33" s="37">
        <v>2071</v>
      </c>
      <c r="ER33" s="37">
        <v>1706</v>
      </c>
      <c r="ES33" s="37">
        <v>1329</v>
      </c>
    </row>
    <row r="34" spans="1:149" x14ac:dyDescent="0.3">
      <c r="A34" s="37" t="s">
        <v>12</v>
      </c>
      <c r="B34" s="37">
        <v>482</v>
      </c>
      <c r="C34" s="37">
        <v>1216</v>
      </c>
      <c r="D34" s="37">
        <v>1618</v>
      </c>
      <c r="E34" s="37">
        <v>1509</v>
      </c>
      <c r="F34" s="37">
        <v>411</v>
      </c>
      <c r="G34" s="37">
        <v>951</v>
      </c>
      <c r="H34" s="37">
        <v>67</v>
      </c>
      <c r="I34" s="37">
        <v>247</v>
      </c>
      <c r="J34" s="37">
        <v>1253</v>
      </c>
      <c r="K34" s="37">
        <v>1542</v>
      </c>
      <c r="L34" s="37">
        <v>1841</v>
      </c>
      <c r="M34" s="37">
        <v>1193</v>
      </c>
      <c r="N34" s="37">
        <v>2423</v>
      </c>
      <c r="O34" s="37">
        <v>1742</v>
      </c>
      <c r="P34" s="37">
        <v>472</v>
      </c>
      <c r="Q34" s="37">
        <v>2135</v>
      </c>
      <c r="R34" s="37">
        <v>1014</v>
      </c>
      <c r="S34" s="37">
        <v>1454</v>
      </c>
      <c r="T34" s="37">
        <v>248</v>
      </c>
      <c r="U34" s="37">
        <v>2041</v>
      </c>
      <c r="V34" s="37">
        <v>1555</v>
      </c>
      <c r="W34" s="37">
        <v>249</v>
      </c>
      <c r="X34" s="37">
        <v>1384</v>
      </c>
      <c r="Y34" s="37">
        <v>338</v>
      </c>
      <c r="Z34" s="37">
        <v>1948</v>
      </c>
      <c r="AA34" s="37">
        <v>565</v>
      </c>
      <c r="AB34" s="37">
        <v>2066</v>
      </c>
      <c r="AC34" s="37">
        <v>1640</v>
      </c>
      <c r="AD34" s="37">
        <v>2785</v>
      </c>
      <c r="AE34" s="37">
        <v>36</v>
      </c>
      <c r="AF34" s="37">
        <v>1302</v>
      </c>
      <c r="AG34" s="37">
        <v>2460</v>
      </c>
      <c r="AH34" s="37">
        <v>2385</v>
      </c>
      <c r="AI34" s="37">
        <v>2429</v>
      </c>
      <c r="AJ34" s="37">
        <v>2786</v>
      </c>
      <c r="AK34" s="37">
        <v>2636</v>
      </c>
      <c r="AL34" s="37">
        <v>1928</v>
      </c>
      <c r="AM34" s="37">
        <v>1401</v>
      </c>
      <c r="AN34" s="37">
        <v>2281</v>
      </c>
      <c r="AO34" s="37">
        <v>266</v>
      </c>
      <c r="AP34" s="37">
        <v>1533</v>
      </c>
      <c r="AQ34" s="37">
        <v>1128</v>
      </c>
      <c r="AR34" s="37">
        <v>1477</v>
      </c>
      <c r="AS34" s="37">
        <v>2962</v>
      </c>
      <c r="AT34" s="37">
        <v>2687</v>
      </c>
      <c r="AU34" s="37">
        <v>589</v>
      </c>
      <c r="AV34" s="37">
        <v>936</v>
      </c>
      <c r="AW34" s="37">
        <v>261</v>
      </c>
      <c r="AX34" s="37">
        <v>1324</v>
      </c>
      <c r="AY34" s="37">
        <v>293</v>
      </c>
      <c r="AZ34" s="37">
        <v>1873</v>
      </c>
      <c r="BA34" s="37">
        <v>230</v>
      </c>
      <c r="BB34" s="37">
        <v>1978</v>
      </c>
      <c r="BC34" s="37">
        <v>2102</v>
      </c>
      <c r="BD34" s="37">
        <v>237</v>
      </c>
      <c r="BE34" s="37">
        <v>2248</v>
      </c>
      <c r="BF34" s="37">
        <v>612</v>
      </c>
      <c r="BG34" s="37">
        <v>1331</v>
      </c>
      <c r="BH34" s="37">
        <v>344</v>
      </c>
      <c r="BI34" s="37">
        <v>221</v>
      </c>
      <c r="BJ34" s="37">
        <v>1112</v>
      </c>
      <c r="BK34" s="37">
        <v>276</v>
      </c>
      <c r="BL34" s="37">
        <v>1121</v>
      </c>
      <c r="BM34" s="37">
        <v>2135</v>
      </c>
      <c r="BN34" s="37">
        <v>1834</v>
      </c>
      <c r="BO34" s="37">
        <v>1174</v>
      </c>
      <c r="BP34" s="37">
        <v>1099</v>
      </c>
      <c r="BQ34" s="37">
        <v>550</v>
      </c>
      <c r="BR34" s="37">
        <v>167</v>
      </c>
      <c r="BS34" s="37">
        <v>1425</v>
      </c>
      <c r="BT34" s="37">
        <v>426</v>
      </c>
      <c r="BU34" s="37">
        <v>218</v>
      </c>
      <c r="BV34" s="37">
        <v>752</v>
      </c>
      <c r="BW34" s="37">
        <v>2548</v>
      </c>
      <c r="BX34" s="37">
        <v>1492</v>
      </c>
      <c r="BY34" s="37">
        <v>213</v>
      </c>
      <c r="BZ34" s="37">
        <v>2745</v>
      </c>
      <c r="CA34" s="37">
        <v>746</v>
      </c>
      <c r="CB34" s="37">
        <v>1720</v>
      </c>
      <c r="CC34" s="37">
        <v>150</v>
      </c>
      <c r="CD34" s="37">
        <v>107</v>
      </c>
      <c r="CE34" s="37">
        <v>1933</v>
      </c>
      <c r="CF34" s="37">
        <v>1743</v>
      </c>
      <c r="CG34" s="37">
        <v>788</v>
      </c>
      <c r="CH34" s="37">
        <v>3019</v>
      </c>
      <c r="CI34" s="37">
        <v>434</v>
      </c>
      <c r="CJ34" s="37">
        <v>2513</v>
      </c>
      <c r="CK34" s="37">
        <v>565</v>
      </c>
      <c r="CL34" s="37">
        <v>639</v>
      </c>
      <c r="CM34" s="37">
        <v>803</v>
      </c>
      <c r="CN34" s="37">
        <v>146</v>
      </c>
      <c r="CO34" s="37">
        <v>2857</v>
      </c>
      <c r="CP34" s="37">
        <v>1957</v>
      </c>
      <c r="CQ34" s="37">
        <v>1442</v>
      </c>
      <c r="CR34" s="37">
        <v>256</v>
      </c>
      <c r="CS34" s="37">
        <v>1142</v>
      </c>
      <c r="CT34" s="37">
        <v>1706</v>
      </c>
      <c r="CU34" s="37">
        <v>215</v>
      </c>
      <c r="CV34" s="37">
        <v>373</v>
      </c>
      <c r="CW34" s="37">
        <v>1284</v>
      </c>
      <c r="CX34" s="37">
        <v>1685</v>
      </c>
      <c r="CY34" s="37">
        <v>230</v>
      </c>
      <c r="CZ34" s="37">
        <v>1340</v>
      </c>
      <c r="DA34" s="37">
        <v>2574</v>
      </c>
      <c r="DB34" s="37">
        <v>2364</v>
      </c>
      <c r="DC34" s="37">
        <v>2676</v>
      </c>
      <c r="DD34" s="37">
        <v>1678</v>
      </c>
      <c r="DE34" s="37">
        <v>1547</v>
      </c>
      <c r="DF34" s="37">
        <v>1547</v>
      </c>
      <c r="DG34" s="37">
        <v>1442</v>
      </c>
      <c r="DH34" s="37">
        <v>1427</v>
      </c>
      <c r="DI34" s="37">
        <v>335</v>
      </c>
      <c r="DJ34" s="37">
        <v>1344</v>
      </c>
      <c r="DK34" s="37">
        <v>1721</v>
      </c>
      <c r="DL34" s="37">
        <v>1625</v>
      </c>
      <c r="DM34" s="37">
        <v>1533</v>
      </c>
      <c r="DN34" s="37">
        <v>1470</v>
      </c>
      <c r="DO34" s="37">
        <v>1390</v>
      </c>
      <c r="DP34" s="37">
        <v>1490</v>
      </c>
      <c r="DQ34" s="37">
        <v>359</v>
      </c>
      <c r="DR34" s="37">
        <v>263</v>
      </c>
      <c r="DS34" s="37">
        <v>448</v>
      </c>
      <c r="DT34" s="37">
        <v>1494</v>
      </c>
      <c r="DU34" s="37">
        <v>2625</v>
      </c>
      <c r="DV34" s="37">
        <v>1394</v>
      </c>
      <c r="DW34" s="37">
        <v>1578</v>
      </c>
      <c r="DX34" s="37">
        <v>1933</v>
      </c>
      <c r="DY34" s="37">
        <v>150</v>
      </c>
      <c r="DZ34" s="37">
        <v>1812</v>
      </c>
      <c r="EA34" s="37">
        <v>2341</v>
      </c>
      <c r="EB34" s="37">
        <v>1780</v>
      </c>
      <c r="EC34" s="37">
        <v>1354</v>
      </c>
      <c r="ED34" s="37">
        <v>1217</v>
      </c>
      <c r="EE34" s="37">
        <v>1843</v>
      </c>
      <c r="EF34" s="37">
        <v>231</v>
      </c>
      <c r="EG34" s="37">
        <v>371</v>
      </c>
      <c r="EH34" s="37">
        <v>582</v>
      </c>
      <c r="EI34" s="37">
        <v>1044</v>
      </c>
      <c r="EJ34" s="37">
        <v>2237</v>
      </c>
      <c r="EK34" s="37">
        <v>2766</v>
      </c>
      <c r="EL34" s="37">
        <v>2896</v>
      </c>
      <c r="EM34" s="37">
        <v>3108</v>
      </c>
      <c r="EN34" s="37">
        <v>932</v>
      </c>
      <c r="EO34" s="37">
        <v>1116</v>
      </c>
      <c r="EP34" s="37">
        <v>1070</v>
      </c>
      <c r="EQ34" s="37">
        <v>2472</v>
      </c>
      <c r="ER34" s="37">
        <v>2107</v>
      </c>
      <c r="ES34" s="37">
        <v>2028</v>
      </c>
    </row>
    <row r="35" spans="1:149" x14ac:dyDescent="0.3">
      <c r="A35" s="37" t="s">
        <v>27</v>
      </c>
      <c r="B35" s="37">
        <v>869</v>
      </c>
      <c r="C35" s="37">
        <v>1710</v>
      </c>
      <c r="D35" s="37">
        <v>1626</v>
      </c>
      <c r="E35" s="37">
        <v>1281</v>
      </c>
      <c r="F35" s="37">
        <v>973</v>
      </c>
      <c r="G35" s="37">
        <v>389</v>
      </c>
      <c r="H35" s="37">
        <v>1274</v>
      </c>
      <c r="I35" s="37">
        <v>1522</v>
      </c>
      <c r="J35" s="37">
        <v>1769</v>
      </c>
      <c r="K35" s="37">
        <v>1510</v>
      </c>
      <c r="L35" s="37">
        <v>693</v>
      </c>
      <c r="M35" s="37">
        <v>138</v>
      </c>
      <c r="N35" s="37">
        <v>2125</v>
      </c>
      <c r="O35" s="37">
        <v>1751</v>
      </c>
      <c r="P35" s="37">
        <v>817</v>
      </c>
      <c r="Q35" s="37">
        <v>878</v>
      </c>
      <c r="R35" s="37">
        <v>333</v>
      </c>
      <c r="S35" s="37">
        <v>126</v>
      </c>
      <c r="T35" s="37">
        <v>1548</v>
      </c>
      <c r="U35" s="37">
        <v>1927</v>
      </c>
      <c r="V35" s="37">
        <v>227</v>
      </c>
      <c r="W35" s="37">
        <v>1399</v>
      </c>
      <c r="X35" s="37">
        <v>1881</v>
      </c>
      <c r="Y35" s="37">
        <v>1211</v>
      </c>
      <c r="Z35" s="37">
        <v>795</v>
      </c>
      <c r="AA35" s="37">
        <v>1440</v>
      </c>
      <c r="AB35" s="37">
        <v>809</v>
      </c>
      <c r="AC35" s="37">
        <v>492</v>
      </c>
      <c r="AD35" s="37">
        <v>2486</v>
      </c>
      <c r="AE35" s="37">
        <v>1316</v>
      </c>
      <c r="AF35" s="37">
        <v>69</v>
      </c>
      <c r="AG35" s="37">
        <v>2025</v>
      </c>
      <c r="AH35" s="37">
        <v>2087</v>
      </c>
      <c r="AI35" s="37">
        <v>2049</v>
      </c>
      <c r="AJ35" s="37">
        <v>2488</v>
      </c>
      <c r="AK35" s="37">
        <v>2201</v>
      </c>
      <c r="AL35" s="37">
        <v>774</v>
      </c>
      <c r="AM35" s="37">
        <v>144</v>
      </c>
      <c r="AN35" s="37">
        <v>2130</v>
      </c>
      <c r="AO35" s="37">
        <v>1088</v>
      </c>
      <c r="AP35" s="37">
        <v>258</v>
      </c>
      <c r="AQ35" s="37">
        <v>216</v>
      </c>
      <c r="AR35" s="37">
        <v>329</v>
      </c>
      <c r="AS35" s="37">
        <v>2663</v>
      </c>
      <c r="AT35" s="37">
        <v>2388</v>
      </c>
      <c r="AU35" s="37">
        <v>762</v>
      </c>
      <c r="AV35" s="37">
        <v>408</v>
      </c>
      <c r="AW35" s="37">
        <v>1495</v>
      </c>
      <c r="AX35" s="37">
        <v>98</v>
      </c>
      <c r="AY35" s="37">
        <v>1064</v>
      </c>
      <c r="AZ35" s="37">
        <v>1419</v>
      </c>
      <c r="BA35" s="37">
        <v>1281</v>
      </c>
      <c r="BB35" s="37">
        <v>1679</v>
      </c>
      <c r="BC35" s="37">
        <v>1610</v>
      </c>
      <c r="BD35" s="37">
        <v>1536</v>
      </c>
      <c r="BE35" s="37">
        <v>992</v>
      </c>
      <c r="BF35" s="37">
        <v>874</v>
      </c>
      <c r="BG35" s="37">
        <v>20</v>
      </c>
      <c r="BH35" s="37">
        <v>1422</v>
      </c>
      <c r="BI35" s="37">
        <v>1069</v>
      </c>
      <c r="BJ35" s="37">
        <v>1629</v>
      </c>
      <c r="BK35" s="37">
        <v>1248</v>
      </c>
      <c r="BL35" s="37">
        <v>1086</v>
      </c>
      <c r="BM35" s="37">
        <v>2059</v>
      </c>
      <c r="BN35" s="37">
        <v>1535</v>
      </c>
      <c r="BO35" s="37">
        <v>1221</v>
      </c>
      <c r="BP35" s="37">
        <v>714</v>
      </c>
      <c r="BQ35" s="37">
        <v>1107</v>
      </c>
      <c r="BR35" s="37">
        <v>1442</v>
      </c>
      <c r="BS35" s="37">
        <v>1518</v>
      </c>
      <c r="BT35" s="37">
        <v>1246</v>
      </c>
      <c r="BU35" s="37">
        <v>1210</v>
      </c>
      <c r="BV35" s="37">
        <v>1446</v>
      </c>
      <c r="BW35" s="37">
        <v>1291</v>
      </c>
      <c r="BX35" s="37">
        <v>2026</v>
      </c>
      <c r="BY35" s="37">
        <v>1526</v>
      </c>
      <c r="BZ35" s="37">
        <v>2446</v>
      </c>
      <c r="CA35" s="37">
        <v>630</v>
      </c>
      <c r="CB35" s="37">
        <v>1284</v>
      </c>
      <c r="CC35" s="37">
        <v>1190</v>
      </c>
      <c r="CD35" s="37">
        <v>1341</v>
      </c>
      <c r="CE35" s="37">
        <v>1945</v>
      </c>
      <c r="CF35" s="37">
        <v>594</v>
      </c>
      <c r="CG35" s="37">
        <v>1171</v>
      </c>
      <c r="CH35" s="37">
        <v>2720</v>
      </c>
      <c r="CI35" s="37">
        <v>1161</v>
      </c>
      <c r="CJ35" s="37">
        <v>2214</v>
      </c>
      <c r="CK35" s="37">
        <v>1223</v>
      </c>
      <c r="CL35" s="37">
        <v>658</v>
      </c>
      <c r="CM35" s="37">
        <v>536</v>
      </c>
      <c r="CN35" s="37">
        <v>1380</v>
      </c>
      <c r="CO35" s="37">
        <v>2474</v>
      </c>
      <c r="CP35" s="37">
        <v>1658</v>
      </c>
      <c r="CQ35" s="37">
        <v>1535</v>
      </c>
      <c r="CR35" s="37">
        <v>1101</v>
      </c>
      <c r="CS35" s="37">
        <v>1713</v>
      </c>
      <c r="CT35" s="37">
        <v>557</v>
      </c>
      <c r="CU35" s="37">
        <v>1449</v>
      </c>
      <c r="CV35" s="37">
        <v>915</v>
      </c>
      <c r="CW35" s="37">
        <v>154</v>
      </c>
      <c r="CX35" s="37">
        <v>1805</v>
      </c>
      <c r="CY35" s="37">
        <v>1166</v>
      </c>
      <c r="CZ35" s="37">
        <v>71</v>
      </c>
      <c r="DA35" s="37">
        <v>2275</v>
      </c>
      <c r="DB35" s="37">
        <v>1107</v>
      </c>
      <c r="DC35" s="37">
        <v>2377</v>
      </c>
      <c r="DD35" s="37">
        <v>1379</v>
      </c>
      <c r="DE35" s="37">
        <v>1640</v>
      </c>
      <c r="DF35" s="37">
        <v>1640</v>
      </c>
      <c r="DG35" s="37">
        <v>1858</v>
      </c>
      <c r="DH35" s="37">
        <v>1642</v>
      </c>
      <c r="DI35" s="37">
        <v>1012</v>
      </c>
      <c r="DJ35" s="37">
        <v>25</v>
      </c>
      <c r="DK35" s="37">
        <v>1813</v>
      </c>
      <c r="DL35" s="37">
        <v>301</v>
      </c>
      <c r="DM35" s="37">
        <v>384</v>
      </c>
      <c r="DN35" s="37">
        <v>743</v>
      </c>
      <c r="DO35" s="37">
        <v>1925</v>
      </c>
      <c r="DP35" s="37">
        <v>336</v>
      </c>
      <c r="DQ35" s="37">
        <v>1097</v>
      </c>
      <c r="DR35" s="37">
        <v>1146</v>
      </c>
      <c r="DS35" s="37">
        <v>897</v>
      </c>
      <c r="DT35" s="37">
        <v>237</v>
      </c>
      <c r="DU35" s="37">
        <v>2326</v>
      </c>
      <c r="DV35" s="37">
        <v>85</v>
      </c>
      <c r="DW35" s="37">
        <v>1671</v>
      </c>
      <c r="DX35" s="37">
        <v>1813</v>
      </c>
      <c r="DY35" s="37">
        <v>1348</v>
      </c>
      <c r="DZ35" s="37">
        <v>1825</v>
      </c>
      <c r="EA35" s="37">
        <v>2174</v>
      </c>
      <c r="EB35" s="37">
        <v>523</v>
      </c>
      <c r="EC35" s="37">
        <v>138</v>
      </c>
      <c r="ED35" s="37">
        <v>133</v>
      </c>
      <c r="EE35" s="37">
        <v>1629</v>
      </c>
      <c r="EF35" s="37">
        <v>1117</v>
      </c>
      <c r="EG35" s="37">
        <v>1487</v>
      </c>
      <c r="EH35" s="37">
        <v>1881</v>
      </c>
      <c r="EI35" s="37">
        <v>1206</v>
      </c>
      <c r="EJ35" s="37">
        <v>1454</v>
      </c>
      <c r="EK35" s="37">
        <v>2344</v>
      </c>
      <c r="EL35" s="37">
        <v>2597</v>
      </c>
      <c r="EM35" s="37">
        <v>2809</v>
      </c>
      <c r="EN35" s="37">
        <v>1450</v>
      </c>
      <c r="EO35" s="37">
        <v>1351</v>
      </c>
      <c r="EP35" s="37">
        <v>255</v>
      </c>
      <c r="EQ35" s="37">
        <v>2092</v>
      </c>
      <c r="ER35" s="37">
        <v>1572</v>
      </c>
      <c r="ES35" s="37">
        <v>1236</v>
      </c>
    </row>
    <row r="36" spans="1:149" x14ac:dyDescent="0.3">
      <c r="A36" s="37" t="s">
        <v>25</v>
      </c>
      <c r="B36" s="37">
        <v>1337</v>
      </c>
      <c r="C36" s="37">
        <v>662</v>
      </c>
      <c r="D36" s="37">
        <v>122</v>
      </c>
      <c r="E36" s="37">
        <v>487</v>
      </c>
      <c r="F36" s="37">
        <v>1426</v>
      </c>
      <c r="G36" s="37">
        <v>1426</v>
      </c>
      <c r="H36" s="37">
        <v>1660</v>
      </c>
      <c r="I36" s="37">
        <v>1771</v>
      </c>
      <c r="J36" s="37">
        <v>601</v>
      </c>
      <c r="K36" s="37">
        <v>236</v>
      </c>
      <c r="L36" s="37">
        <v>1717</v>
      </c>
      <c r="M36" s="37">
        <v>1707</v>
      </c>
      <c r="N36" s="37">
        <v>842</v>
      </c>
      <c r="O36" s="37">
        <v>107</v>
      </c>
      <c r="P36" s="37">
        <v>1543</v>
      </c>
      <c r="Q36" s="37">
        <v>2779</v>
      </c>
      <c r="R36" s="37">
        <v>1659</v>
      </c>
      <c r="S36" s="37">
        <v>2098</v>
      </c>
      <c r="T36" s="37">
        <v>1933</v>
      </c>
      <c r="U36" s="37">
        <v>342</v>
      </c>
      <c r="V36" s="37">
        <v>2200</v>
      </c>
      <c r="W36" s="37">
        <v>1591</v>
      </c>
      <c r="X36" s="37">
        <v>730</v>
      </c>
      <c r="Y36" s="37">
        <v>1441</v>
      </c>
      <c r="Z36" s="37">
        <v>1628</v>
      </c>
      <c r="AA36" s="37">
        <v>1358</v>
      </c>
      <c r="AB36" s="37">
        <v>2710</v>
      </c>
      <c r="AC36" s="37">
        <v>1919</v>
      </c>
      <c r="AD36" s="37">
        <v>1002</v>
      </c>
      <c r="AE36" s="37">
        <v>1702</v>
      </c>
      <c r="AF36" s="37">
        <v>1947</v>
      </c>
      <c r="AG36" s="37">
        <v>1195</v>
      </c>
      <c r="AH36" s="37">
        <v>894</v>
      </c>
      <c r="AI36" s="37">
        <v>1018</v>
      </c>
      <c r="AJ36" s="37">
        <v>1095</v>
      </c>
      <c r="AK36" s="37">
        <v>1159</v>
      </c>
      <c r="AL36" s="37">
        <v>1553</v>
      </c>
      <c r="AM36" s="37">
        <v>2045</v>
      </c>
      <c r="AN36" s="37">
        <v>582</v>
      </c>
      <c r="AO36" s="37">
        <v>1452</v>
      </c>
      <c r="AP36" s="37">
        <v>1851</v>
      </c>
      <c r="AQ36" s="37">
        <v>1772</v>
      </c>
      <c r="AR36" s="37">
        <v>1765</v>
      </c>
      <c r="AS36" s="37">
        <v>1387</v>
      </c>
      <c r="AT36" s="37">
        <v>1113</v>
      </c>
      <c r="AU36" s="37">
        <v>1304</v>
      </c>
      <c r="AV36" s="37">
        <v>1581</v>
      </c>
      <c r="AW36" s="37">
        <v>1642</v>
      </c>
      <c r="AX36" s="37">
        <v>1799</v>
      </c>
      <c r="AY36" s="37">
        <v>1473</v>
      </c>
      <c r="AZ36" s="37">
        <v>813</v>
      </c>
      <c r="BA36" s="37">
        <v>1484</v>
      </c>
      <c r="BB36" s="37">
        <v>378</v>
      </c>
      <c r="BC36" s="37">
        <v>847</v>
      </c>
      <c r="BD36" s="37">
        <v>1922</v>
      </c>
      <c r="BE36" s="37">
        <v>2893</v>
      </c>
      <c r="BF36" s="37">
        <v>1207</v>
      </c>
      <c r="BG36" s="37">
        <v>1975</v>
      </c>
      <c r="BH36" s="37">
        <v>1492</v>
      </c>
      <c r="BI36" s="37">
        <v>1653</v>
      </c>
      <c r="BJ36" s="37">
        <v>733</v>
      </c>
      <c r="BK36" s="37">
        <v>1447</v>
      </c>
      <c r="BL36" s="37">
        <v>721</v>
      </c>
      <c r="BM36" s="37">
        <v>436</v>
      </c>
      <c r="BN36" s="37">
        <v>562</v>
      </c>
      <c r="BO36" s="37">
        <v>594</v>
      </c>
      <c r="BP36" s="37">
        <v>992</v>
      </c>
      <c r="BQ36" s="37">
        <v>1183</v>
      </c>
      <c r="BR36" s="37">
        <v>1828</v>
      </c>
      <c r="BS36" s="37">
        <v>390</v>
      </c>
      <c r="BT36" s="37">
        <v>1308</v>
      </c>
      <c r="BU36" s="37">
        <v>1521</v>
      </c>
      <c r="BV36" s="37">
        <v>1115</v>
      </c>
      <c r="BW36" s="37">
        <v>3192</v>
      </c>
      <c r="BX36" s="37">
        <v>945</v>
      </c>
      <c r="BY36" s="37">
        <v>1912</v>
      </c>
      <c r="BZ36" s="37">
        <v>913</v>
      </c>
      <c r="CA36" s="37">
        <v>1366</v>
      </c>
      <c r="CB36" s="37">
        <v>689</v>
      </c>
      <c r="CC36" s="37">
        <v>1575</v>
      </c>
      <c r="CD36" s="37">
        <v>1727</v>
      </c>
      <c r="CE36" s="37">
        <v>234</v>
      </c>
      <c r="CF36" s="37">
        <v>1843</v>
      </c>
      <c r="CG36" s="37">
        <v>975</v>
      </c>
      <c r="CH36" s="37">
        <v>1444</v>
      </c>
      <c r="CI36" s="37">
        <v>1289</v>
      </c>
      <c r="CJ36" s="37">
        <v>939</v>
      </c>
      <c r="CK36" s="37">
        <v>1165</v>
      </c>
      <c r="CL36" s="37">
        <v>1585</v>
      </c>
      <c r="CM36" s="37">
        <v>1453</v>
      </c>
      <c r="CN36" s="37">
        <v>1766</v>
      </c>
      <c r="CO36" s="37">
        <v>1283</v>
      </c>
      <c r="CP36" s="37">
        <v>542</v>
      </c>
      <c r="CQ36" s="37">
        <v>279</v>
      </c>
      <c r="CR36" s="37">
        <v>1513</v>
      </c>
      <c r="CS36" s="37">
        <v>737</v>
      </c>
      <c r="CT36" s="37">
        <v>1728</v>
      </c>
      <c r="CU36" s="37">
        <v>1677</v>
      </c>
      <c r="CV36" s="37">
        <v>1606</v>
      </c>
      <c r="CW36" s="37">
        <v>1928</v>
      </c>
      <c r="CX36" s="37">
        <v>149</v>
      </c>
      <c r="CY36" s="37">
        <v>1570</v>
      </c>
      <c r="CZ36" s="37">
        <v>1984</v>
      </c>
      <c r="DA36" s="37">
        <v>903</v>
      </c>
      <c r="DB36" s="37">
        <v>3008</v>
      </c>
      <c r="DC36" s="37">
        <v>1101</v>
      </c>
      <c r="DD36" s="37">
        <v>441</v>
      </c>
      <c r="DE36" s="37">
        <v>212</v>
      </c>
      <c r="DF36" s="37">
        <v>212</v>
      </c>
      <c r="DG36" s="37">
        <v>382</v>
      </c>
      <c r="DH36" s="37">
        <v>398</v>
      </c>
      <c r="DI36" s="37">
        <v>1449</v>
      </c>
      <c r="DJ36" s="37">
        <v>1811</v>
      </c>
      <c r="DK36" s="37">
        <v>25</v>
      </c>
      <c r="DL36" s="37">
        <v>2270</v>
      </c>
      <c r="DM36" s="37">
        <v>1732</v>
      </c>
      <c r="DN36" s="37">
        <v>1010</v>
      </c>
      <c r="DO36" s="37">
        <v>843</v>
      </c>
      <c r="DP36" s="37">
        <v>1606</v>
      </c>
      <c r="DQ36" s="37">
        <v>1365</v>
      </c>
      <c r="DR36" s="37">
        <v>1456</v>
      </c>
      <c r="DS36" s="37">
        <v>1623</v>
      </c>
      <c r="DT36" s="37">
        <v>2138</v>
      </c>
      <c r="DU36" s="37">
        <v>1051</v>
      </c>
      <c r="DV36" s="37">
        <v>2038</v>
      </c>
      <c r="DW36" s="37">
        <v>146</v>
      </c>
      <c r="DX36" s="37">
        <v>234</v>
      </c>
      <c r="DY36" s="37">
        <v>1590</v>
      </c>
      <c r="DZ36" s="37">
        <v>113</v>
      </c>
      <c r="EA36" s="37">
        <v>642</v>
      </c>
      <c r="EB36" s="37">
        <v>2424</v>
      </c>
      <c r="EC36" s="37">
        <v>1998</v>
      </c>
      <c r="ED36" s="37">
        <v>1862</v>
      </c>
      <c r="EE36" s="37">
        <v>254</v>
      </c>
      <c r="EF36" s="37">
        <v>1477</v>
      </c>
      <c r="EG36" s="37">
        <v>1606</v>
      </c>
      <c r="EH36" s="37">
        <v>2267</v>
      </c>
      <c r="EI36" s="37">
        <v>750</v>
      </c>
      <c r="EJ36" s="37">
        <v>982</v>
      </c>
      <c r="EK36" s="37">
        <v>1191</v>
      </c>
      <c r="EL36" s="37">
        <v>1322</v>
      </c>
      <c r="EM36" s="37">
        <v>1534</v>
      </c>
      <c r="EN36" s="37">
        <v>892</v>
      </c>
      <c r="EO36" s="37">
        <v>652</v>
      </c>
      <c r="EP36" s="37">
        <v>1545</v>
      </c>
      <c r="EQ36" s="37">
        <v>1061</v>
      </c>
      <c r="ER36" s="37">
        <v>852</v>
      </c>
      <c r="ES36" s="37">
        <v>1198</v>
      </c>
    </row>
    <row r="37" spans="1:149" x14ac:dyDescent="0.3">
      <c r="A37" s="37" t="s">
        <v>8</v>
      </c>
      <c r="B37" s="37">
        <v>971</v>
      </c>
      <c r="C37" s="37">
        <v>1151</v>
      </c>
      <c r="D37" s="37">
        <v>890</v>
      </c>
      <c r="E37" s="37">
        <v>545</v>
      </c>
      <c r="F37" s="37">
        <v>1060</v>
      </c>
      <c r="G37" s="37">
        <v>579</v>
      </c>
      <c r="H37" s="37">
        <v>1401</v>
      </c>
      <c r="I37" s="37">
        <v>1648</v>
      </c>
      <c r="J37" s="37">
        <v>1090</v>
      </c>
      <c r="K37" s="37">
        <v>774</v>
      </c>
      <c r="L37" s="37">
        <v>706</v>
      </c>
      <c r="M37" s="37">
        <v>779</v>
      </c>
      <c r="N37" s="37">
        <v>1370</v>
      </c>
      <c r="O37" s="37">
        <v>1015</v>
      </c>
      <c r="P37" s="37">
        <v>1051</v>
      </c>
      <c r="Q37" s="37">
        <v>1563</v>
      </c>
      <c r="R37" s="37">
        <v>825</v>
      </c>
      <c r="S37" s="37">
        <v>916</v>
      </c>
      <c r="T37" s="37">
        <v>1674</v>
      </c>
      <c r="U37" s="37">
        <v>1172</v>
      </c>
      <c r="V37" s="37">
        <v>970</v>
      </c>
      <c r="W37" s="37">
        <v>1526</v>
      </c>
      <c r="X37" s="37">
        <v>1246</v>
      </c>
      <c r="Y37" s="37">
        <v>1338</v>
      </c>
      <c r="Z37" s="37">
        <v>550</v>
      </c>
      <c r="AA37" s="37">
        <v>1530</v>
      </c>
      <c r="AB37" s="37">
        <v>1494</v>
      </c>
      <c r="AC37" s="37">
        <v>908</v>
      </c>
      <c r="AD37" s="37">
        <v>1731</v>
      </c>
      <c r="AE37" s="37">
        <v>1443</v>
      </c>
      <c r="AF37" s="37">
        <v>749</v>
      </c>
      <c r="AG37" s="37">
        <v>1406</v>
      </c>
      <c r="AH37" s="37">
        <v>1332</v>
      </c>
      <c r="AI37" s="37">
        <v>1376</v>
      </c>
      <c r="AJ37" s="37">
        <v>1733</v>
      </c>
      <c r="AK37" s="37">
        <v>1582</v>
      </c>
      <c r="AL37" s="37">
        <v>542</v>
      </c>
      <c r="AM37" s="37">
        <v>885</v>
      </c>
      <c r="AN37" s="37">
        <v>1375</v>
      </c>
      <c r="AO37" s="37">
        <v>1215</v>
      </c>
      <c r="AP37" s="37">
        <v>840</v>
      </c>
      <c r="AQ37" s="37">
        <v>842</v>
      </c>
      <c r="AR37" s="37">
        <v>754</v>
      </c>
      <c r="AS37" s="37">
        <v>1908</v>
      </c>
      <c r="AT37" s="37">
        <v>1633</v>
      </c>
      <c r="AU37" s="37">
        <v>937</v>
      </c>
      <c r="AV37" s="37">
        <v>749</v>
      </c>
      <c r="AW37" s="37">
        <v>1621</v>
      </c>
      <c r="AX37" s="37">
        <v>757</v>
      </c>
      <c r="AY37" s="37">
        <v>1190</v>
      </c>
      <c r="AZ37" s="37">
        <v>681</v>
      </c>
      <c r="BA37" s="37">
        <v>1408</v>
      </c>
      <c r="BB37" s="37">
        <v>924</v>
      </c>
      <c r="BC37" s="37">
        <v>905</v>
      </c>
      <c r="BD37" s="37">
        <v>1663</v>
      </c>
      <c r="BE37" s="37">
        <v>1677</v>
      </c>
      <c r="BF37" s="37">
        <v>840</v>
      </c>
      <c r="BG37" s="37">
        <v>762</v>
      </c>
      <c r="BH37" s="37">
        <v>1548</v>
      </c>
      <c r="BI37" s="37">
        <v>1376</v>
      </c>
      <c r="BJ37" s="37">
        <v>1176</v>
      </c>
      <c r="BK37" s="37">
        <v>1374</v>
      </c>
      <c r="BL37" s="37">
        <v>559</v>
      </c>
      <c r="BM37" s="37">
        <v>1304</v>
      </c>
      <c r="BN37" s="37">
        <v>780</v>
      </c>
      <c r="BO37" s="37">
        <v>731</v>
      </c>
      <c r="BP37" s="37">
        <v>384</v>
      </c>
      <c r="BQ37" s="37">
        <v>1197</v>
      </c>
      <c r="BR37" s="37">
        <v>1569</v>
      </c>
      <c r="BS37" s="37">
        <v>723</v>
      </c>
      <c r="BT37" s="37">
        <v>1342</v>
      </c>
      <c r="BU37" s="37">
        <v>1336</v>
      </c>
      <c r="BV37" s="37">
        <v>1428</v>
      </c>
      <c r="BW37" s="37">
        <v>1976</v>
      </c>
      <c r="BX37" s="37">
        <v>1433</v>
      </c>
      <c r="BY37" s="37">
        <v>1653</v>
      </c>
      <c r="BZ37" s="37">
        <v>1691</v>
      </c>
      <c r="CA37" s="37">
        <v>765</v>
      </c>
      <c r="CB37" s="37">
        <v>547</v>
      </c>
      <c r="CC37" s="37">
        <v>1316</v>
      </c>
      <c r="CD37" s="37">
        <v>1467</v>
      </c>
      <c r="CE37" s="37">
        <v>1101</v>
      </c>
      <c r="CF37" s="37">
        <v>832</v>
      </c>
      <c r="CG37" s="37">
        <v>1041</v>
      </c>
      <c r="CH37" s="37">
        <v>1965</v>
      </c>
      <c r="CI37" s="37">
        <v>1192</v>
      </c>
      <c r="CJ37" s="37">
        <v>1459</v>
      </c>
      <c r="CK37" s="37">
        <v>1339</v>
      </c>
      <c r="CL37" s="37">
        <v>918</v>
      </c>
      <c r="CM37" s="37">
        <v>780</v>
      </c>
      <c r="CN37" s="37">
        <v>1507</v>
      </c>
      <c r="CO37" s="37">
        <v>1804</v>
      </c>
      <c r="CP37" s="37">
        <v>903</v>
      </c>
      <c r="CQ37" s="37">
        <v>861</v>
      </c>
      <c r="CR37" s="37">
        <v>1227</v>
      </c>
      <c r="CS37" s="37">
        <v>1227</v>
      </c>
      <c r="CT37" s="37">
        <v>717</v>
      </c>
      <c r="CU37" s="37">
        <v>1575</v>
      </c>
      <c r="CV37" s="37">
        <v>1301</v>
      </c>
      <c r="CW37" s="37">
        <v>872</v>
      </c>
      <c r="CX37" s="37">
        <v>1119</v>
      </c>
      <c r="CY37" s="37">
        <v>1293</v>
      </c>
      <c r="CZ37" s="37">
        <v>812</v>
      </c>
      <c r="DA37" s="37">
        <v>1520</v>
      </c>
      <c r="DB37" s="37">
        <v>1792</v>
      </c>
      <c r="DC37" s="37">
        <v>1622</v>
      </c>
      <c r="DD37" s="37">
        <v>624</v>
      </c>
      <c r="DE37" s="37">
        <v>964</v>
      </c>
      <c r="DF37" s="37">
        <v>964</v>
      </c>
      <c r="DG37" s="37">
        <v>1035</v>
      </c>
      <c r="DH37" s="37">
        <v>1018</v>
      </c>
      <c r="DI37" s="37">
        <v>1110</v>
      </c>
      <c r="DJ37" s="37">
        <v>744</v>
      </c>
      <c r="DK37" s="37">
        <v>1011</v>
      </c>
      <c r="DL37" s="37">
        <v>1040</v>
      </c>
      <c r="DM37" s="37">
        <v>721</v>
      </c>
      <c r="DN37" s="37">
        <v>25</v>
      </c>
      <c r="DO37" s="37">
        <v>1332</v>
      </c>
      <c r="DP37" s="37">
        <v>596</v>
      </c>
      <c r="DQ37" s="37">
        <v>1194</v>
      </c>
      <c r="DR37" s="37">
        <v>1273</v>
      </c>
      <c r="DS37" s="37">
        <v>1130</v>
      </c>
      <c r="DT37" s="37">
        <v>978</v>
      </c>
      <c r="DU37" s="37">
        <v>1571</v>
      </c>
      <c r="DV37" s="37">
        <v>828</v>
      </c>
      <c r="DW37" s="37">
        <v>922</v>
      </c>
      <c r="DX37" s="37">
        <v>1058</v>
      </c>
      <c r="DY37" s="37">
        <v>1474</v>
      </c>
      <c r="DZ37" s="37">
        <v>1089</v>
      </c>
      <c r="EA37" s="37">
        <v>1419</v>
      </c>
      <c r="EB37" s="37">
        <v>1208</v>
      </c>
      <c r="EC37" s="37">
        <v>879</v>
      </c>
      <c r="ED37" s="37">
        <v>852</v>
      </c>
      <c r="EE37" s="37">
        <v>874</v>
      </c>
      <c r="EF37" s="37">
        <v>1244</v>
      </c>
      <c r="EG37" s="37">
        <v>1613</v>
      </c>
      <c r="EH37" s="37">
        <v>2008</v>
      </c>
      <c r="EI37" s="37">
        <v>726</v>
      </c>
      <c r="EJ37" s="37">
        <v>725</v>
      </c>
      <c r="EK37" s="37">
        <v>1712</v>
      </c>
      <c r="EL37" s="37">
        <v>1842</v>
      </c>
      <c r="EM37" s="37">
        <v>2054</v>
      </c>
      <c r="EN37" s="37">
        <v>1129</v>
      </c>
      <c r="EO37" s="37">
        <v>791</v>
      </c>
      <c r="EP37" s="37">
        <v>645</v>
      </c>
      <c r="EQ37" s="37">
        <v>1418</v>
      </c>
      <c r="ER37" s="37">
        <v>869</v>
      </c>
      <c r="ES37" s="37">
        <v>546</v>
      </c>
    </row>
    <row r="38" spans="1:149" x14ac:dyDescent="0.3">
      <c r="A38" s="37" t="s">
        <v>28</v>
      </c>
      <c r="B38" s="37">
        <v>971</v>
      </c>
      <c r="C38" s="37">
        <v>1602</v>
      </c>
      <c r="D38" s="37">
        <v>890</v>
      </c>
      <c r="E38" s="37">
        <v>1163</v>
      </c>
      <c r="F38" s="37">
        <v>1060</v>
      </c>
      <c r="G38" s="37">
        <v>579</v>
      </c>
      <c r="H38" s="37">
        <v>1401</v>
      </c>
      <c r="I38" s="37">
        <v>1648</v>
      </c>
      <c r="J38" s="37">
        <v>1090</v>
      </c>
      <c r="K38" s="37">
        <v>774</v>
      </c>
      <c r="L38" s="37">
        <v>706</v>
      </c>
      <c r="M38" s="37">
        <v>779</v>
      </c>
      <c r="N38" s="37">
        <v>1370</v>
      </c>
      <c r="O38" s="37">
        <v>1015</v>
      </c>
      <c r="P38" s="37">
        <v>1051</v>
      </c>
      <c r="Q38" s="37">
        <v>1563</v>
      </c>
      <c r="R38" s="37">
        <v>825</v>
      </c>
      <c r="S38" s="37">
        <v>916</v>
      </c>
      <c r="T38" s="37">
        <v>1674</v>
      </c>
      <c r="U38" s="37">
        <v>1172</v>
      </c>
      <c r="V38" s="37">
        <v>970</v>
      </c>
      <c r="W38" s="37">
        <v>1526</v>
      </c>
      <c r="X38" s="37">
        <v>1246</v>
      </c>
      <c r="Y38" s="37">
        <v>1338</v>
      </c>
      <c r="Z38" s="37">
        <v>550</v>
      </c>
      <c r="AA38" s="37">
        <v>1530</v>
      </c>
      <c r="AB38" s="37">
        <v>1494</v>
      </c>
      <c r="AC38" s="37">
        <v>908</v>
      </c>
      <c r="AD38" s="37">
        <v>1731</v>
      </c>
      <c r="AE38" s="37">
        <v>1443</v>
      </c>
      <c r="AF38" s="37">
        <v>749</v>
      </c>
      <c r="AG38" s="37">
        <v>1406</v>
      </c>
      <c r="AH38" s="37">
        <v>1332</v>
      </c>
      <c r="AI38" s="37">
        <v>1376</v>
      </c>
      <c r="AJ38" s="37">
        <v>1733</v>
      </c>
      <c r="AK38" s="37">
        <v>1582</v>
      </c>
      <c r="AL38" s="37">
        <v>542</v>
      </c>
      <c r="AM38" s="37">
        <v>885</v>
      </c>
      <c r="AN38" s="37">
        <v>1375</v>
      </c>
      <c r="AO38" s="37">
        <v>1215</v>
      </c>
      <c r="AP38" s="37">
        <v>840</v>
      </c>
      <c r="AQ38" s="37">
        <v>842</v>
      </c>
      <c r="AR38" s="37">
        <v>754</v>
      </c>
      <c r="AS38" s="37">
        <v>1908</v>
      </c>
      <c r="AT38" s="37">
        <v>1633</v>
      </c>
      <c r="AU38" s="37">
        <v>937</v>
      </c>
      <c r="AV38" s="37">
        <v>749</v>
      </c>
      <c r="AW38" s="37">
        <v>1621</v>
      </c>
      <c r="AX38" s="37">
        <v>757</v>
      </c>
      <c r="AY38" s="37">
        <v>1190</v>
      </c>
      <c r="AZ38" s="37">
        <v>1123</v>
      </c>
      <c r="BA38" s="37">
        <v>1408</v>
      </c>
      <c r="BB38" s="37">
        <v>924</v>
      </c>
      <c r="BC38" s="37">
        <v>905</v>
      </c>
      <c r="BD38" s="37">
        <v>1663</v>
      </c>
      <c r="BE38" s="37">
        <v>1677</v>
      </c>
      <c r="BF38" s="37">
        <v>840</v>
      </c>
      <c r="BG38" s="37">
        <v>762</v>
      </c>
      <c r="BH38" s="37">
        <v>1548</v>
      </c>
      <c r="BI38" s="37">
        <v>1376</v>
      </c>
      <c r="BJ38" s="37">
        <v>1176</v>
      </c>
      <c r="BK38" s="37">
        <v>1374</v>
      </c>
      <c r="BL38" s="37">
        <v>559</v>
      </c>
      <c r="BM38" s="37">
        <v>1304</v>
      </c>
      <c r="BN38" s="37">
        <v>780</v>
      </c>
      <c r="BO38" s="37">
        <v>731</v>
      </c>
      <c r="BP38" s="37">
        <v>384</v>
      </c>
      <c r="BQ38" s="37">
        <v>1197</v>
      </c>
      <c r="BR38" s="37">
        <v>1569</v>
      </c>
      <c r="BS38" s="37">
        <v>723</v>
      </c>
      <c r="BT38" s="37">
        <v>1342</v>
      </c>
      <c r="BU38" s="37">
        <v>1336</v>
      </c>
      <c r="BV38" s="37">
        <v>1428</v>
      </c>
      <c r="BW38" s="37">
        <v>1976</v>
      </c>
      <c r="BX38" s="37">
        <v>1433</v>
      </c>
      <c r="BY38" s="37">
        <v>1653</v>
      </c>
      <c r="BZ38" s="37">
        <v>1691</v>
      </c>
      <c r="CA38" s="37">
        <v>765</v>
      </c>
      <c r="CB38" s="37">
        <v>547</v>
      </c>
      <c r="CC38" s="37">
        <v>1316</v>
      </c>
      <c r="CD38" s="37">
        <v>1467</v>
      </c>
      <c r="CE38" s="37">
        <v>1101</v>
      </c>
      <c r="CF38" s="37">
        <v>832</v>
      </c>
      <c r="CG38" s="37">
        <v>1260</v>
      </c>
      <c r="CH38" s="37">
        <v>1965</v>
      </c>
      <c r="CI38" s="37">
        <v>1192</v>
      </c>
      <c r="CJ38" s="37">
        <v>1459</v>
      </c>
      <c r="CK38" s="37">
        <v>1339</v>
      </c>
      <c r="CL38" s="37">
        <v>918</v>
      </c>
      <c r="CM38" s="37">
        <v>780</v>
      </c>
      <c r="CN38" s="37">
        <v>1507</v>
      </c>
      <c r="CO38" s="37">
        <v>1804</v>
      </c>
      <c r="CP38" s="37">
        <v>903</v>
      </c>
      <c r="CQ38" s="37">
        <v>861</v>
      </c>
      <c r="CR38" s="37">
        <v>1227</v>
      </c>
      <c r="CS38" s="37">
        <v>1227</v>
      </c>
      <c r="CT38" s="37">
        <v>717</v>
      </c>
      <c r="CU38" s="37">
        <v>1608</v>
      </c>
      <c r="CV38" s="37">
        <v>1301</v>
      </c>
      <c r="CW38" s="37">
        <v>872</v>
      </c>
      <c r="CX38" s="37">
        <v>1119</v>
      </c>
      <c r="CY38" s="37">
        <v>1293</v>
      </c>
      <c r="CZ38" s="37">
        <v>812</v>
      </c>
      <c r="DA38" s="37">
        <v>1520</v>
      </c>
      <c r="DB38" s="37">
        <v>1792</v>
      </c>
      <c r="DC38" s="37">
        <v>1622</v>
      </c>
      <c r="DD38" s="37">
        <v>624</v>
      </c>
      <c r="DE38" s="37">
        <v>964</v>
      </c>
      <c r="DF38" s="37">
        <v>964</v>
      </c>
      <c r="DG38" s="37">
        <v>1035</v>
      </c>
      <c r="DH38" s="37">
        <v>1018</v>
      </c>
      <c r="DI38" s="37">
        <v>1110</v>
      </c>
      <c r="DJ38" s="37">
        <v>744</v>
      </c>
      <c r="DK38" s="37">
        <v>1011</v>
      </c>
      <c r="DL38" s="37">
        <v>1040</v>
      </c>
      <c r="DM38" s="37">
        <v>721</v>
      </c>
      <c r="DN38" s="37">
        <v>25</v>
      </c>
      <c r="DO38" s="37">
        <v>1332</v>
      </c>
      <c r="DP38" s="37">
        <v>596</v>
      </c>
      <c r="DQ38" s="37">
        <v>1194</v>
      </c>
      <c r="DR38" s="37">
        <v>1273</v>
      </c>
      <c r="DS38" s="37">
        <v>1130</v>
      </c>
      <c r="DT38" s="37">
        <v>978</v>
      </c>
      <c r="DU38" s="37">
        <v>1957</v>
      </c>
      <c r="DV38" s="37">
        <v>828</v>
      </c>
      <c r="DW38" s="37">
        <v>922</v>
      </c>
      <c r="DX38" s="37">
        <v>1058</v>
      </c>
      <c r="DY38" s="37">
        <v>1474</v>
      </c>
      <c r="DZ38" s="37">
        <v>1089</v>
      </c>
      <c r="EA38" s="37">
        <v>1419</v>
      </c>
      <c r="EB38" s="37">
        <v>1208</v>
      </c>
      <c r="EC38" s="37">
        <v>879</v>
      </c>
      <c r="ED38" s="37">
        <v>852</v>
      </c>
      <c r="EE38" s="37">
        <v>874</v>
      </c>
      <c r="EF38" s="37">
        <v>1244</v>
      </c>
      <c r="EG38" s="37">
        <v>1613</v>
      </c>
      <c r="EH38" s="37">
        <v>2008</v>
      </c>
      <c r="EI38" s="37">
        <v>726</v>
      </c>
      <c r="EJ38" s="37">
        <v>725</v>
      </c>
      <c r="EK38" s="37">
        <v>1712</v>
      </c>
      <c r="EL38" s="37">
        <v>1842</v>
      </c>
      <c r="EM38" s="37">
        <v>2054</v>
      </c>
      <c r="EN38" s="37">
        <v>1129</v>
      </c>
      <c r="EO38" s="37">
        <v>791</v>
      </c>
      <c r="EP38" s="37">
        <v>645</v>
      </c>
      <c r="EQ38" s="37">
        <v>1418</v>
      </c>
      <c r="ER38" s="37">
        <v>869</v>
      </c>
      <c r="ES38" s="37">
        <v>546</v>
      </c>
    </row>
    <row r="39" spans="1:149" x14ac:dyDescent="0.3">
      <c r="A39" s="37" t="s">
        <v>13</v>
      </c>
      <c r="B39" s="37">
        <v>362</v>
      </c>
      <c r="C39" s="37">
        <v>1115</v>
      </c>
      <c r="D39" s="37">
        <v>1517</v>
      </c>
      <c r="E39" s="37">
        <v>1389</v>
      </c>
      <c r="F39" s="37">
        <v>247</v>
      </c>
      <c r="G39" s="37">
        <v>832</v>
      </c>
      <c r="H39" s="37">
        <v>137</v>
      </c>
      <c r="I39" s="37">
        <v>384</v>
      </c>
      <c r="J39" s="37">
        <v>1152</v>
      </c>
      <c r="K39" s="37">
        <v>1441</v>
      </c>
      <c r="L39" s="37">
        <v>1722</v>
      </c>
      <c r="M39" s="37">
        <v>1073</v>
      </c>
      <c r="N39" s="37">
        <v>2304</v>
      </c>
      <c r="O39" s="37">
        <v>1641</v>
      </c>
      <c r="P39" s="37">
        <v>256</v>
      </c>
      <c r="Q39" s="37">
        <v>2015</v>
      </c>
      <c r="R39" s="37">
        <v>895</v>
      </c>
      <c r="S39" s="37">
        <v>1334</v>
      </c>
      <c r="T39" s="37">
        <v>410</v>
      </c>
      <c r="U39" s="37">
        <v>1940</v>
      </c>
      <c r="V39" s="37">
        <v>1436</v>
      </c>
      <c r="W39" s="37">
        <v>337</v>
      </c>
      <c r="X39" s="37">
        <v>1283</v>
      </c>
      <c r="Y39" s="37">
        <v>288</v>
      </c>
      <c r="Z39" s="37">
        <v>1829</v>
      </c>
      <c r="AA39" s="37">
        <v>607</v>
      </c>
      <c r="AB39" s="37">
        <v>1946</v>
      </c>
      <c r="AC39" s="37">
        <v>1521</v>
      </c>
      <c r="AD39" s="37">
        <v>2666</v>
      </c>
      <c r="AE39" s="37">
        <v>183</v>
      </c>
      <c r="AF39" s="37">
        <v>1183</v>
      </c>
      <c r="AG39" s="37">
        <v>2340</v>
      </c>
      <c r="AH39" s="37">
        <v>2266</v>
      </c>
      <c r="AI39" s="37">
        <v>2310</v>
      </c>
      <c r="AJ39" s="37">
        <v>2667</v>
      </c>
      <c r="AK39" s="37">
        <v>2517</v>
      </c>
      <c r="AL39" s="37">
        <v>1808</v>
      </c>
      <c r="AM39" s="37">
        <v>1281</v>
      </c>
      <c r="AN39" s="37">
        <v>2180</v>
      </c>
      <c r="AO39" s="37">
        <v>191</v>
      </c>
      <c r="AP39" s="37">
        <v>1413</v>
      </c>
      <c r="AQ39" s="37">
        <v>1009</v>
      </c>
      <c r="AR39" s="37">
        <v>1357</v>
      </c>
      <c r="AS39" s="37">
        <v>2842</v>
      </c>
      <c r="AT39" s="37">
        <v>2568</v>
      </c>
      <c r="AU39" s="37">
        <v>469</v>
      </c>
      <c r="AV39" s="37">
        <v>817</v>
      </c>
      <c r="AW39" s="37">
        <v>357</v>
      </c>
      <c r="AX39" s="37">
        <v>1204</v>
      </c>
      <c r="AY39" s="37">
        <v>155</v>
      </c>
      <c r="AZ39" s="37">
        <v>1753</v>
      </c>
      <c r="BA39" s="37">
        <v>270</v>
      </c>
      <c r="BB39" s="37">
        <v>1858</v>
      </c>
      <c r="BC39" s="37">
        <v>1983</v>
      </c>
      <c r="BD39" s="37">
        <v>398</v>
      </c>
      <c r="BE39" s="37">
        <v>2129</v>
      </c>
      <c r="BF39" s="37">
        <v>492</v>
      </c>
      <c r="BG39" s="37">
        <v>1212</v>
      </c>
      <c r="BH39" s="37">
        <v>432</v>
      </c>
      <c r="BI39" s="37">
        <v>32</v>
      </c>
      <c r="BJ39" s="37">
        <v>1011</v>
      </c>
      <c r="BK39" s="37">
        <v>314</v>
      </c>
      <c r="BL39" s="37">
        <v>1001</v>
      </c>
      <c r="BM39" s="37">
        <v>2034</v>
      </c>
      <c r="BN39" s="37">
        <v>1714</v>
      </c>
      <c r="BO39" s="37">
        <v>1073</v>
      </c>
      <c r="BP39" s="37">
        <v>979</v>
      </c>
      <c r="BQ39" s="37">
        <v>449</v>
      </c>
      <c r="BR39" s="37">
        <v>304</v>
      </c>
      <c r="BS39" s="37">
        <v>1324</v>
      </c>
      <c r="BT39" s="37">
        <v>377</v>
      </c>
      <c r="BU39" s="37">
        <v>208</v>
      </c>
      <c r="BV39" s="37">
        <v>775</v>
      </c>
      <c r="BW39" s="37">
        <v>2428</v>
      </c>
      <c r="BX39" s="37">
        <v>1391</v>
      </c>
      <c r="BY39" s="37">
        <v>389</v>
      </c>
      <c r="BZ39" s="37">
        <v>2625</v>
      </c>
      <c r="CA39" s="37">
        <v>626</v>
      </c>
      <c r="CB39" s="37">
        <v>1600</v>
      </c>
      <c r="CC39" s="37">
        <v>119</v>
      </c>
      <c r="CD39" s="37">
        <v>203</v>
      </c>
      <c r="CE39" s="37">
        <v>1832</v>
      </c>
      <c r="CF39" s="37">
        <v>1623</v>
      </c>
      <c r="CG39" s="37">
        <v>687</v>
      </c>
      <c r="CH39" s="37">
        <v>2899</v>
      </c>
      <c r="CI39" s="37">
        <v>333</v>
      </c>
      <c r="CJ39" s="37">
        <v>2393</v>
      </c>
      <c r="CK39" s="37">
        <v>546</v>
      </c>
      <c r="CL39" s="37">
        <v>423</v>
      </c>
      <c r="CM39" s="37">
        <v>683</v>
      </c>
      <c r="CN39" s="37">
        <v>242</v>
      </c>
      <c r="CO39" s="37">
        <v>2738</v>
      </c>
      <c r="CP39" s="37">
        <v>1837</v>
      </c>
      <c r="CQ39" s="37">
        <v>1341</v>
      </c>
      <c r="CR39" s="37">
        <v>109</v>
      </c>
      <c r="CS39" s="37">
        <v>1041</v>
      </c>
      <c r="CT39" s="37">
        <v>1586</v>
      </c>
      <c r="CU39" s="37">
        <v>311</v>
      </c>
      <c r="CV39" s="37">
        <v>155</v>
      </c>
      <c r="CW39" s="37">
        <v>1164</v>
      </c>
      <c r="CX39" s="37">
        <v>1583</v>
      </c>
      <c r="CY39" s="37">
        <v>53</v>
      </c>
      <c r="CZ39" s="37">
        <v>1220</v>
      </c>
      <c r="DA39" s="37">
        <v>2454</v>
      </c>
      <c r="DB39" s="37">
        <v>2244</v>
      </c>
      <c r="DC39" s="37">
        <v>2556</v>
      </c>
      <c r="DD39" s="37">
        <v>1559</v>
      </c>
      <c r="DE39" s="37">
        <v>1446</v>
      </c>
      <c r="DF39" s="37">
        <v>1446</v>
      </c>
      <c r="DG39" s="37">
        <v>1341</v>
      </c>
      <c r="DH39" s="37">
        <v>1325</v>
      </c>
      <c r="DI39" s="37">
        <v>230</v>
      </c>
      <c r="DJ39" s="37">
        <v>1224</v>
      </c>
      <c r="DK39" s="37">
        <v>1620</v>
      </c>
      <c r="DL39" s="37">
        <v>1506</v>
      </c>
      <c r="DM39" s="37">
        <v>1413</v>
      </c>
      <c r="DN39" s="37">
        <v>1350</v>
      </c>
      <c r="DO39" s="37">
        <v>1289</v>
      </c>
      <c r="DP39" s="37">
        <v>1370</v>
      </c>
      <c r="DQ39" s="37">
        <v>269</v>
      </c>
      <c r="DR39" s="37">
        <v>213</v>
      </c>
      <c r="DS39" s="37">
        <v>217</v>
      </c>
      <c r="DT39" s="37">
        <v>1374</v>
      </c>
      <c r="DU39" s="37">
        <v>2505</v>
      </c>
      <c r="DV39" s="37">
        <v>1274</v>
      </c>
      <c r="DW39" s="37">
        <v>1477</v>
      </c>
      <c r="DX39" s="37">
        <v>1832</v>
      </c>
      <c r="DY39" s="37">
        <v>238</v>
      </c>
      <c r="DZ39" s="37">
        <v>1711</v>
      </c>
      <c r="EA39" s="37">
        <v>2240</v>
      </c>
      <c r="EB39" s="37">
        <v>1660</v>
      </c>
      <c r="EC39" s="37">
        <v>1234</v>
      </c>
      <c r="ED39" s="37">
        <v>1098</v>
      </c>
      <c r="EE39" s="37">
        <v>1742</v>
      </c>
      <c r="EF39" s="37">
        <v>159</v>
      </c>
      <c r="EG39" s="37">
        <v>459</v>
      </c>
      <c r="EH39" s="37">
        <v>744</v>
      </c>
      <c r="EI39" s="37">
        <v>874</v>
      </c>
      <c r="EJ39" s="37">
        <v>2117</v>
      </c>
      <c r="EK39" s="37">
        <v>2646</v>
      </c>
      <c r="EL39" s="37">
        <v>2776</v>
      </c>
      <c r="EM39" s="37">
        <v>2988</v>
      </c>
      <c r="EN39" s="37">
        <v>831</v>
      </c>
      <c r="EO39" s="37">
        <v>1015</v>
      </c>
      <c r="EP39" s="37">
        <v>951</v>
      </c>
      <c r="EQ39" s="37">
        <v>2352</v>
      </c>
      <c r="ER39" s="37">
        <v>1987</v>
      </c>
      <c r="ES39" s="37">
        <v>1909</v>
      </c>
    </row>
    <row r="40" spans="1:149" x14ac:dyDescent="0.3">
      <c r="A40" s="37" t="s">
        <v>23</v>
      </c>
      <c r="B40" s="37">
        <v>1614</v>
      </c>
      <c r="C40" s="37">
        <v>1512</v>
      </c>
      <c r="D40" s="37">
        <v>800</v>
      </c>
      <c r="E40" s="37">
        <v>776</v>
      </c>
      <c r="F40" s="37">
        <v>1703</v>
      </c>
      <c r="G40" s="37">
        <v>1407</v>
      </c>
      <c r="H40" s="37">
        <v>2044</v>
      </c>
      <c r="I40" s="37">
        <v>2291</v>
      </c>
      <c r="J40" s="37">
        <v>1451</v>
      </c>
      <c r="K40" s="37">
        <v>829</v>
      </c>
      <c r="L40" s="37">
        <v>973</v>
      </c>
      <c r="M40" s="37">
        <v>1657</v>
      </c>
      <c r="N40" s="37">
        <v>644</v>
      </c>
      <c r="O40" s="37">
        <v>768</v>
      </c>
      <c r="P40" s="37">
        <v>1850</v>
      </c>
      <c r="Q40" s="37">
        <v>2105</v>
      </c>
      <c r="R40" s="37">
        <v>1775</v>
      </c>
      <c r="S40" s="37">
        <v>1568</v>
      </c>
      <c r="T40" s="37">
        <v>2317</v>
      </c>
      <c r="U40" s="37">
        <v>824</v>
      </c>
      <c r="V40" s="37">
        <v>1503</v>
      </c>
      <c r="W40" s="37">
        <v>2169</v>
      </c>
      <c r="X40" s="37">
        <v>1580</v>
      </c>
      <c r="Y40" s="37">
        <v>1981</v>
      </c>
      <c r="Z40" s="37">
        <v>777</v>
      </c>
      <c r="AA40" s="37">
        <v>1941</v>
      </c>
      <c r="AB40" s="37">
        <v>2036</v>
      </c>
      <c r="AC40" s="37">
        <v>1294</v>
      </c>
      <c r="AD40" s="37">
        <v>1066</v>
      </c>
      <c r="AE40" s="37">
        <v>2086</v>
      </c>
      <c r="AF40" s="37">
        <v>1654</v>
      </c>
      <c r="AG40" s="37">
        <v>456</v>
      </c>
      <c r="AH40" s="37">
        <v>549</v>
      </c>
      <c r="AI40" s="37">
        <v>480</v>
      </c>
      <c r="AJ40" s="37">
        <v>893</v>
      </c>
      <c r="AK40" s="37">
        <v>632</v>
      </c>
      <c r="AL40" s="37">
        <v>803</v>
      </c>
      <c r="AM40" s="37">
        <v>1658</v>
      </c>
      <c r="AN40" s="37">
        <v>703</v>
      </c>
      <c r="AO40" s="37">
        <v>1858</v>
      </c>
      <c r="AP40" s="37">
        <v>1399</v>
      </c>
      <c r="AQ40" s="37">
        <v>1665</v>
      </c>
      <c r="AR40" s="37">
        <v>1270</v>
      </c>
      <c r="AS40" s="37">
        <v>1068</v>
      </c>
      <c r="AT40" s="37">
        <v>794</v>
      </c>
      <c r="AU40" s="37">
        <v>1580</v>
      </c>
      <c r="AV40" s="37">
        <v>1697</v>
      </c>
      <c r="AW40" s="37">
        <v>2264</v>
      </c>
      <c r="AX40" s="37">
        <v>1482</v>
      </c>
      <c r="AY40" s="37">
        <v>1834</v>
      </c>
      <c r="AZ40" s="37">
        <v>191</v>
      </c>
      <c r="BA40" s="37">
        <v>2050</v>
      </c>
      <c r="BB40" s="37">
        <v>482</v>
      </c>
      <c r="BC40" s="37">
        <v>41</v>
      </c>
      <c r="BD40" s="37">
        <v>2306</v>
      </c>
      <c r="BE40" s="37">
        <v>2219</v>
      </c>
      <c r="BF40" s="37">
        <v>1483</v>
      </c>
      <c r="BG40" s="37">
        <v>1584</v>
      </c>
      <c r="BH40" s="37">
        <v>2191</v>
      </c>
      <c r="BI40" s="37">
        <v>2019</v>
      </c>
      <c r="BJ40" s="37">
        <v>1582</v>
      </c>
      <c r="BK40" s="37">
        <v>2017</v>
      </c>
      <c r="BL40" s="37">
        <v>1048</v>
      </c>
      <c r="BM40" s="37">
        <v>770</v>
      </c>
      <c r="BN40" s="37">
        <v>275</v>
      </c>
      <c r="BO40" s="37">
        <v>1132</v>
      </c>
      <c r="BP40" s="37">
        <v>1056</v>
      </c>
      <c r="BQ40" s="37">
        <v>1840</v>
      </c>
      <c r="BR40" s="37">
        <v>2212</v>
      </c>
      <c r="BS40" s="37">
        <v>926</v>
      </c>
      <c r="BT40" s="37">
        <v>1984</v>
      </c>
      <c r="BU40" s="37">
        <v>1980</v>
      </c>
      <c r="BV40" s="37">
        <v>1791</v>
      </c>
      <c r="BW40" s="37">
        <v>2518</v>
      </c>
      <c r="BX40" s="37">
        <v>1794</v>
      </c>
      <c r="BY40" s="37">
        <v>2296</v>
      </c>
      <c r="BZ40" s="37">
        <v>965</v>
      </c>
      <c r="CA40" s="37">
        <v>1618</v>
      </c>
      <c r="CB40" s="37">
        <v>322</v>
      </c>
      <c r="CC40" s="37">
        <v>1959</v>
      </c>
      <c r="CD40" s="37">
        <v>2110</v>
      </c>
      <c r="CE40" s="37">
        <v>808</v>
      </c>
      <c r="CF40" s="37">
        <v>1219</v>
      </c>
      <c r="CG40" s="37">
        <v>1675</v>
      </c>
      <c r="CH40" s="37">
        <v>1119</v>
      </c>
      <c r="CI40" s="37">
        <v>1835</v>
      </c>
      <c r="CJ40" s="37">
        <v>626</v>
      </c>
      <c r="CK40" s="37">
        <v>1765</v>
      </c>
      <c r="CL40" s="37">
        <v>1837</v>
      </c>
      <c r="CM40" s="37">
        <v>1705</v>
      </c>
      <c r="CN40" s="37">
        <v>2150</v>
      </c>
      <c r="CO40" s="37">
        <v>905</v>
      </c>
      <c r="CP40" s="37">
        <v>369</v>
      </c>
      <c r="CQ40" s="37">
        <v>958</v>
      </c>
      <c r="CR40" s="37">
        <v>1871</v>
      </c>
      <c r="CS40" s="37">
        <v>1586</v>
      </c>
      <c r="CT40" s="37">
        <v>1108</v>
      </c>
      <c r="CU40" s="37">
        <v>2209</v>
      </c>
      <c r="CV40" s="37">
        <v>1944</v>
      </c>
      <c r="CW40" s="37">
        <v>1718</v>
      </c>
      <c r="CX40" s="37">
        <v>998</v>
      </c>
      <c r="CY40" s="37">
        <v>1936</v>
      </c>
      <c r="CZ40" s="37">
        <v>1636</v>
      </c>
      <c r="DA40" s="37">
        <v>794</v>
      </c>
      <c r="DB40" s="37">
        <v>2334</v>
      </c>
      <c r="DC40" s="37">
        <v>833</v>
      </c>
      <c r="DD40" s="37">
        <v>565</v>
      </c>
      <c r="DE40" s="37">
        <v>956</v>
      </c>
      <c r="DF40" s="37">
        <v>956</v>
      </c>
      <c r="DG40" s="37">
        <v>1231</v>
      </c>
      <c r="DH40" s="37">
        <v>1248</v>
      </c>
      <c r="DI40" s="37">
        <v>1753</v>
      </c>
      <c r="DJ40" s="37">
        <v>1577</v>
      </c>
      <c r="DK40" s="37">
        <v>851</v>
      </c>
      <c r="DL40" s="37">
        <v>1574</v>
      </c>
      <c r="DM40" s="37">
        <v>1209</v>
      </c>
      <c r="DN40" s="37">
        <v>880</v>
      </c>
      <c r="DO40" s="37">
        <v>1693</v>
      </c>
      <c r="DP40" s="37">
        <v>1230</v>
      </c>
      <c r="DQ40" s="37">
        <v>1838</v>
      </c>
      <c r="DR40" s="37">
        <v>1916</v>
      </c>
      <c r="DS40" s="37">
        <v>1930</v>
      </c>
      <c r="DT40" s="37">
        <v>1607</v>
      </c>
      <c r="DU40" s="37">
        <v>731</v>
      </c>
      <c r="DV40" s="37">
        <v>1619</v>
      </c>
      <c r="DW40" s="37">
        <v>896</v>
      </c>
      <c r="DX40" s="37">
        <v>774</v>
      </c>
      <c r="DY40" s="37">
        <v>2117</v>
      </c>
      <c r="DZ40" s="37">
        <v>818</v>
      </c>
      <c r="EA40" s="37">
        <v>748</v>
      </c>
      <c r="EB40" s="37">
        <v>1750</v>
      </c>
      <c r="EC40" s="37">
        <v>1703</v>
      </c>
      <c r="ED40" s="37">
        <v>1735</v>
      </c>
      <c r="EE40" s="37">
        <v>601</v>
      </c>
      <c r="EF40" s="37">
        <v>1887</v>
      </c>
      <c r="EG40" s="37">
        <v>2256</v>
      </c>
      <c r="EH40" s="37">
        <v>2651</v>
      </c>
      <c r="EI40" s="37">
        <v>1215</v>
      </c>
      <c r="EJ40" s="37">
        <v>132</v>
      </c>
      <c r="EK40" s="37">
        <v>775</v>
      </c>
      <c r="EL40" s="37">
        <v>1002</v>
      </c>
      <c r="EM40" s="37">
        <v>1170</v>
      </c>
      <c r="EN40" s="37">
        <v>1540</v>
      </c>
      <c r="EO40" s="37">
        <v>1280</v>
      </c>
      <c r="EP40" s="37">
        <v>1513</v>
      </c>
      <c r="EQ40" s="37">
        <v>523</v>
      </c>
      <c r="ER40" s="37">
        <v>25</v>
      </c>
      <c r="ES40" s="37">
        <v>348</v>
      </c>
    </row>
    <row r="41" spans="1:149" x14ac:dyDescent="0.3">
      <c r="A41" s="37" t="s">
        <v>14</v>
      </c>
      <c r="B41" s="37">
        <v>449</v>
      </c>
      <c r="C41" s="37">
        <v>1183</v>
      </c>
      <c r="D41" s="37">
        <v>1586</v>
      </c>
      <c r="E41" s="37">
        <v>1476</v>
      </c>
      <c r="F41" s="37">
        <v>378</v>
      </c>
      <c r="G41" s="37">
        <v>919</v>
      </c>
      <c r="H41" s="37">
        <v>34</v>
      </c>
      <c r="I41" s="37">
        <v>255</v>
      </c>
      <c r="J41" s="37">
        <v>1220</v>
      </c>
      <c r="K41" s="37">
        <v>1509</v>
      </c>
      <c r="L41" s="37">
        <v>1808</v>
      </c>
      <c r="M41" s="37">
        <v>1160</v>
      </c>
      <c r="N41" s="37">
        <v>2391</v>
      </c>
      <c r="O41" s="37">
        <v>1710</v>
      </c>
      <c r="P41" s="37">
        <v>440</v>
      </c>
      <c r="Q41" s="37">
        <v>2102</v>
      </c>
      <c r="R41" s="37">
        <v>982</v>
      </c>
      <c r="S41" s="37">
        <v>1421</v>
      </c>
      <c r="T41" s="37">
        <v>243</v>
      </c>
      <c r="U41" s="37">
        <v>2009</v>
      </c>
      <c r="V41" s="37">
        <v>1523</v>
      </c>
      <c r="W41" s="37">
        <v>216</v>
      </c>
      <c r="X41" s="37">
        <v>1351</v>
      </c>
      <c r="Y41" s="37">
        <v>305</v>
      </c>
      <c r="Z41" s="37">
        <v>1916</v>
      </c>
      <c r="AA41" s="37">
        <v>532</v>
      </c>
      <c r="AB41" s="37">
        <v>2033</v>
      </c>
      <c r="AC41" s="37">
        <v>1608</v>
      </c>
      <c r="AD41" s="37">
        <v>2753</v>
      </c>
      <c r="AE41" s="37">
        <v>15</v>
      </c>
      <c r="AF41" s="37">
        <v>1270</v>
      </c>
      <c r="AG41" s="37">
        <v>2428</v>
      </c>
      <c r="AH41" s="37">
        <v>2353</v>
      </c>
      <c r="AI41" s="37">
        <v>2397</v>
      </c>
      <c r="AJ41" s="37">
        <v>2754</v>
      </c>
      <c r="AK41" s="37">
        <v>2604</v>
      </c>
      <c r="AL41" s="37">
        <v>1896</v>
      </c>
      <c r="AM41" s="37">
        <v>1368</v>
      </c>
      <c r="AN41" s="37">
        <v>2248</v>
      </c>
      <c r="AO41" s="37">
        <v>234</v>
      </c>
      <c r="AP41" s="37">
        <v>1500</v>
      </c>
      <c r="AQ41" s="37">
        <v>1096</v>
      </c>
      <c r="AR41" s="37">
        <v>1444</v>
      </c>
      <c r="AS41" s="37">
        <v>2929</v>
      </c>
      <c r="AT41" s="37">
        <v>2655</v>
      </c>
      <c r="AU41" s="37">
        <v>556</v>
      </c>
      <c r="AV41" s="37">
        <v>904</v>
      </c>
      <c r="AW41" s="37">
        <v>228</v>
      </c>
      <c r="AX41" s="37">
        <v>1291</v>
      </c>
      <c r="AY41" s="37">
        <v>260</v>
      </c>
      <c r="AZ41" s="37">
        <v>1840</v>
      </c>
      <c r="BA41" s="37">
        <v>197</v>
      </c>
      <c r="BB41" s="37">
        <v>1945</v>
      </c>
      <c r="BC41" s="37">
        <v>2070</v>
      </c>
      <c r="BD41" s="37">
        <v>231</v>
      </c>
      <c r="BE41" s="37">
        <v>2216</v>
      </c>
      <c r="BF41" s="37">
        <v>579</v>
      </c>
      <c r="BG41" s="37">
        <v>1299</v>
      </c>
      <c r="BH41" s="37">
        <v>311</v>
      </c>
      <c r="BI41" s="37">
        <v>199</v>
      </c>
      <c r="BJ41" s="37">
        <v>1080</v>
      </c>
      <c r="BK41" s="37">
        <v>243</v>
      </c>
      <c r="BL41" s="37">
        <v>1088</v>
      </c>
      <c r="BM41" s="37">
        <v>2102</v>
      </c>
      <c r="BN41" s="37">
        <v>1802</v>
      </c>
      <c r="BO41" s="37">
        <v>1141</v>
      </c>
      <c r="BP41" s="37">
        <v>1066</v>
      </c>
      <c r="BQ41" s="37">
        <v>518</v>
      </c>
      <c r="BR41" s="37">
        <v>175</v>
      </c>
      <c r="BS41" s="37">
        <v>1392</v>
      </c>
      <c r="BT41" s="37">
        <v>394</v>
      </c>
      <c r="BU41" s="37">
        <v>185</v>
      </c>
      <c r="BV41" s="37">
        <v>719</v>
      </c>
      <c r="BW41" s="37">
        <v>2515</v>
      </c>
      <c r="BX41" s="37">
        <v>1459</v>
      </c>
      <c r="BY41" s="37">
        <v>238</v>
      </c>
      <c r="BZ41" s="37">
        <v>2712</v>
      </c>
      <c r="CA41" s="37">
        <v>713</v>
      </c>
      <c r="CB41" s="37">
        <v>1687</v>
      </c>
      <c r="CC41" s="37">
        <v>117</v>
      </c>
      <c r="CD41" s="37">
        <v>74</v>
      </c>
      <c r="CE41" s="37">
        <v>1900</v>
      </c>
      <c r="CF41" s="37">
        <v>1710</v>
      </c>
      <c r="CG41" s="37">
        <v>755</v>
      </c>
      <c r="CH41" s="37">
        <v>2986</v>
      </c>
      <c r="CI41" s="37">
        <v>401</v>
      </c>
      <c r="CJ41" s="37">
        <v>2480</v>
      </c>
      <c r="CK41" s="37">
        <v>532</v>
      </c>
      <c r="CL41" s="37">
        <v>607</v>
      </c>
      <c r="CM41" s="37">
        <v>770</v>
      </c>
      <c r="CN41" s="37">
        <v>113</v>
      </c>
      <c r="CO41" s="37">
        <v>2825</v>
      </c>
      <c r="CP41" s="37">
        <v>1924</v>
      </c>
      <c r="CQ41" s="37">
        <v>1409</v>
      </c>
      <c r="CR41" s="37">
        <v>224</v>
      </c>
      <c r="CS41" s="37">
        <v>1110</v>
      </c>
      <c r="CT41" s="37">
        <v>1673</v>
      </c>
      <c r="CU41" s="37">
        <v>182</v>
      </c>
      <c r="CV41" s="37">
        <v>340</v>
      </c>
      <c r="CW41" s="37">
        <v>1251</v>
      </c>
      <c r="CX41" s="37">
        <v>1652</v>
      </c>
      <c r="CY41" s="37">
        <v>198</v>
      </c>
      <c r="CZ41" s="37">
        <v>1307</v>
      </c>
      <c r="DA41" s="37">
        <v>2541</v>
      </c>
      <c r="DB41" s="37">
        <v>2331</v>
      </c>
      <c r="DC41" s="37">
        <v>2643</v>
      </c>
      <c r="DD41" s="37">
        <v>1646</v>
      </c>
      <c r="DE41" s="37">
        <v>1515</v>
      </c>
      <c r="DF41" s="37">
        <v>1515</v>
      </c>
      <c r="DG41" s="37">
        <v>1410</v>
      </c>
      <c r="DH41" s="37">
        <v>1394</v>
      </c>
      <c r="DI41" s="37">
        <v>302</v>
      </c>
      <c r="DJ41" s="37">
        <v>1311</v>
      </c>
      <c r="DK41" s="37">
        <v>1688</v>
      </c>
      <c r="DL41" s="37">
        <v>1593</v>
      </c>
      <c r="DM41" s="37">
        <v>1500</v>
      </c>
      <c r="DN41" s="37">
        <v>1437</v>
      </c>
      <c r="DO41" s="37">
        <v>1357</v>
      </c>
      <c r="DP41" s="37">
        <v>1457</v>
      </c>
      <c r="DQ41" s="37">
        <v>326</v>
      </c>
      <c r="DR41" s="37">
        <v>230</v>
      </c>
      <c r="DS41" s="37">
        <v>415</v>
      </c>
      <c r="DT41" s="37">
        <v>1461</v>
      </c>
      <c r="DU41" s="37">
        <v>2592</v>
      </c>
      <c r="DV41" s="37">
        <v>1361</v>
      </c>
      <c r="DW41" s="37">
        <v>1546</v>
      </c>
      <c r="DX41" s="37">
        <v>1900</v>
      </c>
      <c r="DY41" s="37">
        <v>117</v>
      </c>
      <c r="DZ41" s="37">
        <v>1780</v>
      </c>
      <c r="EA41" s="37">
        <v>2308</v>
      </c>
      <c r="EB41" s="37">
        <v>1747</v>
      </c>
      <c r="EC41" s="37">
        <v>1321</v>
      </c>
      <c r="ED41" s="37">
        <v>1185</v>
      </c>
      <c r="EE41" s="37">
        <v>1810</v>
      </c>
      <c r="EF41" s="37">
        <v>199</v>
      </c>
      <c r="EG41" s="37">
        <v>339</v>
      </c>
      <c r="EH41" s="37">
        <v>576</v>
      </c>
      <c r="EI41" s="37">
        <v>1011</v>
      </c>
      <c r="EJ41" s="37">
        <v>2204</v>
      </c>
      <c r="EK41" s="37">
        <v>2733</v>
      </c>
      <c r="EL41" s="37">
        <v>2863</v>
      </c>
      <c r="EM41" s="37">
        <v>3075</v>
      </c>
      <c r="EN41" s="37">
        <v>899</v>
      </c>
      <c r="EO41" s="37">
        <v>1084</v>
      </c>
      <c r="EP41" s="37">
        <v>1038</v>
      </c>
      <c r="EQ41" s="37">
        <v>2439</v>
      </c>
      <c r="ER41" s="37">
        <v>2074</v>
      </c>
      <c r="ES41" s="37">
        <v>1996</v>
      </c>
    </row>
    <row r="44" spans="1:149" x14ac:dyDescent="0.3">
      <c r="A44" s="26" t="s">
        <v>187</v>
      </c>
    </row>
    <row r="45" spans="1:149" x14ac:dyDescent="0.3">
      <c r="A45" s="37" t="s">
        <v>3</v>
      </c>
      <c r="B45" s="37" t="s">
        <v>6</v>
      </c>
      <c r="C45" s="37" t="s">
        <v>15</v>
      </c>
      <c r="D45" s="37" t="s">
        <v>4</v>
      </c>
      <c r="E45" s="37" t="s">
        <v>20</v>
      </c>
      <c r="F45" s="37" t="s">
        <v>24</v>
      </c>
      <c r="G45" s="37" t="s">
        <v>21</v>
      </c>
      <c r="H45" s="37" t="s">
        <v>5</v>
      </c>
      <c r="I45" s="37" t="s">
        <v>161</v>
      </c>
      <c r="J45" s="37" t="s">
        <v>17</v>
      </c>
      <c r="K45" s="37" t="s">
        <v>29</v>
      </c>
      <c r="L45" s="37" t="s">
        <v>22</v>
      </c>
      <c r="M45" s="37" t="s">
        <v>7</v>
      </c>
      <c r="N45" s="37" t="s">
        <v>162</v>
      </c>
      <c r="O45" s="37" t="s">
        <v>26</v>
      </c>
      <c r="P45" s="37" t="s">
        <v>19</v>
      </c>
      <c r="Q45" s="37" t="s">
        <v>12</v>
      </c>
      <c r="R45" s="37" t="s">
        <v>27</v>
      </c>
      <c r="S45" s="37" t="s">
        <v>163</v>
      </c>
      <c r="T45" s="37" t="s">
        <v>8</v>
      </c>
      <c r="U45" s="37" t="s">
        <v>28</v>
      </c>
      <c r="V45" s="37" t="s">
        <v>164</v>
      </c>
      <c r="W45" s="37" t="s">
        <v>23</v>
      </c>
      <c r="X45" s="37" t="s">
        <v>14</v>
      </c>
    </row>
    <row r="46" spans="1:149" x14ac:dyDescent="0.3">
      <c r="A46" s="37" t="s">
        <v>4</v>
      </c>
      <c r="B46" s="62">
        <v>9.35</v>
      </c>
      <c r="C46" s="62">
        <v>5.8500000000000005</v>
      </c>
      <c r="D46" s="62">
        <v>5.85</v>
      </c>
      <c r="E46" s="62">
        <v>10.199999999999999</v>
      </c>
      <c r="F46" s="62">
        <v>10.199999999999999</v>
      </c>
      <c r="G46" s="62">
        <v>10.199999999999999</v>
      </c>
      <c r="H46" s="62">
        <v>10.199999999999999</v>
      </c>
      <c r="I46" s="62">
        <v>5.8500000000000005</v>
      </c>
      <c r="J46" s="62">
        <v>5.8500000000000005</v>
      </c>
      <c r="K46" s="62">
        <v>12.6</v>
      </c>
      <c r="L46" s="62">
        <v>10.199999999999999</v>
      </c>
      <c r="M46" s="62">
        <v>8.35</v>
      </c>
      <c r="N46" s="62">
        <v>5.8500000000000005</v>
      </c>
      <c r="O46" s="62">
        <v>10.199999999999999</v>
      </c>
      <c r="P46" s="62">
        <v>5.8500000000000005</v>
      </c>
      <c r="Q46" s="62">
        <v>5.8500000000000005</v>
      </c>
      <c r="R46" s="62">
        <v>10.199999999999999</v>
      </c>
      <c r="S46" s="62">
        <v>9.35</v>
      </c>
      <c r="T46" s="62">
        <v>10.199999999999999</v>
      </c>
      <c r="U46" s="62">
        <v>10.199999999999999</v>
      </c>
      <c r="V46" s="62">
        <v>5.8500000000000005</v>
      </c>
      <c r="W46" s="37">
        <v>12.7</v>
      </c>
      <c r="X46" s="37">
        <v>5.8500000000000005</v>
      </c>
    </row>
    <row r="49" spans="1:149" x14ac:dyDescent="0.3">
      <c r="A49" s="37" t="s">
        <v>9</v>
      </c>
      <c r="B49" s="37" t="s">
        <v>6</v>
      </c>
      <c r="C49" s="37" t="s">
        <v>15</v>
      </c>
      <c r="D49" s="37" t="s">
        <v>4</v>
      </c>
      <c r="E49" s="37" t="s">
        <v>20</v>
      </c>
      <c r="F49" s="37" t="s">
        <v>24</v>
      </c>
      <c r="G49" s="37" t="s">
        <v>21</v>
      </c>
      <c r="H49" s="37" t="s">
        <v>5</v>
      </c>
      <c r="I49" s="37" t="s">
        <v>161</v>
      </c>
      <c r="J49" s="37" t="s">
        <v>17</v>
      </c>
      <c r="K49" s="37" t="s">
        <v>29</v>
      </c>
      <c r="L49" s="37" t="s">
        <v>22</v>
      </c>
      <c r="M49" s="37" t="s">
        <v>7</v>
      </c>
      <c r="N49" s="37" t="s">
        <v>162</v>
      </c>
      <c r="O49" s="37" t="s">
        <v>26</v>
      </c>
      <c r="P49" s="37" t="s">
        <v>19</v>
      </c>
      <c r="Q49" s="37" t="s">
        <v>12</v>
      </c>
      <c r="R49" s="37" t="s">
        <v>27</v>
      </c>
      <c r="S49" s="37" t="s">
        <v>163</v>
      </c>
      <c r="T49" s="37" t="s">
        <v>8</v>
      </c>
      <c r="U49" s="37" t="s">
        <v>28</v>
      </c>
      <c r="V49" s="37" t="s">
        <v>164</v>
      </c>
      <c r="W49" s="37" t="s">
        <v>23</v>
      </c>
      <c r="X49" s="37" t="s">
        <v>14</v>
      </c>
    </row>
    <row r="50" spans="1:149" x14ac:dyDescent="0.3">
      <c r="A50" s="37" t="s">
        <v>4</v>
      </c>
      <c r="B50" s="36">
        <v>0</v>
      </c>
      <c r="C50" s="36">
        <v>0</v>
      </c>
      <c r="D50" s="36">
        <v>0</v>
      </c>
      <c r="E50" s="36">
        <v>339000</v>
      </c>
      <c r="F50" s="36">
        <v>63000</v>
      </c>
      <c r="G50" s="36">
        <v>297000</v>
      </c>
      <c r="H50" s="36">
        <v>61000</v>
      </c>
      <c r="I50" s="36">
        <v>0</v>
      </c>
      <c r="J50" s="36">
        <v>0</v>
      </c>
      <c r="K50" s="36">
        <v>92000</v>
      </c>
      <c r="L50" s="36">
        <v>539000</v>
      </c>
      <c r="M50" s="36">
        <v>0</v>
      </c>
      <c r="N50" s="36">
        <v>277900</v>
      </c>
      <c r="O50" s="36">
        <v>0</v>
      </c>
      <c r="P50" s="36">
        <v>88000</v>
      </c>
      <c r="Q50" s="36">
        <v>0</v>
      </c>
      <c r="R50" s="36">
        <v>353552.59</v>
      </c>
      <c r="S50" s="36">
        <v>211100</v>
      </c>
      <c r="T50" s="36">
        <v>0</v>
      </c>
      <c r="U50" s="36">
        <v>0</v>
      </c>
      <c r="V50" s="36">
        <v>587447.41</v>
      </c>
      <c r="W50" s="36">
        <v>0</v>
      </c>
      <c r="X50" s="36">
        <v>0</v>
      </c>
    </row>
    <row r="52" spans="1:149" x14ac:dyDescent="0.3">
      <c r="A52" s="37" t="s">
        <v>165</v>
      </c>
      <c r="B52" s="37" t="s">
        <v>6</v>
      </c>
      <c r="C52" s="37" t="s">
        <v>15</v>
      </c>
      <c r="D52" s="37" t="s">
        <v>4</v>
      </c>
      <c r="E52" s="37" t="s">
        <v>20</v>
      </c>
      <c r="F52" s="37" t="s">
        <v>24</v>
      </c>
      <c r="G52" s="37" t="s">
        <v>21</v>
      </c>
      <c r="H52" s="37" t="s">
        <v>5</v>
      </c>
      <c r="I52" s="37" t="s">
        <v>161</v>
      </c>
      <c r="J52" s="37" t="s">
        <v>17</v>
      </c>
      <c r="K52" s="37" t="s">
        <v>29</v>
      </c>
      <c r="L52" s="37" t="s">
        <v>22</v>
      </c>
      <c r="M52" s="37" t="s">
        <v>7</v>
      </c>
      <c r="N52" s="37" t="s">
        <v>162</v>
      </c>
      <c r="O52" s="37" t="s">
        <v>26</v>
      </c>
      <c r="P52" s="37" t="s">
        <v>19</v>
      </c>
      <c r="Q52" s="37" t="s">
        <v>12</v>
      </c>
      <c r="R52" s="37" t="s">
        <v>27</v>
      </c>
      <c r="S52" s="37" t="s">
        <v>163</v>
      </c>
      <c r="T52" s="37" t="s">
        <v>8</v>
      </c>
      <c r="U52" s="37" t="s">
        <v>28</v>
      </c>
      <c r="V52" s="37" t="s">
        <v>164</v>
      </c>
      <c r="W52" s="37" t="s">
        <v>23</v>
      </c>
      <c r="X52" s="37" t="s">
        <v>14</v>
      </c>
    </row>
    <row r="53" spans="1:149" x14ac:dyDescent="0.3">
      <c r="A53" s="37" t="s">
        <v>4</v>
      </c>
      <c r="B53" s="36">
        <f>B46*B50</f>
        <v>0</v>
      </c>
      <c r="C53" s="36">
        <f t="shared" ref="C53:X53" si="2">C46*C50</f>
        <v>0</v>
      </c>
      <c r="D53" s="36">
        <f t="shared" si="2"/>
        <v>0</v>
      </c>
      <c r="E53" s="36">
        <f t="shared" si="2"/>
        <v>3457799.9999999995</v>
      </c>
      <c r="F53" s="36">
        <f t="shared" si="2"/>
        <v>642600</v>
      </c>
      <c r="G53" s="36">
        <f t="shared" si="2"/>
        <v>3029400</v>
      </c>
      <c r="H53" s="36">
        <f t="shared" si="2"/>
        <v>622200</v>
      </c>
      <c r="I53" s="36">
        <f t="shared" si="2"/>
        <v>0</v>
      </c>
      <c r="J53" s="36">
        <f t="shared" si="2"/>
        <v>0</v>
      </c>
      <c r="K53" s="36">
        <f t="shared" si="2"/>
        <v>1159200</v>
      </c>
      <c r="L53" s="36">
        <f t="shared" si="2"/>
        <v>5497800</v>
      </c>
      <c r="M53" s="36">
        <f t="shared" si="2"/>
        <v>0</v>
      </c>
      <c r="N53" s="36">
        <f t="shared" si="2"/>
        <v>1625715.0000000002</v>
      </c>
      <c r="O53" s="36">
        <f t="shared" si="2"/>
        <v>0</v>
      </c>
      <c r="P53" s="36">
        <f t="shared" si="2"/>
        <v>514800.00000000006</v>
      </c>
      <c r="Q53" s="36">
        <f t="shared" si="2"/>
        <v>0</v>
      </c>
      <c r="R53" s="36">
        <f t="shared" si="2"/>
        <v>3606236.4180000001</v>
      </c>
      <c r="S53" s="36">
        <f t="shared" si="2"/>
        <v>1973785</v>
      </c>
      <c r="T53" s="36">
        <f t="shared" si="2"/>
        <v>0</v>
      </c>
      <c r="U53" s="36">
        <f t="shared" si="2"/>
        <v>0</v>
      </c>
      <c r="V53" s="36">
        <f t="shared" si="2"/>
        <v>3436567.3485000003</v>
      </c>
      <c r="W53" s="36">
        <f t="shared" si="2"/>
        <v>0</v>
      </c>
      <c r="X53" s="36">
        <f t="shared" si="2"/>
        <v>0</v>
      </c>
      <c r="Y53" s="63">
        <f>SUM(B53:X53)</f>
        <v>25566103.766500004</v>
      </c>
    </row>
    <row r="56" spans="1:149" x14ac:dyDescent="0.3">
      <c r="A56" s="26" t="s">
        <v>11</v>
      </c>
    </row>
    <row r="57" spans="1:149" x14ac:dyDescent="0.3">
      <c r="A57" s="61" t="s">
        <v>3</v>
      </c>
      <c r="B57" s="37" t="s">
        <v>30</v>
      </c>
      <c r="C57" s="37" t="s">
        <v>6</v>
      </c>
      <c r="D57" s="37" t="s">
        <v>31</v>
      </c>
      <c r="E57" s="37" t="s">
        <v>32</v>
      </c>
      <c r="F57" s="37" t="s">
        <v>33</v>
      </c>
      <c r="G57" s="37" t="s">
        <v>34</v>
      </c>
      <c r="H57" s="37" t="s">
        <v>15</v>
      </c>
      <c r="I57" s="37" t="s">
        <v>35</v>
      </c>
      <c r="J57" s="37" t="s">
        <v>36</v>
      </c>
      <c r="K57" s="37" t="s">
        <v>37</v>
      </c>
      <c r="L57" s="37" t="s">
        <v>38</v>
      </c>
      <c r="M57" s="37" t="s">
        <v>39</v>
      </c>
      <c r="N57" s="37" t="s">
        <v>20</v>
      </c>
      <c r="O57" s="37" t="s">
        <v>40</v>
      </c>
      <c r="P57" s="37" t="s">
        <v>41</v>
      </c>
      <c r="Q57" s="37" t="s">
        <v>42</v>
      </c>
      <c r="R57" s="37" t="s">
        <v>43</v>
      </c>
      <c r="S57" s="37" t="s">
        <v>44</v>
      </c>
      <c r="T57" s="37" t="s">
        <v>45</v>
      </c>
      <c r="U57" s="37" t="s">
        <v>46</v>
      </c>
      <c r="V57" s="37" t="s">
        <v>47</v>
      </c>
      <c r="W57" s="37" t="s">
        <v>48</v>
      </c>
      <c r="X57" s="37" t="s">
        <v>49</v>
      </c>
      <c r="Y57" s="37" t="s">
        <v>50</v>
      </c>
      <c r="Z57" s="37" t="s">
        <v>51</v>
      </c>
      <c r="AA57" s="37" t="s">
        <v>52</v>
      </c>
      <c r="AB57" s="37" t="s">
        <v>53</v>
      </c>
      <c r="AC57" s="37" t="s">
        <v>54</v>
      </c>
      <c r="AD57" s="37" t="s">
        <v>55</v>
      </c>
      <c r="AE57" s="37" t="s">
        <v>56</v>
      </c>
      <c r="AF57" s="37" t="s">
        <v>57</v>
      </c>
      <c r="AG57" s="37" t="s">
        <v>58</v>
      </c>
      <c r="AH57" s="37" t="s">
        <v>59</v>
      </c>
      <c r="AI57" s="37" t="s">
        <v>60</v>
      </c>
      <c r="AJ57" s="37" t="s">
        <v>21</v>
      </c>
      <c r="AK57" s="37" t="s">
        <v>61</v>
      </c>
      <c r="AL57" s="37" t="s">
        <v>5</v>
      </c>
      <c r="AM57" s="37" t="s">
        <v>62</v>
      </c>
      <c r="AN57" s="37" t="s">
        <v>63</v>
      </c>
      <c r="AO57" s="37" t="s">
        <v>16</v>
      </c>
      <c r="AP57" s="37" t="s">
        <v>64</v>
      </c>
      <c r="AQ57" s="37" t="s">
        <v>65</v>
      </c>
      <c r="AR57" s="37" t="s">
        <v>66</v>
      </c>
      <c r="AS57" s="37" t="s">
        <v>67</v>
      </c>
      <c r="AT57" s="37" t="s">
        <v>68</v>
      </c>
      <c r="AU57" s="37" t="s">
        <v>69</v>
      </c>
      <c r="AV57" s="37" t="s">
        <v>70</v>
      </c>
      <c r="AW57" s="37" t="s">
        <v>71</v>
      </c>
      <c r="AX57" s="37" t="s">
        <v>72</v>
      </c>
      <c r="AY57" s="37" t="s">
        <v>17</v>
      </c>
      <c r="AZ57" s="37" t="s">
        <v>73</v>
      </c>
      <c r="BA57" s="37" t="s">
        <v>74</v>
      </c>
      <c r="BB57" s="37" t="s">
        <v>75</v>
      </c>
      <c r="BC57" s="37" t="s">
        <v>76</v>
      </c>
      <c r="BD57" s="37" t="s">
        <v>77</v>
      </c>
      <c r="BE57" s="37" t="s">
        <v>29</v>
      </c>
      <c r="BF57" s="37" t="s">
        <v>78</v>
      </c>
      <c r="BG57" s="37" t="s">
        <v>79</v>
      </c>
      <c r="BH57" s="37" t="s">
        <v>80</v>
      </c>
      <c r="BI57" s="37" t="s">
        <v>81</v>
      </c>
      <c r="BJ57" s="37" t="s">
        <v>82</v>
      </c>
      <c r="BK57" s="37" t="s">
        <v>83</v>
      </c>
      <c r="BL57" s="37" t="s">
        <v>84</v>
      </c>
      <c r="BM57" s="37" t="s">
        <v>85</v>
      </c>
      <c r="BN57" s="37" t="s">
        <v>22</v>
      </c>
      <c r="BO57" s="37" t="s">
        <v>7</v>
      </c>
      <c r="BP57" s="37" t="s">
        <v>86</v>
      </c>
      <c r="BQ57" s="37" t="s">
        <v>18</v>
      </c>
      <c r="BR57" s="37" t="s">
        <v>87</v>
      </c>
      <c r="BS57" s="37" t="s">
        <v>88</v>
      </c>
      <c r="BT57" s="37" t="s">
        <v>89</v>
      </c>
      <c r="BU57" s="37" t="s">
        <v>90</v>
      </c>
      <c r="BV57" s="37" t="s">
        <v>91</v>
      </c>
      <c r="BW57" s="37" t="s">
        <v>92</v>
      </c>
      <c r="BX57" s="37" t="s">
        <v>93</v>
      </c>
      <c r="BY57" s="37" t="s">
        <v>94</v>
      </c>
      <c r="BZ57" s="37" t="s">
        <v>95</v>
      </c>
      <c r="CA57" s="37" t="s">
        <v>96</v>
      </c>
      <c r="CB57" s="37" t="s">
        <v>97</v>
      </c>
      <c r="CC57" s="37" t="s">
        <v>98</v>
      </c>
      <c r="CD57" s="37" t="s">
        <v>99</v>
      </c>
      <c r="CE57" s="37" t="s">
        <v>100</v>
      </c>
      <c r="CF57" s="37" t="s">
        <v>26</v>
      </c>
      <c r="CG57" s="37" t="s">
        <v>101</v>
      </c>
      <c r="CH57" s="37" t="s">
        <v>102</v>
      </c>
      <c r="CI57" s="37" t="s">
        <v>103</v>
      </c>
      <c r="CJ57" s="37" t="s">
        <v>104</v>
      </c>
      <c r="CK57" s="37" t="s">
        <v>105</v>
      </c>
      <c r="CL57" s="37" t="s">
        <v>106</v>
      </c>
      <c r="CM57" s="37" t="s">
        <v>19</v>
      </c>
      <c r="CN57" s="37" t="s">
        <v>107</v>
      </c>
      <c r="CO57" s="37" t="s">
        <v>108</v>
      </c>
      <c r="CP57" s="37" t="s">
        <v>109</v>
      </c>
      <c r="CQ57" s="37" t="s">
        <v>110</v>
      </c>
      <c r="CR57" s="37" t="s">
        <v>111</v>
      </c>
      <c r="CS57" s="37" t="s">
        <v>112</v>
      </c>
      <c r="CT57" s="37" t="s">
        <v>113</v>
      </c>
      <c r="CU57" s="37" t="s">
        <v>114</v>
      </c>
      <c r="CV57" s="37" t="s">
        <v>115</v>
      </c>
      <c r="CW57" s="37" t="s">
        <v>116</v>
      </c>
      <c r="CX57" s="37" t="s">
        <v>117</v>
      </c>
      <c r="CY57" s="37" t="s">
        <v>118</v>
      </c>
      <c r="CZ57" s="37" t="s">
        <v>119</v>
      </c>
      <c r="DA57" s="37" t="s">
        <v>120</v>
      </c>
      <c r="DB57" s="37" t="s">
        <v>121</v>
      </c>
      <c r="DC57" s="37" t="s">
        <v>122</v>
      </c>
      <c r="DD57" s="37" t="s">
        <v>123</v>
      </c>
      <c r="DE57" s="37" t="s">
        <v>124</v>
      </c>
      <c r="DF57" s="37" t="s">
        <v>125</v>
      </c>
      <c r="DG57" s="37" t="s">
        <v>126</v>
      </c>
      <c r="DH57" s="37" t="s">
        <v>127</v>
      </c>
      <c r="DI57" s="37" t="s">
        <v>128</v>
      </c>
      <c r="DJ57" s="37" t="s">
        <v>27</v>
      </c>
      <c r="DK57" s="37" t="s">
        <v>25</v>
      </c>
      <c r="DL57" s="37" t="s">
        <v>129</v>
      </c>
      <c r="DM57" s="37" t="s">
        <v>130</v>
      </c>
      <c r="DN57" s="37" t="s">
        <v>8</v>
      </c>
      <c r="DO57" s="37" t="s">
        <v>131</v>
      </c>
      <c r="DP57" s="37" t="s">
        <v>28</v>
      </c>
      <c r="DQ57" s="37" t="s">
        <v>132</v>
      </c>
      <c r="DR57" s="37" t="s">
        <v>133</v>
      </c>
      <c r="DS57" s="37" t="s">
        <v>134</v>
      </c>
      <c r="DT57" s="37" t="s">
        <v>135</v>
      </c>
      <c r="DU57" s="37" t="s">
        <v>136</v>
      </c>
      <c r="DV57" s="37" t="s">
        <v>137</v>
      </c>
      <c r="DW57" s="37" t="s">
        <v>138</v>
      </c>
      <c r="DX57" s="37" t="s">
        <v>139</v>
      </c>
      <c r="DY57" s="37" t="s">
        <v>140</v>
      </c>
      <c r="DZ57" s="37" t="s">
        <v>141</v>
      </c>
      <c r="EA57" s="37" t="s">
        <v>142</v>
      </c>
      <c r="EB57" s="37" t="s">
        <v>143</v>
      </c>
      <c r="EC57" s="37" t="s">
        <v>144</v>
      </c>
      <c r="ED57" s="37" t="s">
        <v>145</v>
      </c>
      <c r="EE57" s="37" t="s">
        <v>146</v>
      </c>
      <c r="EF57" s="37" t="s">
        <v>147</v>
      </c>
      <c r="EG57" s="37" t="s">
        <v>148</v>
      </c>
      <c r="EH57" s="37" t="s">
        <v>149</v>
      </c>
      <c r="EI57" s="37" t="s">
        <v>150</v>
      </c>
      <c r="EJ57" s="37" t="s">
        <v>151</v>
      </c>
      <c r="EK57" s="37" t="s">
        <v>152</v>
      </c>
      <c r="EL57" s="37" t="s">
        <v>153</v>
      </c>
      <c r="EM57" s="37" t="s">
        <v>154</v>
      </c>
      <c r="EN57" s="37" t="s">
        <v>155</v>
      </c>
      <c r="EO57" s="37" t="s">
        <v>156</v>
      </c>
      <c r="EP57" s="37" t="s">
        <v>157</v>
      </c>
      <c r="EQ57" s="37" t="s">
        <v>158</v>
      </c>
      <c r="ER57" s="37" t="s">
        <v>23</v>
      </c>
      <c r="ES57" s="37" t="s">
        <v>159</v>
      </c>
    </row>
    <row r="58" spans="1:149" x14ac:dyDescent="0.3">
      <c r="A58" s="37" t="s">
        <v>6</v>
      </c>
      <c r="B58" s="64">
        <v>8.3658571516169165</v>
      </c>
      <c r="C58" s="64">
        <v>8.2864473116644959</v>
      </c>
      <c r="D58" s="64">
        <v>5.8958828375407704</v>
      </c>
      <c r="E58" s="64">
        <v>12.253151864768729</v>
      </c>
      <c r="F58" s="64">
        <v>11.569752716828379</v>
      </c>
      <c r="G58" s="64">
        <v>8.3705169702981923</v>
      </c>
      <c r="H58" s="64">
        <v>9.1625706793030428</v>
      </c>
      <c r="I58" s="64">
        <v>9.978189430482912</v>
      </c>
      <c r="J58" s="64">
        <v>9.2948817868197509</v>
      </c>
      <c r="K58" s="64">
        <v>15.199056708210994</v>
      </c>
      <c r="L58" s="64">
        <v>42.591344157458508</v>
      </c>
      <c r="M58" s="64">
        <v>18.450764506874535</v>
      </c>
      <c r="N58" s="64">
        <v>9.7317190381731038</v>
      </c>
      <c r="O58" s="64">
        <v>9.4767199304693381</v>
      </c>
      <c r="P58" s="64">
        <v>10.552925763328709</v>
      </c>
      <c r="Q58" s="64">
        <v>32.261427675113509</v>
      </c>
      <c r="R58" s="64">
        <v>25.334351373013632</v>
      </c>
      <c r="S58" s="64">
        <v>25.549914174095566</v>
      </c>
      <c r="T58" s="64">
        <v>10.161540900532401</v>
      </c>
      <c r="U58" s="64">
        <v>17.181856277956271</v>
      </c>
      <c r="V58" s="64">
        <v>18.781391805427958</v>
      </c>
      <c r="W58" s="64">
        <v>32.521621686091528</v>
      </c>
      <c r="X58" s="64">
        <v>8.1167250280289327</v>
      </c>
      <c r="Y58" s="64">
        <v>8.3721447040614017</v>
      </c>
      <c r="Z58" s="64">
        <v>11.591057361042955</v>
      </c>
      <c r="AA58" s="64">
        <v>11.383464397980436</v>
      </c>
      <c r="AB58" s="64">
        <v>27.780827310899102</v>
      </c>
      <c r="AC58" s="64">
        <v>21.502861203328138</v>
      </c>
      <c r="AD58" s="64">
        <v>21.031746245917653</v>
      </c>
      <c r="AE58" s="64">
        <v>11.978761491281452</v>
      </c>
      <c r="AF58" s="64">
        <v>27.837976511310071</v>
      </c>
      <c r="AG58" s="64">
        <v>11.638761789538977</v>
      </c>
      <c r="AH58" s="64">
        <v>19.196685450313186</v>
      </c>
      <c r="AI58" s="64">
        <v>15.154915824811519</v>
      </c>
      <c r="AJ58" s="64">
        <v>10.937367295481129</v>
      </c>
      <c r="AK58" s="64">
        <v>17.405423571620556</v>
      </c>
      <c r="AL58" s="64">
        <v>22.606467940135122</v>
      </c>
      <c r="AM58" s="64">
        <v>31.462140429973196</v>
      </c>
      <c r="AN58" s="64">
        <v>11.660750367394099</v>
      </c>
      <c r="AO58" s="64">
        <v>8.4701798200685481</v>
      </c>
      <c r="AP58" s="64">
        <v>45.684349282296594</v>
      </c>
      <c r="AQ58" s="64">
        <v>16.890740604589492</v>
      </c>
      <c r="AR58" s="64">
        <v>17.206544296115545</v>
      </c>
      <c r="AS58" s="64">
        <v>28.337877264692139</v>
      </c>
      <c r="AT58" s="64">
        <v>18.368557371394616</v>
      </c>
      <c r="AU58" s="64">
        <v>20.896416696736395</v>
      </c>
      <c r="AV58" s="64">
        <v>13.549542054919183</v>
      </c>
      <c r="AW58" s="64">
        <v>9.0833847072683263</v>
      </c>
      <c r="AX58" s="64">
        <v>13.920199533985691</v>
      </c>
      <c r="AY58" s="64">
        <v>10.255480092431304</v>
      </c>
      <c r="AZ58" s="64">
        <v>12.866608314620263</v>
      </c>
      <c r="BA58" s="64">
        <v>11.295078551452141</v>
      </c>
      <c r="BB58" s="64">
        <v>31.520768507944087</v>
      </c>
      <c r="BC58" s="64">
        <v>14.226238231899179</v>
      </c>
      <c r="BD58" s="64">
        <v>14.540217394744662</v>
      </c>
      <c r="BE58" s="64">
        <v>17.017805922634132</v>
      </c>
      <c r="BF58" s="64">
        <v>15.263242006532362</v>
      </c>
      <c r="BG58" s="64">
        <v>19.335793908837744</v>
      </c>
      <c r="BH58" s="64">
        <v>38.963567356045864</v>
      </c>
      <c r="BI58" s="64">
        <v>9.3952245054862971</v>
      </c>
      <c r="BJ58" s="64">
        <v>16.635942097788273</v>
      </c>
      <c r="BK58" s="64">
        <v>13.974496974697432</v>
      </c>
      <c r="BL58" s="64">
        <v>71.150698772237234</v>
      </c>
      <c r="BM58" s="64">
        <v>9.4316073050547669</v>
      </c>
      <c r="BN58" s="64">
        <v>9.8744960522475314</v>
      </c>
      <c r="BO58" s="64">
        <v>11.745661851942595</v>
      </c>
      <c r="BP58" s="64">
        <v>10.457676904873127</v>
      </c>
      <c r="BQ58" s="64">
        <v>8.7536787846627888</v>
      </c>
      <c r="BR58" s="64">
        <v>9.2794493945796699</v>
      </c>
      <c r="BS58" s="64">
        <v>11.207041129411913</v>
      </c>
      <c r="BT58" s="64">
        <v>12.107368780969395</v>
      </c>
      <c r="BU58" s="64">
        <v>8.4272407267053548</v>
      </c>
      <c r="BV58" s="64">
        <v>8.3317110082936079</v>
      </c>
      <c r="BW58" s="64">
        <v>20.765854962133492</v>
      </c>
      <c r="BX58" s="64">
        <v>15.696039357205237</v>
      </c>
      <c r="BY58" s="64">
        <v>38.123123445687071</v>
      </c>
      <c r="BZ58" s="64">
        <v>47.676407473334088</v>
      </c>
      <c r="CA58" s="64">
        <v>8.5414278153475642</v>
      </c>
      <c r="CB58" s="64">
        <v>14.307447195772166</v>
      </c>
      <c r="CC58" s="64">
        <v>12.863716236905862</v>
      </c>
      <c r="CD58" s="64">
        <v>11.349240540771552</v>
      </c>
      <c r="CE58" s="64">
        <v>9.8802492993772102</v>
      </c>
      <c r="CF58" s="64">
        <v>21.314704171077651</v>
      </c>
      <c r="CG58" s="64">
        <v>8.2823402715471097</v>
      </c>
      <c r="CH58" s="64">
        <v>25.208294781341991</v>
      </c>
      <c r="CI58" s="64">
        <v>15.68421114853048</v>
      </c>
      <c r="CJ58" s="64">
        <v>14.676774220980079</v>
      </c>
      <c r="CK58" s="64">
        <v>14.835069811096883</v>
      </c>
      <c r="CL58" s="64">
        <v>39.642104825656865</v>
      </c>
      <c r="CM58" s="64">
        <v>9.3259066331977198</v>
      </c>
      <c r="CN58" s="64">
        <v>9.3267961807484863</v>
      </c>
      <c r="CO58" s="64">
        <v>14.037250346411476</v>
      </c>
      <c r="CP58" s="64">
        <v>15.68525395599406</v>
      </c>
      <c r="CQ58" s="64">
        <v>-5.2121638154974361</v>
      </c>
      <c r="CR58" s="64">
        <v>8.354381403729974</v>
      </c>
      <c r="CS58" s="64">
        <v>12.218537925588052</v>
      </c>
      <c r="CT58" s="64">
        <v>29.968693502812535</v>
      </c>
      <c r="CU58" s="64">
        <v>13.21083308395675</v>
      </c>
      <c r="CV58" s="64">
        <v>8.7865858501996534</v>
      </c>
      <c r="CW58" s="64">
        <v>28.031746437343749</v>
      </c>
      <c r="CX58" s="64">
        <v>5.8667022563562119</v>
      </c>
      <c r="CY58" s="64">
        <v>10.978925111834032</v>
      </c>
      <c r="CZ58" s="64">
        <v>13.096740465844499</v>
      </c>
      <c r="DA58" s="64">
        <v>13.495624413987301</v>
      </c>
      <c r="DB58" s="64">
        <v>12.700452240560704</v>
      </c>
      <c r="DC58" s="64">
        <v>11.826051985031974</v>
      </c>
      <c r="DD58" s="64">
        <v>16.064965983979508</v>
      </c>
      <c r="DE58" s="64">
        <v>8.4861068242768631</v>
      </c>
      <c r="DF58" s="64">
        <v>8.1616712422648021</v>
      </c>
      <c r="DG58" s="64">
        <v>17.864022756627932</v>
      </c>
      <c r="DH58" s="64">
        <v>8.1616712422648021</v>
      </c>
      <c r="DI58" s="64">
        <v>8.4295039815735393</v>
      </c>
      <c r="DJ58" s="64">
        <v>12.130032896833733</v>
      </c>
      <c r="DK58" s="64">
        <v>9.4285603532739533</v>
      </c>
      <c r="DL58" s="64">
        <v>29.00251651656006</v>
      </c>
      <c r="DM58" s="64">
        <v>73.48312437393372</v>
      </c>
      <c r="DN58" s="64">
        <v>33.362654197602403</v>
      </c>
      <c r="DO58" s="64">
        <v>8.0520375708467498</v>
      </c>
      <c r="DP58" s="64">
        <v>20.5707038364704</v>
      </c>
      <c r="DQ58" s="64">
        <v>14.945434565200628</v>
      </c>
      <c r="DR58" s="64">
        <v>8.2919197900671993</v>
      </c>
      <c r="DS58" s="64">
        <v>12.384348441811438</v>
      </c>
      <c r="DT58" s="64">
        <v>34.94291687469866</v>
      </c>
      <c r="DU58" s="64">
        <v>44.841043804515067</v>
      </c>
      <c r="DV58" s="64">
        <v>20.028240696253086</v>
      </c>
      <c r="DW58" s="64">
        <v>12.825795276303632</v>
      </c>
      <c r="DX58" s="64">
        <v>13.807151663037921</v>
      </c>
      <c r="DY58" s="64">
        <v>13.254295326999218</v>
      </c>
      <c r="DZ58" s="64">
        <v>15.143607980375926</v>
      </c>
      <c r="EA58" s="64">
        <v>9.2498432567223929</v>
      </c>
      <c r="EB58" s="64">
        <v>29.374277335797977</v>
      </c>
      <c r="EC58" s="64">
        <v>23.353687520894635</v>
      </c>
      <c r="ED58" s="64">
        <v>22.574056250575421</v>
      </c>
      <c r="EE58" s="64">
        <v>15.543705050240535</v>
      </c>
      <c r="EF58" s="64">
        <v>17.08742256801871</v>
      </c>
      <c r="EG58" s="64">
        <v>21.623475100110163</v>
      </c>
      <c r="EH58" s="64">
        <v>10.155777706449031</v>
      </c>
      <c r="EI58" s="64">
        <v>15.656182182219821</v>
      </c>
      <c r="EJ58" s="64">
        <v>13.80814395089239</v>
      </c>
      <c r="EK58" s="64">
        <v>12.529347377083457</v>
      </c>
      <c r="EL58" s="64">
        <v>19.445161981432971</v>
      </c>
      <c r="EM58" s="64">
        <v>14.82309060515308</v>
      </c>
      <c r="EN58" s="64">
        <v>14.060840288192837</v>
      </c>
      <c r="EO58" s="64">
        <v>21.016302547482919</v>
      </c>
      <c r="EP58" s="64">
        <v>10.795368705553999</v>
      </c>
      <c r="EQ58" s="64">
        <v>9.3497439567021683</v>
      </c>
      <c r="ER58" s="64">
        <v>16.917099092573125</v>
      </c>
      <c r="ES58" s="64">
        <v>14.612951853683562</v>
      </c>
    </row>
    <row r="59" spans="1:149" x14ac:dyDescent="0.3">
      <c r="A59" s="37" t="s">
        <v>15</v>
      </c>
      <c r="B59" s="64">
        <v>5.8658571516169156</v>
      </c>
      <c r="C59" s="64">
        <v>10.786447311664485</v>
      </c>
      <c r="D59" s="64">
        <v>9.3958828375407695</v>
      </c>
      <c r="E59" s="64">
        <v>15.753151864768723</v>
      </c>
      <c r="F59" s="64">
        <v>9.0697527168283774</v>
      </c>
      <c r="G59" s="64">
        <v>5.8705169702981888</v>
      </c>
      <c r="H59" s="64">
        <v>6.6625706793030446</v>
      </c>
      <c r="I59" s="64">
        <v>6.4781894304829173</v>
      </c>
      <c r="J59" s="64">
        <v>11.794881786819753</v>
      </c>
      <c r="K59" s="64">
        <v>18.699056708211003</v>
      </c>
      <c r="L59" s="64">
        <v>42.591344157458508</v>
      </c>
      <c r="M59" s="64">
        <v>15.950764506874535</v>
      </c>
      <c r="N59" s="64">
        <v>9.7317190381731038</v>
      </c>
      <c r="O59" s="64">
        <v>12.976719930469331</v>
      </c>
      <c r="P59" s="64">
        <v>8.052925763328707</v>
      </c>
      <c r="Q59" s="64">
        <v>32.261427675113509</v>
      </c>
      <c r="R59" s="64">
        <v>22.834351373013625</v>
      </c>
      <c r="S59" s="64">
        <v>25.549914174095566</v>
      </c>
      <c r="T59" s="64">
        <v>10.161540900532401</v>
      </c>
      <c r="U59" s="64">
        <v>17.181856277956271</v>
      </c>
      <c r="V59" s="64">
        <v>18.781391805427958</v>
      </c>
      <c r="W59" s="64">
        <v>29.021621686091517</v>
      </c>
      <c r="X59" s="64">
        <v>10.616725028028933</v>
      </c>
      <c r="Y59" s="64">
        <v>5.8721447040613999</v>
      </c>
      <c r="Z59" s="64">
        <v>11.591057361042955</v>
      </c>
      <c r="AA59" s="64">
        <v>8.8834643979804362</v>
      </c>
      <c r="AB59" s="64">
        <v>27.780827310899102</v>
      </c>
      <c r="AC59" s="64">
        <v>21.502861203328138</v>
      </c>
      <c r="AD59" s="64">
        <v>21.031746245917653</v>
      </c>
      <c r="AE59" s="64">
        <v>8.4787614912814568</v>
      </c>
      <c r="AF59" s="64">
        <v>27.837976511310071</v>
      </c>
      <c r="AG59" s="64">
        <v>11.638761789538977</v>
      </c>
      <c r="AH59" s="64">
        <v>19.196685450313186</v>
      </c>
      <c r="AI59" s="64">
        <v>15.154915824811519</v>
      </c>
      <c r="AJ59" s="64">
        <v>10.937367295481129</v>
      </c>
      <c r="AK59" s="64">
        <v>17.405423571620556</v>
      </c>
      <c r="AL59" s="64">
        <v>22.606467940135122</v>
      </c>
      <c r="AM59" s="64">
        <v>31.462140429973196</v>
      </c>
      <c r="AN59" s="64">
        <v>11.660750367394099</v>
      </c>
      <c r="AO59" s="64">
        <v>5.9701798200685481</v>
      </c>
      <c r="AP59" s="64">
        <v>45.684349282296594</v>
      </c>
      <c r="AQ59" s="64">
        <v>14.390740604589487</v>
      </c>
      <c r="AR59" s="64">
        <v>17.206544296115545</v>
      </c>
      <c r="AS59" s="64">
        <v>28.337877264692139</v>
      </c>
      <c r="AT59" s="64">
        <v>18.368557371394616</v>
      </c>
      <c r="AU59" s="64">
        <v>18.396416696736399</v>
      </c>
      <c r="AV59" s="64">
        <v>11.049542054919183</v>
      </c>
      <c r="AW59" s="64">
        <v>5.5833847072683263</v>
      </c>
      <c r="AX59" s="64">
        <v>13.977177373611738</v>
      </c>
      <c r="AY59" s="64">
        <v>7.7554800924313056</v>
      </c>
      <c r="AZ59" s="64">
        <v>12.866608314620263</v>
      </c>
      <c r="BA59" s="64">
        <v>8.7950785514521428</v>
      </c>
      <c r="BB59" s="64">
        <v>31.520768507944087</v>
      </c>
      <c r="BC59" s="64">
        <v>14.226238231899179</v>
      </c>
      <c r="BD59" s="64">
        <v>11.040217394744666</v>
      </c>
      <c r="BE59" s="64">
        <v>17.017805922634132</v>
      </c>
      <c r="BF59" s="64">
        <v>15.263242006532362</v>
      </c>
      <c r="BG59" s="64">
        <v>19.335793908837744</v>
      </c>
      <c r="BH59" s="64">
        <v>36.463567356045878</v>
      </c>
      <c r="BI59" s="64">
        <v>5.8952245054862926</v>
      </c>
      <c r="BJ59" s="64">
        <v>19.135942097788277</v>
      </c>
      <c r="BK59" s="64">
        <v>11.474496974697427</v>
      </c>
      <c r="BL59" s="64">
        <v>71.150698772237234</v>
      </c>
      <c r="BM59" s="64">
        <v>9.4316073050547669</v>
      </c>
      <c r="BN59" s="64">
        <v>9.8744960522475314</v>
      </c>
      <c r="BO59" s="64">
        <v>11.745661851942595</v>
      </c>
      <c r="BP59" s="64">
        <v>10.457676904873127</v>
      </c>
      <c r="BQ59" s="64">
        <v>6.2536787846627906</v>
      </c>
      <c r="BR59" s="64">
        <v>5.7794493945796646</v>
      </c>
      <c r="BS59" s="64">
        <v>14.707041129411918</v>
      </c>
      <c r="BT59" s="64">
        <v>9.6073687809693897</v>
      </c>
      <c r="BU59" s="64">
        <v>5.927240726705354</v>
      </c>
      <c r="BV59" s="64">
        <v>5.8317110082936132</v>
      </c>
      <c r="BW59" s="64">
        <v>20.765854962133492</v>
      </c>
      <c r="BX59" s="64">
        <v>18.196039357205226</v>
      </c>
      <c r="BY59" s="64">
        <v>34.623123445687071</v>
      </c>
      <c r="BZ59" s="64">
        <v>47.676407473334088</v>
      </c>
      <c r="CA59" s="64">
        <v>6.0414278153475642</v>
      </c>
      <c r="CB59" s="64">
        <v>14.307447195772166</v>
      </c>
      <c r="CC59" s="64">
        <v>10.36311170670324</v>
      </c>
      <c r="CD59" s="64">
        <v>7.8492405407715484</v>
      </c>
      <c r="CE59" s="64">
        <v>13.380249299377207</v>
      </c>
      <c r="CF59" s="64">
        <v>21.314704171077651</v>
      </c>
      <c r="CG59" s="64">
        <v>5.7823402715471124</v>
      </c>
      <c r="CH59" s="64">
        <v>25.208294781341991</v>
      </c>
      <c r="CI59" s="64">
        <v>13.184211148530482</v>
      </c>
      <c r="CJ59" s="64">
        <v>14.676774220980079</v>
      </c>
      <c r="CK59" s="64">
        <v>12.335069811096881</v>
      </c>
      <c r="CL59" s="64">
        <v>39.642104825656865</v>
      </c>
      <c r="CM59" s="64">
        <v>6.8259066331977163</v>
      </c>
      <c r="CN59" s="64">
        <v>5.826796180748488</v>
      </c>
      <c r="CO59" s="64">
        <v>14.037250346411476</v>
      </c>
      <c r="CP59" s="64">
        <v>15.68525395599406</v>
      </c>
      <c r="CQ59" s="64">
        <v>-1.7121638154974368</v>
      </c>
      <c r="CR59" s="64">
        <v>5.8543814037299731</v>
      </c>
      <c r="CS59" s="64">
        <v>14.718537925588024</v>
      </c>
      <c r="CT59" s="64">
        <v>29.968693502812535</v>
      </c>
      <c r="CU59" s="64">
        <v>9.7108330839567536</v>
      </c>
      <c r="CV59" s="64">
        <v>6.2865858501996561</v>
      </c>
      <c r="CW59" s="64">
        <v>28.031746437343749</v>
      </c>
      <c r="CX59" s="64">
        <v>9.3667022563562021</v>
      </c>
      <c r="CY59" s="64">
        <v>8.4789251118340321</v>
      </c>
      <c r="CZ59" s="64">
        <v>13.096740465844499</v>
      </c>
      <c r="DA59" s="64">
        <v>13.495624413987301</v>
      </c>
      <c r="DB59" s="64">
        <v>12.700452240560704</v>
      </c>
      <c r="DC59" s="64">
        <v>11.826051985031974</v>
      </c>
      <c r="DD59" s="64">
        <v>19.564965983979501</v>
      </c>
      <c r="DE59" s="64">
        <v>11.986106824276867</v>
      </c>
      <c r="DF59" s="64">
        <v>11.661671242264802</v>
      </c>
      <c r="DG59" s="64">
        <v>20.364022756627929</v>
      </c>
      <c r="DH59" s="64">
        <v>5.6616712422648021</v>
      </c>
      <c r="DI59" s="64">
        <v>5.9295039815735384</v>
      </c>
      <c r="DJ59" s="64">
        <v>12.130032896833733</v>
      </c>
      <c r="DK59" s="64">
        <v>12.928560353273953</v>
      </c>
      <c r="DL59" s="64">
        <v>29.00251651656006</v>
      </c>
      <c r="DM59" s="64">
        <v>73.48312437393372</v>
      </c>
      <c r="DN59" s="64">
        <v>33.362654197602403</v>
      </c>
      <c r="DO59" s="64">
        <v>10.55203757084675</v>
      </c>
      <c r="DP59" s="64">
        <v>20.5707038364704</v>
      </c>
      <c r="DQ59" s="64">
        <v>12.445434565200632</v>
      </c>
      <c r="DR59" s="64">
        <v>5.7919197900671966</v>
      </c>
      <c r="DS59" s="64">
        <v>8.8843484418114418</v>
      </c>
      <c r="DT59" s="64">
        <v>34.94291687469866</v>
      </c>
      <c r="DU59" s="64">
        <v>44.841043804515067</v>
      </c>
      <c r="DV59" s="64">
        <v>20.028240696253086</v>
      </c>
      <c r="DW59" s="64">
        <v>16.325795276303626</v>
      </c>
      <c r="DX59" s="64">
        <v>17.307151663037921</v>
      </c>
      <c r="DY59" s="64">
        <v>9.7542953269992196</v>
      </c>
      <c r="DZ59" s="64">
        <v>18.643607980375929</v>
      </c>
      <c r="EA59" s="64">
        <v>9.2498432567223929</v>
      </c>
      <c r="EB59" s="64">
        <v>29.374277335797977</v>
      </c>
      <c r="EC59" s="64">
        <v>23.353687520894635</v>
      </c>
      <c r="ED59" s="64">
        <v>22.574056250575421</v>
      </c>
      <c r="EE59" s="64">
        <v>19.043705050240533</v>
      </c>
      <c r="EF59" s="64">
        <v>14.587422568018711</v>
      </c>
      <c r="EG59" s="64">
        <v>19.123475100110163</v>
      </c>
      <c r="EH59" s="64">
        <v>6.6557777064490313</v>
      </c>
      <c r="EI59" s="64">
        <v>15.656182182219821</v>
      </c>
      <c r="EJ59" s="64">
        <v>13.80814395089239</v>
      </c>
      <c r="EK59" s="64">
        <v>12.529347377083457</v>
      </c>
      <c r="EL59" s="64">
        <v>19.445161981432971</v>
      </c>
      <c r="EM59" s="64">
        <v>14.82309060515308</v>
      </c>
      <c r="EN59" s="64">
        <v>11.560840288192834</v>
      </c>
      <c r="EO59" s="64">
        <v>21.016302547482919</v>
      </c>
      <c r="EP59" s="64">
        <v>8.2953687055539884</v>
      </c>
      <c r="EQ59" s="64">
        <v>9.3497439567021683</v>
      </c>
      <c r="ER59" s="64">
        <v>16.947112602374144</v>
      </c>
      <c r="ES59" s="64">
        <v>14.612951853683562</v>
      </c>
    </row>
    <row r="60" spans="1:149" x14ac:dyDescent="0.3">
      <c r="A60" s="37" t="s">
        <v>4</v>
      </c>
      <c r="B60" s="64">
        <v>5.8658571516169156</v>
      </c>
      <c r="C60" s="64">
        <v>11.786447311664487</v>
      </c>
      <c r="D60" s="64">
        <v>9.3958828375407695</v>
      </c>
      <c r="E60" s="64">
        <v>15.753151864768723</v>
      </c>
      <c r="F60" s="64">
        <v>9.0697527168283774</v>
      </c>
      <c r="G60" s="64">
        <v>5.8705169702981888</v>
      </c>
      <c r="H60" s="64">
        <v>6.6625706793030446</v>
      </c>
      <c r="I60" s="64">
        <v>6.4781894304829173</v>
      </c>
      <c r="J60" s="64">
        <v>12.794881786819753</v>
      </c>
      <c r="K60" s="64">
        <v>18.699056708211003</v>
      </c>
      <c r="L60" s="64">
        <v>42.591344157458508</v>
      </c>
      <c r="M60" s="64">
        <v>15.950764506874535</v>
      </c>
      <c r="N60" s="64">
        <v>10.581719038173103</v>
      </c>
      <c r="O60" s="64">
        <v>12.976719930469331</v>
      </c>
      <c r="P60" s="64">
        <v>8.052925763328707</v>
      </c>
      <c r="Q60" s="64">
        <v>32.261427675113509</v>
      </c>
      <c r="R60" s="64">
        <v>22.834351373013625</v>
      </c>
      <c r="S60" s="64">
        <v>25.549914174095566</v>
      </c>
      <c r="T60" s="64">
        <v>10.161540900532401</v>
      </c>
      <c r="U60" s="64">
        <v>18.031856277956276</v>
      </c>
      <c r="V60" s="64">
        <v>18.781391805427958</v>
      </c>
      <c r="W60" s="64">
        <v>29.021621686091517</v>
      </c>
      <c r="X60" s="64">
        <v>11.616725028028931</v>
      </c>
      <c r="Y60" s="64">
        <v>5.8721447040613999</v>
      </c>
      <c r="Z60" s="64">
        <v>11.591057361042955</v>
      </c>
      <c r="AA60" s="64">
        <v>8.8834643979804362</v>
      </c>
      <c r="AB60" s="64">
        <v>27.780827310899102</v>
      </c>
      <c r="AC60" s="64">
        <v>21.502861203328138</v>
      </c>
      <c r="AD60" s="64">
        <v>21.031746245917653</v>
      </c>
      <c r="AE60" s="64">
        <v>8.4787614912814568</v>
      </c>
      <c r="AF60" s="64">
        <v>27.837976511310071</v>
      </c>
      <c r="AG60" s="64">
        <v>12.488761789538971</v>
      </c>
      <c r="AH60" s="64">
        <v>20.046685450313184</v>
      </c>
      <c r="AI60" s="64">
        <v>16.004915824811519</v>
      </c>
      <c r="AJ60" s="64">
        <v>11.787367295481127</v>
      </c>
      <c r="AK60" s="64">
        <v>18.255423571620561</v>
      </c>
      <c r="AL60" s="64">
        <v>22.606467940135122</v>
      </c>
      <c r="AM60" s="64">
        <v>31.462140429973196</v>
      </c>
      <c r="AN60" s="64">
        <v>12.510750367394103</v>
      </c>
      <c r="AO60" s="64">
        <v>5.9701798200685481</v>
      </c>
      <c r="AP60" s="64">
        <v>45.684349282296594</v>
      </c>
      <c r="AQ60" s="64">
        <v>14.390740604589487</v>
      </c>
      <c r="AR60" s="64">
        <v>17.206544296115545</v>
      </c>
      <c r="AS60" s="64">
        <v>28.337877264692139</v>
      </c>
      <c r="AT60" s="64">
        <v>19.218557371394628</v>
      </c>
      <c r="AU60" s="64">
        <v>18.396416696736399</v>
      </c>
      <c r="AV60" s="64">
        <v>11.049542054919183</v>
      </c>
      <c r="AW60" s="64">
        <v>5.5833847072683263</v>
      </c>
      <c r="AX60" s="64">
        <v>13.977177373611738</v>
      </c>
      <c r="AY60" s="64">
        <v>7.7554800924313056</v>
      </c>
      <c r="AZ60" s="64">
        <v>13.716608314620265</v>
      </c>
      <c r="BA60" s="64">
        <v>8.7950785514521428</v>
      </c>
      <c r="BB60" s="64">
        <v>32.370768507944078</v>
      </c>
      <c r="BC60" s="64">
        <v>15.076238231899184</v>
      </c>
      <c r="BD60" s="64">
        <v>11.040217394744666</v>
      </c>
      <c r="BE60" s="64">
        <v>17.017805922634132</v>
      </c>
      <c r="BF60" s="64">
        <v>15.263242006532362</v>
      </c>
      <c r="BG60" s="64">
        <v>19.335793908837744</v>
      </c>
      <c r="BH60" s="64">
        <v>36.463567356045878</v>
      </c>
      <c r="BI60" s="64">
        <v>5.8952245054862926</v>
      </c>
      <c r="BJ60" s="64">
        <v>20.135942097788256</v>
      </c>
      <c r="BK60" s="64">
        <v>11.474496974697427</v>
      </c>
      <c r="BL60" s="64">
        <v>71.150698772237234</v>
      </c>
      <c r="BM60" s="64">
        <v>10.281607305054765</v>
      </c>
      <c r="BN60" s="64">
        <v>10.724496052247527</v>
      </c>
      <c r="BO60" s="64">
        <v>11.745661851942595</v>
      </c>
      <c r="BP60" s="64">
        <v>10.457676904873127</v>
      </c>
      <c r="BQ60" s="64">
        <v>6.2536787846627906</v>
      </c>
      <c r="BR60" s="64">
        <v>5.7794493945796646</v>
      </c>
      <c r="BS60" s="64">
        <v>14.707041129411918</v>
      </c>
      <c r="BT60" s="64">
        <v>9.6073687809693897</v>
      </c>
      <c r="BU60" s="64">
        <v>5.927240726705354</v>
      </c>
      <c r="BV60" s="64">
        <v>5.8317110082936132</v>
      </c>
      <c r="BW60" s="64">
        <v>20.765854962133492</v>
      </c>
      <c r="BX60" s="64">
        <v>19.196039357205226</v>
      </c>
      <c r="BY60" s="64">
        <v>34.623123445687071</v>
      </c>
      <c r="BZ60" s="64">
        <v>47.676407473334088</v>
      </c>
      <c r="CA60" s="64">
        <v>6.0414278153475642</v>
      </c>
      <c r="CB60" s="64">
        <v>15.157447195772175</v>
      </c>
      <c r="CC60" s="64">
        <v>10.36311170670324</v>
      </c>
      <c r="CD60" s="64">
        <v>7.8492405407715484</v>
      </c>
      <c r="CE60" s="64">
        <v>13.380249299377207</v>
      </c>
      <c r="CF60" s="64">
        <v>21.314704171077651</v>
      </c>
      <c r="CG60" s="64">
        <v>5.7823402715471124</v>
      </c>
      <c r="CH60" s="64">
        <v>25.208294781341991</v>
      </c>
      <c r="CI60" s="64">
        <v>13.184211148530482</v>
      </c>
      <c r="CJ60" s="64">
        <v>15.526774220980084</v>
      </c>
      <c r="CK60" s="64">
        <v>12.335069811096881</v>
      </c>
      <c r="CL60" s="64">
        <v>39.642104825656865</v>
      </c>
      <c r="CM60" s="64">
        <v>6.8259066331977163</v>
      </c>
      <c r="CN60" s="64">
        <v>5.826796180748488</v>
      </c>
      <c r="CO60" s="64">
        <v>14.887250346411466</v>
      </c>
      <c r="CP60" s="64">
        <v>16.535253955994065</v>
      </c>
      <c r="CQ60" s="64">
        <v>-1.7121638154974368</v>
      </c>
      <c r="CR60" s="64">
        <v>5.8543814037299731</v>
      </c>
      <c r="CS60" s="64">
        <v>15.718537925588032</v>
      </c>
      <c r="CT60" s="64">
        <v>29.968693502812535</v>
      </c>
      <c r="CU60" s="64">
        <v>9.7108330839567536</v>
      </c>
      <c r="CV60" s="64">
        <v>6.2865858501996561</v>
      </c>
      <c r="CW60" s="64">
        <v>28.031746437343749</v>
      </c>
      <c r="CX60" s="64">
        <v>9.3667022563562021</v>
      </c>
      <c r="CY60" s="64">
        <v>8.4789251118340321</v>
      </c>
      <c r="CZ60" s="64">
        <v>13.096740465844499</v>
      </c>
      <c r="DA60" s="64">
        <v>14.345624413987293</v>
      </c>
      <c r="DB60" s="64">
        <v>12.700452240560704</v>
      </c>
      <c r="DC60" s="64">
        <v>12.676051985031966</v>
      </c>
      <c r="DD60" s="64">
        <v>19.564965983979501</v>
      </c>
      <c r="DE60" s="64">
        <v>11.986106824276867</v>
      </c>
      <c r="DF60" s="64">
        <v>11.661671242264802</v>
      </c>
      <c r="DG60" s="64">
        <v>21.364022756627929</v>
      </c>
      <c r="DH60" s="64">
        <v>5.6616712422648021</v>
      </c>
      <c r="DI60" s="64">
        <v>5.9295039815735384</v>
      </c>
      <c r="DJ60" s="64">
        <v>12.130032896833733</v>
      </c>
      <c r="DK60" s="64">
        <v>12.928560353273953</v>
      </c>
      <c r="DL60" s="64">
        <v>29.00251651656006</v>
      </c>
      <c r="DM60" s="64">
        <v>73.48312437393372</v>
      </c>
      <c r="DN60" s="64">
        <v>33.362654197602403</v>
      </c>
      <c r="DO60" s="64">
        <v>11.552037570846748</v>
      </c>
      <c r="DP60" s="64">
        <v>20.5707038364704</v>
      </c>
      <c r="DQ60" s="64">
        <v>12.445434565200632</v>
      </c>
      <c r="DR60" s="64">
        <v>5.7919197900671966</v>
      </c>
      <c r="DS60" s="64">
        <v>8.8843484418114418</v>
      </c>
      <c r="DT60" s="64">
        <v>34.94291687469866</v>
      </c>
      <c r="DU60" s="64">
        <v>45.691043804515068</v>
      </c>
      <c r="DV60" s="64">
        <v>20.028240696253086</v>
      </c>
      <c r="DW60" s="64">
        <v>16.325795276303626</v>
      </c>
      <c r="DX60" s="64">
        <v>17.307151663037921</v>
      </c>
      <c r="DY60" s="64">
        <v>9.7542953269992196</v>
      </c>
      <c r="DZ60" s="64">
        <v>18.643607980375929</v>
      </c>
      <c r="EA60" s="64">
        <v>10.099843256722393</v>
      </c>
      <c r="EB60" s="64">
        <v>29.374277335797977</v>
      </c>
      <c r="EC60" s="64">
        <v>23.353687520894635</v>
      </c>
      <c r="ED60" s="64">
        <v>22.574056250575421</v>
      </c>
      <c r="EE60" s="64">
        <v>19.043705050240533</v>
      </c>
      <c r="EF60" s="64">
        <v>14.587422568018711</v>
      </c>
      <c r="EG60" s="64">
        <v>19.123475100110163</v>
      </c>
      <c r="EH60" s="64">
        <v>6.6557777064490313</v>
      </c>
      <c r="EI60" s="64">
        <v>15.656182182219821</v>
      </c>
      <c r="EJ60" s="64">
        <v>14.658143950892391</v>
      </c>
      <c r="EK60" s="64">
        <v>13.379347377083452</v>
      </c>
      <c r="EL60" s="64">
        <v>19.445161981432971</v>
      </c>
      <c r="EM60" s="64">
        <v>14.82309060515308</v>
      </c>
      <c r="EN60" s="64">
        <v>11.560840288192834</v>
      </c>
      <c r="EO60" s="64">
        <v>21.016302547482919</v>
      </c>
      <c r="EP60" s="64">
        <v>8.2953687055539884</v>
      </c>
      <c r="EQ60" s="64">
        <v>10.199743956702179</v>
      </c>
      <c r="ER60" s="64">
        <v>17.798913412962197</v>
      </c>
      <c r="ES60" s="64">
        <v>15.462951853683567</v>
      </c>
    </row>
    <row r="61" spans="1:149" x14ac:dyDescent="0.3">
      <c r="A61" s="37" t="s">
        <v>20</v>
      </c>
      <c r="B61" s="64">
        <v>9.3658571516169147</v>
      </c>
      <c r="C61" s="64">
        <v>11.786447311664487</v>
      </c>
      <c r="D61" s="64">
        <v>8.3958828375407677</v>
      </c>
      <c r="E61" s="64">
        <v>14.753151864768725</v>
      </c>
      <c r="F61" s="64">
        <v>12.569752716828377</v>
      </c>
      <c r="G61" s="64">
        <v>9.3705169702981905</v>
      </c>
      <c r="H61" s="64">
        <v>10.162570679303046</v>
      </c>
      <c r="I61" s="64">
        <v>10.828189430482913</v>
      </c>
      <c r="J61" s="64">
        <v>12.794881786819753</v>
      </c>
      <c r="K61" s="64">
        <v>17.699056708210996</v>
      </c>
      <c r="L61" s="64">
        <v>42.591344157458508</v>
      </c>
      <c r="M61" s="64">
        <v>19.450764506874542</v>
      </c>
      <c r="N61" s="64">
        <v>6.2317190381731029</v>
      </c>
      <c r="O61" s="64">
        <v>11.976719930469336</v>
      </c>
      <c r="P61" s="64">
        <v>11.552925763328709</v>
      </c>
      <c r="Q61" s="64">
        <v>32.261427675113509</v>
      </c>
      <c r="R61" s="64">
        <v>26.334351373013618</v>
      </c>
      <c r="S61" s="64">
        <v>25.549914174095566</v>
      </c>
      <c r="T61" s="64">
        <v>10.161540900532401</v>
      </c>
      <c r="U61" s="64">
        <v>13.681856277956268</v>
      </c>
      <c r="V61" s="64">
        <v>18.781391805427958</v>
      </c>
      <c r="W61" s="64">
        <v>33.371621686091508</v>
      </c>
      <c r="X61" s="64">
        <v>11.616725028028931</v>
      </c>
      <c r="Y61" s="64">
        <v>9.3721447040613999</v>
      </c>
      <c r="Z61" s="64">
        <v>11.591057361042955</v>
      </c>
      <c r="AA61" s="64">
        <v>12.383464397980424</v>
      </c>
      <c r="AB61" s="64">
        <v>27.780827310899102</v>
      </c>
      <c r="AC61" s="64">
        <v>21.502861203328138</v>
      </c>
      <c r="AD61" s="64">
        <v>19.181746245917655</v>
      </c>
      <c r="AE61" s="64">
        <v>12.828761491281453</v>
      </c>
      <c r="AF61" s="64">
        <v>27.837976511310071</v>
      </c>
      <c r="AG61" s="64">
        <v>8.1387617895389752</v>
      </c>
      <c r="AH61" s="64">
        <v>15.69668545031319</v>
      </c>
      <c r="AI61" s="64">
        <v>11.654915824811519</v>
      </c>
      <c r="AJ61" s="64">
        <v>7.4373672954811294</v>
      </c>
      <c r="AK61" s="64">
        <v>13.905423571620558</v>
      </c>
      <c r="AL61" s="64">
        <v>22.606467940135122</v>
      </c>
      <c r="AM61" s="64">
        <v>31.462140429973196</v>
      </c>
      <c r="AN61" s="64">
        <v>8.1607503673941029</v>
      </c>
      <c r="AO61" s="64">
        <v>9.4701798200685516</v>
      </c>
      <c r="AP61" s="64">
        <v>45.684349282296594</v>
      </c>
      <c r="AQ61" s="64">
        <v>17.890740604589485</v>
      </c>
      <c r="AR61" s="64">
        <v>17.206544296115545</v>
      </c>
      <c r="AS61" s="64">
        <v>26.48787726469212</v>
      </c>
      <c r="AT61" s="64">
        <v>14.868557371394621</v>
      </c>
      <c r="AU61" s="64">
        <v>21.896416696736395</v>
      </c>
      <c r="AV61" s="64">
        <v>14.549542054919183</v>
      </c>
      <c r="AW61" s="64">
        <v>9.9333847072683259</v>
      </c>
      <c r="AX61" s="64">
        <v>13.960897990861438</v>
      </c>
      <c r="AY61" s="64">
        <v>11.255480092431299</v>
      </c>
      <c r="AZ61" s="64">
        <v>9.3666083146202617</v>
      </c>
      <c r="BA61" s="64">
        <v>12.295078551452141</v>
      </c>
      <c r="BB61" s="64">
        <v>28.020768507944076</v>
      </c>
      <c r="BC61" s="64">
        <v>10.726238231899186</v>
      </c>
      <c r="BD61" s="64">
        <v>15.390217394744665</v>
      </c>
      <c r="BE61" s="64">
        <v>17.017805922634132</v>
      </c>
      <c r="BF61" s="64">
        <v>15.263242006532362</v>
      </c>
      <c r="BG61" s="64">
        <v>19.335793908837744</v>
      </c>
      <c r="BH61" s="64">
        <v>39.963567356045893</v>
      </c>
      <c r="BI61" s="64">
        <v>10.245224505486298</v>
      </c>
      <c r="BJ61" s="64">
        <v>20.135942097788256</v>
      </c>
      <c r="BK61" s="64">
        <v>14.974496974697427</v>
      </c>
      <c r="BL61" s="64">
        <v>71.150698772237234</v>
      </c>
      <c r="BM61" s="64">
        <v>5.931607305054766</v>
      </c>
      <c r="BN61" s="64">
        <v>6.3744960522475358</v>
      </c>
      <c r="BO61" s="64">
        <v>11.745661851942595</v>
      </c>
      <c r="BP61" s="64">
        <v>10.457676904873127</v>
      </c>
      <c r="BQ61" s="64">
        <v>9.7536787846627941</v>
      </c>
      <c r="BR61" s="64">
        <v>10.12944939457967</v>
      </c>
      <c r="BS61" s="64">
        <v>13.707041129411907</v>
      </c>
      <c r="BT61" s="64">
        <v>13.107368780969395</v>
      </c>
      <c r="BU61" s="64">
        <v>9.4272407267053548</v>
      </c>
      <c r="BV61" s="64">
        <v>9.3317110082936097</v>
      </c>
      <c r="BW61" s="64">
        <v>20.765854962133492</v>
      </c>
      <c r="BX61" s="64">
        <v>19.196039357205226</v>
      </c>
      <c r="BY61" s="64">
        <v>38.973123445687079</v>
      </c>
      <c r="BZ61" s="64">
        <v>45.826407473334093</v>
      </c>
      <c r="CA61" s="64">
        <v>9.5414278153475625</v>
      </c>
      <c r="CB61" s="64">
        <v>10.80744719577217</v>
      </c>
      <c r="CC61" s="64">
        <v>13.863625557375471</v>
      </c>
      <c r="CD61" s="64">
        <v>12.199240540771543</v>
      </c>
      <c r="CE61" s="64">
        <v>12.380249299377203</v>
      </c>
      <c r="CF61" s="64">
        <v>21.314704171077651</v>
      </c>
      <c r="CG61" s="64">
        <v>9.2823402715471115</v>
      </c>
      <c r="CH61" s="64">
        <v>23.358294781341993</v>
      </c>
      <c r="CI61" s="64">
        <v>16.684211148530483</v>
      </c>
      <c r="CJ61" s="64">
        <v>11.176774220980084</v>
      </c>
      <c r="CK61" s="64">
        <v>15.835069811096886</v>
      </c>
      <c r="CL61" s="64">
        <v>39.642104825656865</v>
      </c>
      <c r="CM61" s="64">
        <v>10.325906633197722</v>
      </c>
      <c r="CN61" s="64">
        <v>10.176796180748488</v>
      </c>
      <c r="CO61" s="64">
        <v>10.537250346411474</v>
      </c>
      <c r="CP61" s="64">
        <v>12.18525395599406</v>
      </c>
      <c r="CQ61" s="64">
        <v>-2.7121638154974357</v>
      </c>
      <c r="CR61" s="64">
        <v>9.3543814037299793</v>
      </c>
      <c r="CS61" s="64">
        <v>15.718537925588032</v>
      </c>
      <c r="CT61" s="64">
        <v>29.968693502812535</v>
      </c>
      <c r="CU61" s="64">
        <v>14.060833083956757</v>
      </c>
      <c r="CV61" s="64">
        <v>9.7865858501996534</v>
      </c>
      <c r="CW61" s="64">
        <v>28.031746437343749</v>
      </c>
      <c r="CX61" s="64">
        <v>8.3667022563562075</v>
      </c>
      <c r="CY61" s="64">
        <v>11.978925111834025</v>
      </c>
      <c r="CZ61" s="64">
        <v>13.096740465844499</v>
      </c>
      <c r="DA61" s="64">
        <v>9.9956244139873007</v>
      </c>
      <c r="DB61" s="64">
        <v>12.700452240560704</v>
      </c>
      <c r="DC61" s="64">
        <v>8.3260519850319685</v>
      </c>
      <c r="DD61" s="64">
        <v>18.564965983979508</v>
      </c>
      <c r="DE61" s="64">
        <v>10.986106824276867</v>
      </c>
      <c r="DF61" s="64">
        <v>10.6616712422648</v>
      </c>
      <c r="DG61" s="64">
        <v>21.364022756627929</v>
      </c>
      <c r="DH61" s="64">
        <v>9.1616712422648039</v>
      </c>
      <c r="DI61" s="64">
        <v>9.4295039815735429</v>
      </c>
      <c r="DJ61" s="64">
        <v>12.130032896833733</v>
      </c>
      <c r="DK61" s="64">
        <v>11.92856035327395</v>
      </c>
      <c r="DL61" s="64">
        <v>29.00251651656006</v>
      </c>
      <c r="DM61" s="64">
        <v>73.48312437393372</v>
      </c>
      <c r="DN61" s="64">
        <v>33.362654197602403</v>
      </c>
      <c r="DO61" s="64">
        <v>11.552037570846748</v>
      </c>
      <c r="DP61" s="64">
        <v>20.5707038364704</v>
      </c>
      <c r="DQ61" s="64">
        <v>15.94543456520063</v>
      </c>
      <c r="DR61" s="64">
        <v>9.2919197900671993</v>
      </c>
      <c r="DS61" s="64">
        <v>13.234348441811441</v>
      </c>
      <c r="DT61" s="64">
        <v>34.94291687469866</v>
      </c>
      <c r="DU61" s="64">
        <v>41.341043804515074</v>
      </c>
      <c r="DV61" s="64">
        <v>20.028240696253086</v>
      </c>
      <c r="DW61" s="64">
        <v>15.325795276303628</v>
      </c>
      <c r="DX61" s="64">
        <v>16.307151663037928</v>
      </c>
      <c r="DY61" s="64">
        <v>14.104295326999226</v>
      </c>
      <c r="DZ61" s="64">
        <v>17.643607980375922</v>
      </c>
      <c r="EA61" s="64">
        <v>5.7498432567223929</v>
      </c>
      <c r="EB61" s="64">
        <v>29.374277335797977</v>
      </c>
      <c r="EC61" s="64">
        <v>23.353687520894635</v>
      </c>
      <c r="ED61" s="64">
        <v>22.574056250575421</v>
      </c>
      <c r="EE61" s="64">
        <v>18.04370505024054</v>
      </c>
      <c r="EF61" s="64">
        <v>18.08742256801871</v>
      </c>
      <c r="EG61" s="64">
        <v>22.623475100110159</v>
      </c>
      <c r="EH61" s="64">
        <v>11.005777706449031</v>
      </c>
      <c r="EI61" s="64">
        <v>15.656182182219821</v>
      </c>
      <c r="EJ61" s="64">
        <v>10.30814395089239</v>
      </c>
      <c r="EK61" s="64">
        <v>9.029347377083452</v>
      </c>
      <c r="EL61" s="64">
        <v>17.595161981432973</v>
      </c>
      <c r="EM61" s="64">
        <v>12.973090605153081</v>
      </c>
      <c r="EN61" s="64">
        <v>15.060840288192832</v>
      </c>
      <c r="EO61" s="64">
        <v>21.016302547482919</v>
      </c>
      <c r="EP61" s="64">
        <v>11.795368705553987</v>
      </c>
      <c r="EQ61" s="64">
        <v>5.8497439567021745</v>
      </c>
      <c r="ER61" s="64">
        <v>13.501136920015972</v>
      </c>
      <c r="ES61" s="64">
        <v>11.112951853683562</v>
      </c>
    </row>
    <row r="62" spans="1:149" x14ac:dyDescent="0.3">
      <c r="A62" s="37" t="s">
        <v>24</v>
      </c>
      <c r="B62" s="64">
        <v>10.215857151616914</v>
      </c>
      <c r="C62" s="64">
        <v>11.786447311664487</v>
      </c>
      <c r="D62" s="64">
        <v>9.3958828375407695</v>
      </c>
      <c r="E62" s="64">
        <v>15.753151864768723</v>
      </c>
      <c r="F62" s="64">
        <v>13.419752716828382</v>
      </c>
      <c r="G62" s="64">
        <v>10.220516970298192</v>
      </c>
      <c r="H62" s="64">
        <v>11.012570679303046</v>
      </c>
      <c r="I62" s="64">
        <v>10.828189430482913</v>
      </c>
      <c r="J62" s="64">
        <v>12.794881786819753</v>
      </c>
      <c r="K62" s="64">
        <v>18.699056708211003</v>
      </c>
      <c r="L62" s="64">
        <v>42.591344157458508</v>
      </c>
      <c r="M62" s="64">
        <v>20.300764506874536</v>
      </c>
      <c r="N62" s="64">
        <v>6.2317190381731029</v>
      </c>
      <c r="O62" s="64">
        <v>12.976719930469331</v>
      </c>
      <c r="P62" s="64">
        <v>12.4029257633287</v>
      </c>
      <c r="Q62" s="64">
        <v>32.261427675113509</v>
      </c>
      <c r="R62" s="64">
        <v>27.184351373013616</v>
      </c>
      <c r="S62" s="64">
        <v>25.549914174095566</v>
      </c>
      <c r="T62" s="64">
        <v>10.161540900532401</v>
      </c>
      <c r="U62" s="64">
        <v>13.681856277956268</v>
      </c>
      <c r="V62" s="64">
        <v>18.781391805427958</v>
      </c>
      <c r="W62" s="64">
        <v>33.371621686091508</v>
      </c>
      <c r="X62" s="64">
        <v>11.616725028028931</v>
      </c>
      <c r="Y62" s="64">
        <v>10.222144704061401</v>
      </c>
      <c r="Z62" s="64">
        <v>11.591057361042955</v>
      </c>
      <c r="AA62" s="64">
        <v>13.233464397980431</v>
      </c>
      <c r="AB62" s="64">
        <v>27.780827310899102</v>
      </c>
      <c r="AC62" s="64">
        <v>21.502861203328138</v>
      </c>
      <c r="AD62" s="64">
        <v>16.681746245917648</v>
      </c>
      <c r="AE62" s="64">
        <v>12.828761491281453</v>
      </c>
      <c r="AF62" s="64">
        <v>27.837976511310071</v>
      </c>
      <c r="AG62" s="64">
        <v>8.1387617895389752</v>
      </c>
      <c r="AH62" s="64">
        <v>15.69668545031319</v>
      </c>
      <c r="AI62" s="64">
        <v>11.654915824811519</v>
      </c>
      <c r="AJ62" s="64">
        <v>7.4373672954811294</v>
      </c>
      <c r="AK62" s="64">
        <v>13.905423571620558</v>
      </c>
      <c r="AL62" s="64">
        <v>22.606467940135122</v>
      </c>
      <c r="AM62" s="64">
        <v>31.462140429973196</v>
      </c>
      <c r="AN62" s="64">
        <v>8.1607503673941029</v>
      </c>
      <c r="AO62" s="64">
        <v>10.320179820068555</v>
      </c>
      <c r="AP62" s="64">
        <v>45.684349282296594</v>
      </c>
      <c r="AQ62" s="64">
        <v>18.74074060458949</v>
      </c>
      <c r="AR62" s="64">
        <v>17.206544296115545</v>
      </c>
      <c r="AS62" s="64">
        <v>23.987877264692127</v>
      </c>
      <c r="AT62" s="64">
        <v>14.868557371394621</v>
      </c>
      <c r="AU62" s="64">
        <v>22.7464166967364</v>
      </c>
      <c r="AV62" s="64">
        <v>15.399542054919181</v>
      </c>
      <c r="AW62" s="64">
        <v>9.9333847072683259</v>
      </c>
      <c r="AX62" s="64">
        <v>13.977177373611738</v>
      </c>
      <c r="AY62" s="64">
        <v>12.105480092431307</v>
      </c>
      <c r="AZ62" s="64">
        <v>9.3666083146202617</v>
      </c>
      <c r="BA62" s="64">
        <v>13.145078551452141</v>
      </c>
      <c r="BB62" s="64">
        <v>28.020768507944076</v>
      </c>
      <c r="BC62" s="64">
        <v>10.726238231899186</v>
      </c>
      <c r="BD62" s="64">
        <v>15.390217394744665</v>
      </c>
      <c r="BE62" s="64">
        <v>17.017805922634132</v>
      </c>
      <c r="BF62" s="64">
        <v>15.263242006532362</v>
      </c>
      <c r="BG62" s="64">
        <v>19.335793908837744</v>
      </c>
      <c r="BH62" s="64">
        <v>40.81356735604588</v>
      </c>
      <c r="BI62" s="64">
        <v>10.245224505486298</v>
      </c>
      <c r="BJ62" s="64">
        <v>20.135942097788256</v>
      </c>
      <c r="BK62" s="64">
        <v>15.82449697469743</v>
      </c>
      <c r="BL62" s="64">
        <v>71.150698772237234</v>
      </c>
      <c r="BM62" s="64">
        <v>5.931607305054766</v>
      </c>
      <c r="BN62" s="64">
        <v>6.3744960522475358</v>
      </c>
      <c r="BO62" s="64">
        <v>11.745661851942595</v>
      </c>
      <c r="BP62" s="64">
        <v>10.457676904873127</v>
      </c>
      <c r="BQ62" s="64">
        <v>10.60367878466279</v>
      </c>
      <c r="BR62" s="64">
        <v>10.12944939457967</v>
      </c>
      <c r="BS62" s="64">
        <v>14.707041129411918</v>
      </c>
      <c r="BT62" s="64">
        <v>13.957368780969396</v>
      </c>
      <c r="BU62" s="64">
        <v>10.277240726705353</v>
      </c>
      <c r="BV62" s="64">
        <v>10.181711008293608</v>
      </c>
      <c r="BW62" s="64">
        <v>20.765854962133492</v>
      </c>
      <c r="BX62" s="64">
        <v>19.196039357205226</v>
      </c>
      <c r="BY62" s="64">
        <v>38.973123445687079</v>
      </c>
      <c r="BZ62" s="64">
        <v>43.326407473334079</v>
      </c>
      <c r="CA62" s="64">
        <v>10.391427815347562</v>
      </c>
      <c r="CB62" s="64">
        <v>10.80744719577217</v>
      </c>
      <c r="CC62" s="64">
        <v>14.713111706703238</v>
      </c>
      <c r="CD62" s="64">
        <v>12.199240540771543</v>
      </c>
      <c r="CE62" s="64">
        <v>13.380249299377207</v>
      </c>
      <c r="CF62" s="64">
        <v>21.314704171077651</v>
      </c>
      <c r="CG62" s="64">
        <v>10.132340271547109</v>
      </c>
      <c r="CH62" s="64">
        <v>20.858294781341986</v>
      </c>
      <c r="CI62" s="64">
        <v>17.534211148530481</v>
      </c>
      <c r="CJ62" s="64">
        <v>11.176774220980084</v>
      </c>
      <c r="CK62" s="64">
        <v>16.685069811096891</v>
      </c>
      <c r="CL62" s="64">
        <v>39.642104825656865</v>
      </c>
      <c r="CM62" s="64">
        <v>11.175906633197718</v>
      </c>
      <c r="CN62" s="64">
        <v>10.176796180748488</v>
      </c>
      <c r="CO62" s="64">
        <v>10.537250346411474</v>
      </c>
      <c r="CP62" s="64">
        <v>12.18525395599406</v>
      </c>
      <c r="CQ62" s="64">
        <v>-1.7121638154974368</v>
      </c>
      <c r="CR62" s="64">
        <v>10.20438140372997</v>
      </c>
      <c r="CS62" s="64">
        <v>15.718537925588032</v>
      </c>
      <c r="CT62" s="64">
        <v>29.968693502812535</v>
      </c>
      <c r="CU62" s="64">
        <v>14.060833083956757</v>
      </c>
      <c r="CV62" s="64">
        <v>10.636585850199655</v>
      </c>
      <c r="CW62" s="64">
        <v>28.031746437343749</v>
      </c>
      <c r="CX62" s="64">
        <v>9.3667022563562021</v>
      </c>
      <c r="CY62" s="64">
        <v>12.828925111834026</v>
      </c>
      <c r="CZ62" s="64">
        <v>13.096740465844499</v>
      </c>
      <c r="DA62" s="64">
        <v>9.9956244139873007</v>
      </c>
      <c r="DB62" s="64">
        <v>12.700452240560704</v>
      </c>
      <c r="DC62" s="64">
        <v>8.3260519850319685</v>
      </c>
      <c r="DD62" s="64">
        <v>19.564965983979501</v>
      </c>
      <c r="DE62" s="64">
        <v>11.986106824276867</v>
      </c>
      <c r="DF62" s="64">
        <v>11.661671242264802</v>
      </c>
      <c r="DG62" s="64">
        <v>21.364022756627929</v>
      </c>
      <c r="DH62" s="64">
        <v>10.011671242264804</v>
      </c>
      <c r="DI62" s="64">
        <v>10.279503981573537</v>
      </c>
      <c r="DJ62" s="64">
        <v>12.130032896833733</v>
      </c>
      <c r="DK62" s="64">
        <v>12.928560353273953</v>
      </c>
      <c r="DL62" s="64">
        <v>29.00251651656006</v>
      </c>
      <c r="DM62" s="64">
        <v>73.48312437393372</v>
      </c>
      <c r="DN62" s="64">
        <v>33.362654197602403</v>
      </c>
      <c r="DO62" s="64">
        <v>11.552037570846748</v>
      </c>
      <c r="DP62" s="64">
        <v>20.5707038364704</v>
      </c>
      <c r="DQ62" s="64">
        <v>16.795434565200633</v>
      </c>
      <c r="DR62" s="64">
        <v>10.141919790067201</v>
      </c>
      <c r="DS62" s="64">
        <v>13.234348441811441</v>
      </c>
      <c r="DT62" s="64">
        <v>34.94291687469866</v>
      </c>
      <c r="DU62" s="64">
        <v>41.341043804515074</v>
      </c>
      <c r="DV62" s="64">
        <v>20.028240696253086</v>
      </c>
      <c r="DW62" s="64">
        <v>16.325795276303626</v>
      </c>
      <c r="DX62" s="64">
        <v>17.307151663037921</v>
      </c>
      <c r="DY62" s="64">
        <v>14.104295326999226</v>
      </c>
      <c r="DZ62" s="64">
        <v>18.643607980375929</v>
      </c>
      <c r="EA62" s="64">
        <v>5.7498432567223929</v>
      </c>
      <c r="EB62" s="64">
        <v>29.374277335797977</v>
      </c>
      <c r="EC62" s="64">
        <v>23.353687520894635</v>
      </c>
      <c r="ED62" s="64">
        <v>22.574056250575421</v>
      </c>
      <c r="EE62" s="64">
        <v>19.043705050240533</v>
      </c>
      <c r="EF62" s="64">
        <v>18.937422568018714</v>
      </c>
      <c r="EG62" s="64">
        <v>23.473475100110164</v>
      </c>
      <c r="EH62" s="64">
        <v>11.005777706449031</v>
      </c>
      <c r="EI62" s="64">
        <v>15.656182182219821</v>
      </c>
      <c r="EJ62" s="64">
        <v>10.30814395089239</v>
      </c>
      <c r="EK62" s="64">
        <v>9.029347377083452</v>
      </c>
      <c r="EL62" s="64">
        <v>15.095161981432975</v>
      </c>
      <c r="EM62" s="64">
        <v>10.473090605153079</v>
      </c>
      <c r="EN62" s="64">
        <v>15.910840288192833</v>
      </c>
      <c r="EO62" s="64">
        <v>21.016302547482919</v>
      </c>
      <c r="EP62" s="64">
        <v>12.645368705553993</v>
      </c>
      <c r="EQ62" s="64">
        <v>5.8497439567021745</v>
      </c>
      <c r="ER62" s="64">
        <v>13.501136920015972</v>
      </c>
      <c r="ES62" s="64">
        <v>11.112951853683562</v>
      </c>
    </row>
    <row r="63" spans="1:149" x14ac:dyDescent="0.3">
      <c r="A63" s="37" t="s">
        <v>21</v>
      </c>
      <c r="B63" s="64">
        <v>9.3658571516169147</v>
      </c>
      <c r="C63" s="64">
        <v>11.786447311664487</v>
      </c>
      <c r="D63" s="64">
        <v>8.3958828375407677</v>
      </c>
      <c r="E63" s="64">
        <v>14.753151864768725</v>
      </c>
      <c r="F63" s="64">
        <v>12.569752716828377</v>
      </c>
      <c r="G63" s="64">
        <v>9.3705169702981905</v>
      </c>
      <c r="H63" s="64">
        <v>10.162570679303046</v>
      </c>
      <c r="I63" s="64">
        <v>10.828189430482913</v>
      </c>
      <c r="J63" s="64">
        <v>12.794881786819753</v>
      </c>
      <c r="K63" s="64">
        <v>17.699056708210996</v>
      </c>
      <c r="L63" s="64">
        <v>42.591344157458508</v>
      </c>
      <c r="M63" s="64">
        <v>19.450764506874542</v>
      </c>
      <c r="N63" s="64">
        <v>6.2317190381731029</v>
      </c>
      <c r="O63" s="64">
        <v>11.976719930469336</v>
      </c>
      <c r="P63" s="64">
        <v>11.552925763328709</v>
      </c>
      <c r="Q63" s="64">
        <v>32.261427675113509</v>
      </c>
      <c r="R63" s="64">
        <v>26.334351373013618</v>
      </c>
      <c r="S63" s="64">
        <v>25.549914174095566</v>
      </c>
      <c r="T63" s="64">
        <v>10.161540900532401</v>
      </c>
      <c r="U63" s="64">
        <v>13.681856277956268</v>
      </c>
      <c r="V63" s="64">
        <v>18.781391805427958</v>
      </c>
      <c r="W63" s="64">
        <v>33.371621686091508</v>
      </c>
      <c r="X63" s="64">
        <v>11.616725028028931</v>
      </c>
      <c r="Y63" s="64">
        <v>9.3721447040613999</v>
      </c>
      <c r="Z63" s="64">
        <v>11.591057361042955</v>
      </c>
      <c r="AA63" s="64">
        <v>12.383464397980424</v>
      </c>
      <c r="AB63" s="64">
        <v>27.780827310899102</v>
      </c>
      <c r="AC63" s="64">
        <v>21.502861203328138</v>
      </c>
      <c r="AD63" s="64">
        <v>19.181746245917655</v>
      </c>
      <c r="AE63" s="64">
        <v>12.828761491281453</v>
      </c>
      <c r="AF63" s="64">
        <v>27.837976511310071</v>
      </c>
      <c r="AG63" s="64">
        <v>8.1387617895389752</v>
      </c>
      <c r="AH63" s="64">
        <v>15.69668545031319</v>
      </c>
      <c r="AI63" s="64">
        <v>11.654915824811519</v>
      </c>
      <c r="AJ63" s="64">
        <v>7.4373672954811294</v>
      </c>
      <c r="AK63" s="64">
        <v>13.905423571620558</v>
      </c>
      <c r="AL63" s="64">
        <v>22.606467940135122</v>
      </c>
      <c r="AM63" s="64">
        <v>31.462140429973196</v>
      </c>
      <c r="AN63" s="64">
        <v>8.1607503673941029</v>
      </c>
      <c r="AO63" s="64">
        <v>9.4701798200685516</v>
      </c>
      <c r="AP63" s="64">
        <v>45.684349282296594</v>
      </c>
      <c r="AQ63" s="64">
        <v>17.890740604589485</v>
      </c>
      <c r="AR63" s="64">
        <v>17.206544296115545</v>
      </c>
      <c r="AS63" s="64">
        <v>26.48787726469212</v>
      </c>
      <c r="AT63" s="64">
        <v>14.868557371394621</v>
      </c>
      <c r="AU63" s="64">
        <v>21.896416696736395</v>
      </c>
      <c r="AV63" s="64">
        <v>14.549542054919183</v>
      </c>
      <c r="AW63" s="64">
        <v>9.9333847072683259</v>
      </c>
      <c r="AX63" s="64">
        <v>13.960897990861438</v>
      </c>
      <c r="AY63" s="64">
        <v>11.255480092431299</v>
      </c>
      <c r="AZ63" s="64">
        <v>9.3666083146202617</v>
      </c>
      <c r="BA63" s="64">
        <v>12.295078551452141</v>
      </c>
      <c r="BB63" s="64">
        <v>28.020768507944076</v>
      </c>
      <c r="BC63" s="64">
        <v>10.726238231899186</v>
      </c>
      <c r="BD63" s="64">
        <v>15.390217394744665</v>
      </c>
      <c r="BE63" s="64">
        <v>17.017805922634132</v>
      </c>
      <c r="BF63" s="64">
        <v>15.263242006532362</v>
      </c>
      <c r="BG63" s="64">
        <v>19.335793908837744</v>
      </c>
      <c r="BH63" s="64">
        <v>39.963567356045893</v>
      </c>
      <c r="BI63" s="64">
        <v>10.245224505486298</v>
      </c>
      <c r="BJ63" s="64">
        <v>20.135942097788256</v>
      </c>
      <c r="BK63" s="64">
        <v>14.974496974697427</v>
      </c>
      <c r="BL63" s="64">
        <v>71.150698772237234</v>
      </c>
      <c r="BM63" s="64">
        <v>5.931607305054766</v>
      </c>
      <c r="BN63" s="64">
        <v>6.3744960522475358</v>
      </c>
      <c r="BO63" s="64">
        <v>11.745661851942595</v>
      </c>
      <c r="BP63" s="64">
        <v>10.457676904873127</v>
      </c>
      <c r="BQ63" s="64">
        <v>9.7536787846627941</v>
      </c>
      <c r="BR63" s="64">
        <v>10.12944939457967</v>
      </c>
      <c r="BS63" s="64">
        <v>13.707041129411907</v>
      </c>
      <c r="BT63" s="64">
        <v>13.107368780969395</v>
      </c>
      <c r="BU63" s="64">
        <v>9.4272407267053548</v>
      </c>
      <c r="BV63" s="64">
        <v>9.3317110082936097</v>
      </c>
      <c r="BW63" s="64">
        <v>20.765854962133492</v>
      </c>
      <c r="BX63" s="64">
        <v>19.196039357205226</v>
      </c>
      <c r="BY63" s="64">
        <v>38.973123445687079</v>
      </c>
      <c r="BZ63" s="64">
        <v>45.826407473334093</v>
      </c>
      <c r="CA63" s="64">
        <v>9.5414278153475625</v>
      </c>
      <c r="CB63" s="64">
        <v>10.80744719577217</v>
      </c>
      <c r="CC63" s="64">
        <v>13.863625557375471</v>
      </c>
      <c r="CD63" s="64">
        <v>12.199240540771543</v>
      </c>
      <c r="CE63" s="64">
        <v>12.380249299377203</v>
      </c>
      <c r="CF63" s="64">
        <v>21.314704171077651</v>
      </c>
      <c r="CG63" s="64">
        <v>9.2823402715471115</v>
      </c>
      <c r="CH63" s="64">
        <v>23.358294781341993</v>
      </c>
      <c r="CI63" s="64">
        <v>16.684211148530483</v>
      </c>
      <c r="CJ63" s="64">
        <v>11.176774220980084</v>
      </c>
      <c r="CK63" s="64">
        <v>15.835069811096886</v>
      </c>
      <c r="CL63" s="64">
        <v>39.642104825656865</v>
      </c>
      <c r="CM63" s="64">
        <v>10.325906633197722</v>
      </c>
      <c r="CN63" s="64">
        <v>10.176796180748488</v>
      </c>
      <c r="CO63" s="64">
        <v>10.537250346411474</v>
      </c>
      <c r="CP63" s="64">
        <v>12.18525395599406</v>
      </c>
      <c r="CQ63" s="64">
        <v>-2.7121638154974357</v>
      </c>
      <c r="CR63" s="64">
        <v>9.3543814037299793</v>
      </c>
      <c r="CS63" s="64">
        <v>15.718537925588032</v>
      </c>
      <c r="CT63" s="64">
        <v>29.968693502812535</v>
      </c>
      <c r="CU63" s="64">
        <v>14.060833083956757</v>
      </c>
      <c r="CV63" s="64">
        <v>9.7865858501996534</v>
      </c>
      <c r="CW63" s="64">
        <v>28.031746437343749</v>
      </c>
      <c r="CX63" s="64">
        <v>8.3667022563562075</v>
      </c>
      <c r="CY63" s="64">
        <v>11.978925111834025</v>
      </c>
      <c r="CZ63" s="64">
        <v>13.096740465844499</v>
      </c>
      <c r="DA63" s="64">
        <v>9.9956244139873007</v>
      </c>
      <c r="DB63" s="64">
        <v>12.700452240560704</v>
      </c>
      <c r="DC63" s="64">
        <v>8.3260519850319685</v>
      </c>
      <c r="DD63" s="64">
        <v>18.564965983979508</v>
      </c>
      <c r="DE63" s="64">
        <v>10.986106824276867</v>
      </c>
      <c r="DF63" s="64">
        <v>10.6616712422648</v>
      </c>
      <c r="DG63" s="64">
        <v>21.364022756627929</v>
      </c>
      <c r="DH63" s="64">
        <v>9.1616712422648039</v>
      </c>
      <c r="DI63" s="64">
        <v>9.4295039815735429</v>
      </c>
      <c r="DJ63" s="64">
        <v>12.130032896833733</v>
      </c>
      <c r="DK63" s="64">
        <v>11.92856035327395</v>
      </c>
      <c r="DL63" s="64">
        <v>29.00251651656006</v>
      </c>
      <c r="DM63" s="64">
        <v>73.48312437393372</v>
      </c>
      <c r="DN63" s="64">
        <v>33.362654197602403</v>
      </c>
      <c r="DO63" s="64">
        <v>11.552037570846748</v>
      </c>
      <c r="DP63" s="64">
        <v>20.5707038364704</v>
      </c>
      <c r="DQ63" s="64">
        <v>15.94543456520063</v>
      </c>
      <c r="DR63" s="64">
        <v>9.2919197900671993</v>
      </c>
      <c r="DS63" s="64">
        <v>13.234348441811441</v>
      </c>
      <c r="DT63" s="64">
        <v>34.94291687469866</v>
      </c>
      <c r="DU63" s="64">
        <v>41.341043804515074</v>
      </c>
      <c r="DV63" s="64">
        <v>20.028240696253086</v>
      </c>
      <c r="DW63" s="64">
        <v>15.325795276303628</v>
      </c>
      <c r="DX63" s="64">
        <v>16.307151663037928</v>
      </c>
      <c r="DY63" s="64">
        <v>14.104295326999226</v>
      </c>
      <c r="DZ63" s="64">
        <v>17.643607980375922</v>
      </c>
      <c r="EA63" s="64">
        <v>5.7498432567223929</v>
      </c>
      <c r="EB63" s="64">
        <v>29.374277335797977</v>
      </c>
      <c r="EC63" s="64">
        <v>23.353687520894635</v>
      </c>
      <c r="ED63" s="64">
        <v>22.574056250575421</v>
      </c>
      <c r="EE63" s="64">
        <v>18.04370505024054</v>
      </c>
      <c r="EF63" s="64">
        <v>18.08742256801871</v>
      </c>
      <c r="EG63" s="64">
        <v>22.623475100110159</v>
      </c>
      <c r="EH63" s="64">
        <v>11.005777706449031</v>
      </c>
      <c r="EI63" s="64">
        <v>15.656182182219821</v>
      </c>
      <c r="EJ63" s="64">
        <v>10.30814395089239</v>
      </c>
      <c r="EK63" s="64">
        <v>9.029347377083452</v>
      </c>
      <c r="EL63" s="64">
        <v>17.595161981432973</v>
      </c>
      <c r="EM63" s="64">
        <v>12.973090605153081</v>
      </c>
      <c r="EN63" s="64">
        <v>15.060840288192832</v>
      </c>
      <c r="EO63" s="64">
        <v>21.016302547482919</v>
      </c>
      <c r="EP63" s="64">
        <v>11.795368705553987</v>
      </c>
      <c r="EQ63" s="64">
        <v>5.8497439567021745</v>
      </c>
      <c r="ER63" s="64">
        <v>13.501136920015972</v>
      </c>
      <c r="ES63" s="64">
        <v>11.112951853683562</v>
      </c>
    </row>
    <row r="64" spans="1:149" x14ac:dyDescent="0.3">
      <c r="A64" s="37" t="s">
        <v>5</v>
      </c>
      <c r="B64" s="64">
        <v>9.3658571516169147</v>
      </c>
      <c r="C64" s="64">
        <v>11.786447311664487</v>
      </c>
      <c r="D64" s="64">
        <v>10.245882837540771</v>
      </c>
      <c r="E64" s="64">
        <v>16.603151864768723</v>
      </c>
      <c r="F64" s="64">
        <v>12.569752716828377</v>
      </c>
      <c r="G64" s="64">
        <v>9.3705169702981905</v>
      </c>
      <c r="H64" s="64">
        <v>10.162570679303046</v>
      </c>
      <c r="I64" s="64">
        <v>10.828189430482913</v>
      </c>
      <c r="J64" s="64">
        <v>12.794881786819753</v>
      </c>
      <c r="K64" s="64">
        <v>19.549056708211001</v>
      </c>
      <c r="L64" s="64">
        <v>38.241344157458492</v>
      </c>
      <c r="M64" s="64">
        <v>19.450764506874542</v>
      </c>
      <c r="N64" s="64">
        <v>9.7317190381731038</v>
      </c>
      <c r="O64" s="64">
        <v>13.826719930469341</v>
      </c>
      <c r="P64" s="64">
        <v>11.552925763328709</v>
      </c>
      <c r="Q64" s="64">
        <v>28.011427675113534</v>
      </c>
      <c r="R64" s="64">
        <v>26.334351373013618</v>
      </c>
      <c r="S64" s="64">
        <v>21.199914174095575</v>
      </c>
      <c r="T64" s="64">
        <v>5.8115409005324015</v>
      </c>
      <c r="U64" s="64">
        <v>17.181856277956271</v>
      </c>
      <c r="V64" s="64">
        <v>14.431391805427959</v>
      </c>
      <c r="W64" s="64">
        <v>33.371621686091508</v>
      </c>
      <c r="X64" s="64">
        <v>11.616725028028931</v>
      </c>
      <c r="Y64" s="64">
        <v>9.3721447040613999</v>
      </c>
      <c r="Z64" s="64">
        <v>7.2410573610429614</v>
      </c>
      <c r="AA64" s="64">
        <v>12.383464397980424</v>
      </c>
      <c r="AB64" s="64">
        <v>23.530827310899081</v>
      </c>
      <c r="AC64" s="64">
        <v>17.152861203328136</v>
      </c>
      <c r="AD64" s="64">
        <v>21.031746245917653</v>
      </c>
      <c r="AE64" s="64">
        <v>12.828761491281453</v>
      </c>
      <c r="AF64" s="64">
        <v>23.487976511310073</v>
      </c>
      <c r="AG64" s="64">
        <v>11.638761789538977</v>
      </c>
      <c r="AH64" s="64">
        <v>19.196685450313186</v>
      </c>
      <c r="AI64" s="64">
        <v>15.154915824811519</v>
      </c>
      <c r="AJ64" s="64">
        <v>10.937367295481129</v>
      </c>
      <c r="AK64" s="64">
        <v>17.405423571620556</v>
      </c>
      <c r="AL64" s="64">
        <v>18.256467940135114</v>
      </c>
      <c r="AM64" s="64">
        <v>27.112140429973181</v>
      </c>
      <c r="AN64" s="64">
        <v>11.660750367394099</v>
      </c>
      <c r="AO64" s="64">
        <v>9.4701798200685516</v>
      </c>
      <c r="AP64" s="64">
        <v>41.334349282296593</v>
      </c>
      <c r="AQ64" s="64">
        <v>17.890740604589485</v>
      </c>
      <c r="AR64" s="64">
        <v>12.856544296115553</v>
      </c>
      <c r="AS64" s="64">
        <v>28.337877264692139</v>
      </c>
      <c r="AT64" s="64">
        <v>18.368557371394616</v>
      </c>
      <c r="AU64" s="64">
        <v>21.896416696736395</v>
      </c>
      <c r="AV64" s="64">
        <v>14.549542054919183</v>
      </c>
      <c r="AW64" s="64">
        <v>9.9333847072683259</v>
      </c>
      <c r="AX64" s="64">
        <v>9.7118301639132909</v>
      </c>
      <c r="AY64" s="64">
        <v>11.255480092431299</v>
      </c>
      <c r="AZ64" s="64">
        <v>12.866608314620263</v>
      </c>
      <c r="BA64" s="64">
        <v>12.295078551452141</v>
      </c>
      <c r="BB64" s="64">
        <v>31.520768507944087</v>
      </c>
      <c r="BC64" s="64">
        <v>14.226238231899179</v>
      </c>
      <c r="BD64" s="64">
        <v>15.390217394744665</v>
      </c>
      <c r="BE64" s="64">
        <v>12.767805922634137</v>
      </c>
      <c r="BF64" s="64">
        <v>15.263242006532362</v>
      </c>
      <c r="BG64" s="64">
        <v>14.985793908837742</v>
      </c>
      <c r="BH64" s="64">
        <v>39.963567356045893</v>
      </c>
      <c r="BI64" s="64">
        <v>10.245224505486298</v>
      </c>
      <c r="BJ64" s="64">
        <v>20.135942097788256</v>
      </c>
      <c r="BK64" s="64">
        <v>14.974496974697427</v>
      </c>
      <c r="BL64" s="64">
        <v>71.150698772237234</v>
      </c>
      <c r="BM64" s="64">
        <v>9.4316073050547669</v>
      </c>
      <c r="BN64" s="64">
        <v>9.8744960522475314</v>
      </c>
      <c r="BO64" s="64">
        <v>11.745661851942595</v>
      </c>
      <c r="BP64" s="64">
        <v>10.457676904873127</v>
      </c>
      <c r="BQ64" s="64">
        <v>9.7536787846627941</v>
      </c>
      <c r="BR64" s="64">
        <v>10.12944939457967</v>
      </c>
      <c r="BS64" s="64">
        <v>15.557041129411923</v>
      </c>
      <c r="BT64" s="64">
        <v>13.107368780969395</v>
      </c>
      <c r="BU64" s="64">
        <v>9.4272407267053548</v>
      </c>
      <c r="BV64" s="64">
        <v>9.3317110082936097</v>
      </c>
      <c r="BW64" s="64">
        <v>16.515854962133496</v>
      </c>
      <c r="BX64" s="64">
        <v>19.196039357205226</v>
      </c>
      <c r="BY64" s="64">
        <v>38.973123445687079</v>
      </c>
      <c r="BZ64" s="64">
        <v>47.676407473334088</v>
      </c>
      <c r="CA64" s="64">
        <v>9.5414278153475625</v>
      </c>
      <c r="CB64" s="64">
        <v>14.307447195772166</v>
      </c>
      <c r="CC64" s="64">
        <v>13.863625557375471</v>
      </c>
      <c r="CD64" s="64">
        <v>12.199240540771543</v>
      </c>
      <c r="CE64" s="64">
        <v>14.23024929937721</v>
      </c>
      <c r="CF64" s="64">
        <v>16.964704171077649</v>
      </c>
      <c r="CG64" s="64">
        <v>9.2823402715471115</v>
      </c>
      <c r="CH64" s="64">
        <v>25.208294781341991</v>
      </c>
      <c r="CI64" s="64">
        <v>16.684211148530483</v>
      </c>
      <c r="CJ64" s="64">
        <v>14.676774220980079</v>
      </c>
      <c r="CK64" s="64">
        <v>15.835069811096886</v>
      </c>
      <c r="CL64" s="64">
        <v>35.392104825656872</v>
      </c>
      <c r="CM64" s="64">
        <v>10.325906633197722</v>
      </c>
      <c r="CN64" s="64">
        <v>10.176796180748488</v>
      </c>
      <c r="CO64" s="64">
        <v>14.037250346411476</v>
      </c>
      <c r="CP64" s="64">
        <v>15.68525395599406</v>
      </c>
      <c r="CQ64" s="64">
        <v>-0.86216381549743704</v>
      </c>
      <c r="CR64" s="64">
        <v>9.3543814037299793</v>
      </c>
      <c r="CS64" s="64">
        <v>15.718537925588032</v>
      </c>
      <c r="CT64" s="64">
        <v>25.61869350281253</v>
      </c>
      <c r="CU64" s="64">
        <v>14.060833083956757</v>
      </c>
      <c r="CV64" s="64">
        <v>9.7865858501996534</v>
      </c>
      <c r="CW64" s="64">
        <v>23.681746437343737</v>
      </c>
      <c r="CX64" s="64">
        <v>10.216702256356212</v>
      </c>
      <c r="CY64" s="64">
        <v>11.978925111834025</v>
      </c>
      <c r="CZ64" s="64">
        <v>8.7467404658444945</v>
      </c>
      <c r="DA64" s="64">
        <v>13.495624413987301</v>
      </c>
      <c r="DB64" s="64">
        <v>8.4504522405607077</v>
      </c>
      <c r="DC64" s="64">
        <v>11.826051985031974</v>
      </c>
      <c r="DD64" s="64">
        <v>20.414965983979506</v>
      </c>
      <c r="DE64" s="64">
        <v>12.836106824276863</v>
      </c>
      <c r="DF64" s="64">
        <v>12.511671242264802</v>
      </c>
      <c r="DG64" s="64">
        <v>21.364022756627929</v>
      </c>
      <c r="DH64" s="64">
        <v>9.1616712422648039</v>
      </c>
      <c r="DI64" s="64">
        <v>9.4295039815735429</v>
      </c>
      <c r="DJ64" s="64">
        <v>7.7800328968337231</v>
      </c>
      <c r="DK64" s="64">
        <v>13.778560353273953</v>
      </c>
      <c r="DL64" s="64">
        <v>24.652516516560059</v>
      </c>
      <c r="DM64" s="64">
        <v>69.133124373933711</v>
      </c>
      <c r="DN64" s="64">
        <v>29.012654197602409</v>
      </c>
      <c r="DO64" s="64">
        <v>11.552037570846748</v>
      </c>
      <c r="DP64" s="64">
        <v>16.220703836470403</v>
      </c>
      <c r="DQ64" s="64">
        <v>15.94543456520063</v>
      </c>
      <c r="DR64" s="64">
        <v>9.2919197900671993</v>
      </c>
      <c r="DS64" s="64">
        <v>13.234348441811441</v>
      </c>
      <c r="DT64" s="64">
        <v>30.592916874698656</v>
      </c>
      <c r="DU64" s="64">
        <v>44.841043804515067</v>
      </c>
      <c r="DV64" s="64">
        <v>15.678240696253091</v>
      </c>
      <c r="DW64" s="64">
        <v>17.175795276303635</v>
      </c>
      <c r="DX64" s="64">
        <v>18.157151663037929</v>
      </c>
      <c r="DY64" s="64">
        <v>14.104295326999226</v>
      </c>
      <c r="DZ64" s="64">
        <v>19.49360798037592</v>
      </c>
      <c r="EA64" s="64">
        <v>9.2498432567223929</v>
      </c>
      <c r="EB64" s="64">
        <v>25.066107269846512</v>
      </c>
      <c r="EC64" s="64">
        <v>19.003687520894641</v>
      </c>
      <c r="ED64" s="64">
        <v>18.224056250575419</v>
      </c>
      <c r="EE64" s="64">
        <v>19.893705050240545</v>
      </c>
      <c r="EF64" s="64">
        <v>18.08742256801871</v>
      </c>
      <c r="EG64" s="64">
        <v>22.623475100110159</v>
      </c>
      <c r="EH64" s="64">
        <v>11.005777706449031</v>
      </c>
      <c r="EI64" s="64">
        <v>15.656182182219821</v>
      </c>
      <c r="EJ64" s="64">
        <v>13.80814395089239</v>
      </c>
      <c r="EK64" s="64">
        <v>12.529347377083457</v>
      </c>
      <c r="EL64" s="64">
        <v>19.445161981432971</v>
      </c>
      <c r="EM64" s="64">
        <v>14.82309060515308</v>
      </c>
      <c r="EN64" s="64">
        <v>15.060840288192832</v>
      </c>
      <c r="EO64" s="64">
        <v>21.016302547482919</v>
      </c>
      <c r="EP64" s="64">
        <v>11.795368705553987</v>
      </c>
      <c r="EQ64" s="64">
        <v>9.3497439567021683</v>
      </c>
      <c r="ER64" s="64">
        <v>16.959118006294549</v>
      </c>
      <c r="ES64" s="64">
        <v>14.612951853683562</v>
      </c>
    </row>
    <row r="65" spans="1:151" x14ac:dyDescent="0.3">
      <c r="A65" s="37" t="s">
        <v>16</v>
      </c>
      <c r="B65" s="64">
        <v>5.8658571516169156</v>
      </c>
      <c r="C65" s="64">
        <v>10.786447311664485</v>
      </c>
      <c r="D65" s="64">
        <v>9.3958828375407695</v>
      </c>
      <c r="E65" s="64">
        <v>15.753151864768723</v>
      </c>
      <c r="F65" s="64">
        <v>9.0697527168283774</v>
      </c>
      <c r="G65" s="64">
        <v>5.8705169702981888</v>
      </c>
      <c r="H65" s="64">
        <v>6.6625706793030446</v>
      </c>
      <c r="I65" s="64">
        <v>6.4781894304829173</v>
      </c>
      <c r="J65" s="64">
        <v>11.794881786819753</v>
      </c>
      <c r="K65" s="64">
        <v>18.699056708211003</v>
      </c>
      <c r="L65" s="64">
        <v>42.591344157458508</v>
      </c>
      <c r="M65" s="64">
        <v>15.950764506874535</v>
      </c>
      <c r="N65" s="64">
        <v>9.7317190381731038</v>
      </c>
      <c r="O65" s="64">
        <v>12.976719930469331</v>
      </c>
      <c r="P65" s="64">
        <v>8.052925763328707</v>
      </c>
      <c r="Q65" s="64">
        <v>32.261427675113509</v>
      </c>
      <c r="R65" s="64">
        <v>22.834351373013625</v>
      </c>
      <c r="S65" s="64">
        <v>25.549914174095566</v>
      </c>
      <c r="T65" s="64">
        <v>10.161540900532401</v>
      </c>
      <c r="U65" s="64">
        <v>17.181856277956271</v>
      </c>
      <c r="V65" s="64">
        <v>18.781391805427958</v>
      </c>
      <c r="W65" s="64">
        <v>29.021621686091517</v>
      </c>
      <c r="X65" s="64">
        <v>10.616725028028933</v>
      </c>
      <c r="Y65" s="64">
        <v>5.8721447040613999</v>
      </c>
      <c r="Z65" s="64">
        <v>11.591057361042955</v>
      </c>
      <c r="AA65" s="64">
        <v>8.8834643979804362</v>
      </c>
      <c r="AB65" s="64">
        <v>27.780827310899102</v>
      </c>
      <c r="AC65" s="64">
        <v>21.502861203328138</v>
      </c>
      <c r="AD65" s="64">
        <v>21.031746245917653</v>
      </c>
      <c r="AE65" s="64">
        <v>8.4787614912814568</v>
      </c>
      <c r="AF65" s="64">
        <v>27.837976511310071</v>
      </c>
      <c r="AG65" s="64">
        <v>11.638761789538977</v>
      </c>
      <c r="AH65" s="64">
        <v>19.196685450313186</v>
      </c>
      <c r="AI65" s="64">
        <v>15.154915824811519</v>
      </c>
      <c r="AJ65" s="64">
        <v>10.937367295481129</v>
      </c>
      <c r="AK65" s="64">
        <v>17.405423571620556</v>
      </c>
      <c r="AL65" s="64">
        <v>22.606467940135122</v>
      </c>
      <c r="AM65" s="64">
        <v>31.462140429973196</v>
      </c>
      <c r="AN65" s="64">
        <v>11.660750367394099</v>
      </c>
      <c r="AO65" s="64">
        <v>5.9701798200685481</v>
      </c>
      <c r="AP65" s="64">
        <v>45.684349282296594</v>
      </c>
      <c r="AQ65" s="64">
        <v>14.390740604589487</v>
      </c>
      <c r="AR65" s="64">
        <v>17.206544296115545</v>
      </c>
      <c r="AS65" s="64">
        <v>28.337877264692139</v>
      </c>
      <c r="AT65" s="64">
        <v>18.368557371394616</v>
      </c>
      <c r="AU65" s="64">
        <v>18.396416696736399</v>
      </c>
      <c r="AV65" s="64">
        <v>11.049542054919183</v>
      </c>
      <c r="AW65" s="64">
        <v>5.5833847072683263</v>
      </c>
      <c r="AX65" s="64">
        <v>13.977177373611738</v>
      </c>
      <c r="AY65" s="64">
        <v>7.7554800924313056</v>
      </c>
      <c r="AZ65" s="64">
        <v>12.866608314620263</v>
      </c>
      <c r="BA65" s="64">
        <v>8.7950785514521428</v>
      </c>
      <c r="BB65" s="64">
        <v>31.520768507944087</v>
      </c>
      <c r="BC65" s="64">
        <v>14.226238231899179</v>
      </c>
      <c r="BD65" s="64">
        <v>11.040217394744666</v>
      </c>
      <c r="BE65" s="64">
        <v>17.017805922634132</v>
      </c>
      <c r="BF65" s="64">
        <v>15.263242006532362</v>
      </c>
      <c r="BG65" s="64">
        <v>19.335793908837744</v>
      </c>
      <c r="BH65" s="64">
        <v>36.463567356045878</v>
      </c>
      <c r="BI65" s="64">
        <v>5.8952245054862926</v>
      </c>
      <c r="BJ65" s="64">
        <v>19.135942097788277</v>
      </c>
      <c r="BK65" s="64">
        <v>11.474496974697427</v>
      </c>
      <c r="BL65" s="64">
        <v>71.150698772237234</v>
      </c>
      <c r="BM65" s="64">
        <v>9.4316073050547669</v>
      </c>
      <c r="BN65" s="64">
        <v>9.8744960522475314</v>
      </c>
      <c r="BO65" s="64">
        <v>11.745661851942595</v>
      </c>
      <c r="BP65" s="64">
        <v>10.457676904873127</v>
      </c>
      <c r="BQ65" s="64">
        <v>6.2536787846627906</v>
      </c>
      <c r="BR65" s="64">
        <v>5.7794493945796646</v>
      </c>
      <c r="BS65" s="64">
        <v>14.707041129411918</v>
      </c>
      <c r="BT65" s="64">
        <v>9.6073687809693897</v>
      </c>
      <c r="BU65" s="64">
        <v>5.927240726705354</v>
      </c>
      <c r="BV65" s="64">
        <v>5.8317110082936132</v>
      </c>
      <c r="BW65" s="64">
        <v>20.765854962133492</v>
      </c>
      <c r="BX65" s="64">
        <v>18.196039357205226</v>
      </c>
      <c r="BY65" s="64">
        <v>34.623123445687071</v>
      </c>
      <c r="BZ65" s="64">
        <v>47.676407473334088</v>
      </c>
      <c r="CA65" s="64">
        <v>6.0414278153475642</v>
      </c>
      <c r="CB65" s="64">
        <v>14.307447195772166</v>
      </c>
      <c r="CC65" s="64">
        <v>10.36311170670324</v>
      </c>
      <c r="CD65" s="64">
        <v>7.8492405407715484</v>
      </c>
      <c r="CE65" s="64">
        <v>13.380249299377207</v>
      </c>
      <c r="CF65" s="64">
        <v>21.314704171077651</v>
      </c>
      <c r="CG65" s="64">
        <v>5.7823402715471124</v>
      </c>
      <c r="CH65" s="64">
        <v>25.208294781341991</v>
      </c>
      <c r="CI65" s="64">
        <v>13.184211148530482</v>
      </c>
      <c r="CJ65" s="64">
        <v>14.676774220980079</v>
      </c>
      <c r="CK65" s="64">
        <v>12.335069811096881</v>
      </c>
      <c r="CL65" s="64">
        <v>39.642104825656865</v>
      </c>
      <c r="CM65" s="64">
        <v>6.8259066331977163</v>
      </c>
      <c r="CN65" s="64">
        <v>5.826796180748488</v>
      </c>
      <c r="CO65" s="64">
        <v>14.037250346411476</v>
      </c>
      <c r="CP65" s="64">
        <v>15.68525395599406</v>
      </c>
      <c r="CQ65" s="64">
        <v>-1.7121638154974368</v>
      </c>
      <c r="CR65" s="64">
        <v>5.8543814037299731</v>
      </c>
      <c r="CS65" s="64">
        <v>14.718537925588024</v>
      </c>
      <c r="CT65" s="64">
        <v>29.968693502812535</v>
      </c>
      <c r="CU65" s="64">
        <v>9.7108330839567536</v>
      </c>
      <c r="CV65" s="64">
        <v>6.2865858501996561</v>
      </c>
      <c r="CW65" s="64">
        <v>28.031746437343749</v>
      </c>
      <c r="CX65" s="64">
        <v>9.3667022563562021</v>
      </c>
      <c r="CY65" s="64">
        <v>8.4789251118340321</v>
      </c>
      <c r="CZ65" s="64">
        <v>13.096740465844499</v>
      </c>
      <c r="DA65" s="64">
        <v>13.495624413987301</v>
      </c>
      <c r="DB65" s="64">
        <v>12.700452240560704</v>
      </c>
      <c r="DC65" s="64">
        <v>11.826051985031974</v>
      </c>
      <c r="DD65" s="64">
        <v>19.564965983979501</v>
      </c>
      <c r="DE65" s="64">
        <v>11.986106824276867</v>
      </c>
      <c r="DF65" s="64">
        <v>11.661671242264802</v>
      </c>
      <c r="DG65" s="64">
        <v>20.364022756627929</v>
      </c>
      <c r="DH65" s="64">
        <v>5.6616712422648021</v>
      </c>
      <c r="DI65" s="64">
        <v>5.9295039815735384</v>
      </c>
      <c r="DJ65" s="64">
        <v>12.130032896833733</v>
      </c>
      <c r="DK65" s="64">
        <v>12.928560353273953</v>
      </c>
      <c r="DL65" s="64">
        <v>29.00251651656006</v>
      </c>
      <c r="DM65" s="64">
        <v>73.48312437393372</v>
      </c>
      <c r="DN65" s="64">
        <v>33.362654197602403</v>
      </c>
      <c r="DO65" s="64">
        <v>10.55203757084675</v>
      </c>
      <c r="DP65" s="64">
        <v>20.5707038364704</v>
      </c>
      <c r="DQ65" s="64">
        <v>12.445434565200632</v>
      </c>
      <c r="DR65" s="64">
        <v>5.7919197900671966</v>
      </c>
      <c r="DS65" s="64">
        <v>8.8843484418114418</v>
      </c>
      <c r="DT65" s="64">
        <v>34.94291687469866</v>
      </c>
      <c r="DU65" s="64">
        <v>44.841043804515067</v>
      </c>
      <c r="DV65" s="64">
        <v>20.028240696253086</v>
      </c>
      <c r="DW65" s="64">
        <v>16.325795276303626</v>
      </c>
      <c r="DX65" s="64">
        <v>17.307151663037921</v>
      </c>
      <c r="DY65" s="64">
        <v>9.7542953269992196</v>
      </c>
      <c r="DZ65" s="64">
        <v>18.643607980375929</v>
      </c>
      <c r="EA65" s="64">
        <v>9.2498432567223929</v>
      </c>
      <c r="EB65" s="64">
        <v>29.374277335797977</v>
      </c>
      <c r="EC65" s="64">
        <v>23.353687520894635</v>
      </c>
      <c r="ED65" s="64">
        <v>22.574056250575421</v>
      </c>
      <c r="EE65" s="64">
        <v>19.043705050240533</v>
      </c>
      <c r="EF65" s="64">
        <v>14.587422568018711</v>
      </c>
      <c r="EG65" s="64">
        <v>19.123475100110163</v>
      </c>
      <c r="EH65" s="64">
        <v>6.6557777064490313</v>
      </c>
      <c r="EI65" s="64">
        <v>15.656182182219821</v>
      </c>
      <c r="EJ65" s="64">
        <v>13.80814395089239</v>
      </c>
      <c r="EK65" s="64">
        <v>12.529347377083457</v>
      </c>
      <c r="EL65" s="64">
        <v>19.445161981432971</v>
      </c>
      <c r="EM65" s="64">
        <v>14.82309060515308</v>
      </c>
      <c r="EN65" s="64">
        <v>11.560840288192834</v>
      </c>
      <c r="EO65" s="64">
        <v>21.016302547482919</v>
      </c>
      <c r="EP65" s="64">
        <v>8.2953687055539884</v>
      </c>
      <c r="EQ65" s="64">
        <v>9.3497439567021683</v>
      </c>
      <c r="ER65" s="64">
        <v>16.947112602374144</v>
      </c>
      <c r="ES65" s="64">
        <v>14.612951853683562</v>
      </c>
    </row>
    <row r="66" spans="1:151" x14ac:dyDescent="0.3">
      <c r="A66" s="37" t="s">
        <v>17</v>
      </c>
      <c r="B66" s="64">
        <v>5.8658571516169156</v>
      </c>
      <c r="C66" s="64">
        <v>10.786447311664485</v>
      </c>
      <c r="D66" s="64">
        <v>9.3958828375407695</v>
      </c>
      <c r="E66" s="64">
        <v>15.753151864768723</v>
      </c>
      <c r="F66" s="64">
        <v>9.0697527168283774</v>
      </c>
      <c r="G66" s="64">
        <v>5.8705169702981888</v>
      </c>
      <c r="H66" s="64">
        <v>6.6625706793030446</v>
      </c>
      <c r="I66" s="64">
        <v>6.4781894304829173</v>
      </c>
      <c r="J66" s="64">
        <v>11.794881786819753</v>
      </c>
      <c r="K66" s="64">
        <v>18.699056708211003</v>
      </c>
      <c r="L66" s="64">
        <v>42.591344157458508</v>
      </c>
      <c r="M66" s="64">
        <v>15.950764506874535</v>
      </c>
      <c r="N66" s="64">
        <v>9.7317190381731038</v>
      </c>
      <c r="O66" s="64">
        <v>12.976719930469331</v>
      </c>
      <c r="P66" s="64">
        <v>8.052925763328707</v>
      </c>
      <c r="Q66" s="64">
        <v>32.261427675113509</v>
      </c>
      <c r="R66" s="64">
        <v>22.834351373013625</v>
      </c>
      <c r="S66" s="64">
        <v>25.549914174095566</v>
      </c>
      <c r="T66" s="64">
        <v>10.161540900532401</v>
      </c>
      <c r="U66" s="64">
        <v>17.181856277956271</v>
      </c>
      <c r="V66" s="64">
        <v>18.781391805427958</v>
      </c>
      <c r="W66" s="64">
        <v>29.021621686091517</v>
      </c>
      <c r="X66" s="64">
        <v>10.616725028028933</v>
      </c>
      <c r="Y66" s="64">
        <v>5.8721447040613999</v>
      </c>
      <c r="Z66" s="64">
        <v>11.591057361042955</v>
      </c>
      <c r="AA66" s="64">
        <v>8.8834643979804362</v>
      </c>
      <c r="AB66" s="64">
        <v>27.780827310899102</v>
      </c>
      <c r="AC66" s="64">
        <v>21.502861203328138</v>
      </c>
      <c r="AD66" s="64">
        <v>21.031746245917653</v>
      </c>
      <c r="AE66" s="64">
        <v>8.4787614912814568</v>
      </c>
      <c r="AF66" s="64">
        <v>27.837976511310071</v>
      </c>
      <c r="AG66" s="64">
        <v>11.638761789538977</v>
      </c>
      <c r="AH66" s="64">
        <v>19.196685450313186</v>
      </c>
      <c r="AI66" s="64">
        <v>15.154915824811519</v>
      </c>
      <c r="AJ66" s="64">
        <v>10.937367295481129</v>
      </c>
      <c r="AK66" s="64">
        <v>17.405423571620556</v>
      </c>
      <c r="AL66" s="64">
        <v>22.606467940135122</v>
      </c>
      <c r="AM66" s="64">
        <v>31.462140429973196</v>
      </c>
      <c r="AN66" s="64">
        <v>11.660750367394099</v>
      </c>
      <c r="AO66" s="64">
        <v>5.9701798200685481</v>
      </c>
      <c r="AP66" s="64">
        <v>45.684349282296594</v>
      </c>
      <c r="AQ66" s="64">
        <v>14.390740604589487</v>
      </c>
      <c r="AR66" s="64">
        <v>17.206544296115545</v>
      </c>
      <c r="AS66" s="64">
        <v>28.337877264692139</v>
      </c>
      <c r="AT66" s="64">
        <v>18.368557371394616</v>
      </c>
      <c r="AU66" s="64">
        <v>18.396416696736399</v>
      </c>
      <c r="AV66" s="64">
        <v>11.049542054919183</v>
      </c>
      <c r="AW66" s="64">
        <v>5.5833847072683263</v>
      </c>
      <c r="AX66" s="64">
        <v>13.977177373611738</v>
      </c>
      <c r="AY66" s="64">
        <v>7.7554800924313056</v>
      </c>
      <c r="AZ66" s="64">
        <v>12.866608314620263</v>
      </c>
      <c r="BA66" s="64">
        <v>8.7950785514521428</v>
      </c>
      <c r="BB66" s="64">
        <v>31.520768507944087</v>
      </c>
      <c r="BC66" s="64">
        <v>14.226238231899179</v>
      </c>
      <c r="BD66" s="64">
        <v>11.040217394744666</v>
      </c>
      <c r="BE66" s="64">
        <v>17.017805922634132</v>
      </c>
      <c r="BF66" s="64">
        <v>15.263242006532362</v>
      </c>
      <c r="BG66" s="64">
        <v>19.335793908837744</v>
      </c>
      <c r="BH66" s="64">
        <v>36.463567356045878</v>
      </c>
      <c r="BI66" s="64">
        <v>5.8952245054862926</v>
      </c>
      <c r="BJ66" s="64">
        <v>19.135942097788277</v>
      </c>
      <c r="BK66" s="64">
        <v>11.474496974697427</v>
      </c>
      <c r="BL66" s="64">
        <v>71.150698772237234</v>
      </c>
      <c r="BM66" s="64">
        <v>9.4316073050547669</v>
      </c>
      <c r="BN66" s="64">
        <v>9.8744960522475314</v>
      </c>
      <c r="BO66" s="64">
        <v>11.745661851942595</v>
      </c>
      <c r="BP66" s="64">
        <v>10.457676904873127</v>
      </c>
      <c r="BQ66" s="64">
        <v>6.2536787846627906</v>
      </c>
      <c r="BR66" s="64">
        <v>5.7794493945796646</v>
      </c>
      <c r="BS66" s="64">
        <v>14.707041129411918</v>
      </c>
      <c r="BT66" s="64">
        <v>9.6073687809693897</v>
      </c>
      <c r="BU66" s="64">
        <v>5.927240726705354</v>
      </c>
      <c r="BV66" s="64">
        <v>5.8317110082936132</v>
      </c>
      <c r="BW66" s="64">
        <v>20.765854962133492</v>
      </c>
      <c r="BX66" s="64">
        <v>18.196039357205226</v>
      </c>
      <c r="BY66" s="64">
        <v>34.623123445687071</v>
      </c>
      <c r="BZ66" s="64">
        <v>47.676407473334088</v>
      </c>
      <c r="CA66" s="64">
        <v>6.0414278153475642</v>
      </c>
      <c r="CB66" s="64">
        <v>14.307447195772166</v>
      </c>
      <c r="CC66" s="64">
        <v>10.36311170670324</v>
      </c>
      <c r="CD66" s="64">
        <v>7.8492405407715484</v>
      </c>
      <c r="CE66" s="64">
        <v>13.380249299377207</v>
      </c>
      <c r="CF66" s="64">
        <v>21.314704171077651</v>
      </c>
      <c r="CG66" s="64">
        <v>5.7823402715471124</v>
      </c>
      <c r="CH66" s="64">
        <v>25.208294781341991</v>
      </c>
      <c r="CI66" s="64">
        <v>13.184211148530482</v>
      </c>
      <c r="CJ66" s="64">
        <v>14.676774220980079</v>
      </c>
      <c r="CK66" s="64">
        <v>12.335069811096881</v>
      </c>
      <c r="CL66" s="64">
        <v>39.642104825656865</v>
      </c>
      <c r="CM66" s="64">
        <v>6.8259066331977163</v>
      </c>
      <c r="CN66" s="64">
        <v>5.826796180748488</v>
      </c>
      <c r="CO66" s="64">
        <v>14.037250346411476</v>
      </c>
      <c r="CP66" s="64">
        <v>15.68525395599406</v>
      </c>
      <c r="CQ66" s="64">
        <v>-1.7121638154974368</v>
      </c>
      <c r="CR66" s="64">
        <v>5.8543814037299731</v>
      </c>
      <c r="CS66" s="64">
        <v>14.718537925588024</v>
      </c>
      <c r="CT66" s="64">
        <v>29.968693502812535</v>
      </c>
      <c r="CU66" s="64">
        <v>9.7108330839567536</v>
      </c>
      <c r="CV66" s="64">
        <v>6.2865858501996561</v>
      </c>
      <c r="CW66" s="64">
        <v>28.031746437343749</v>
      </c>
      <c r="CX66" s="64">
        <v>9.3667022563562021</v>
      </c>
      <c r="CY66" s="64">
        <v>8.4789251118340321</v>
      </c>
      <c r="CZ66" s="64">
        <v>13.096740465844499</v>
      </c>
      <c r="DA66" s="64">
        <v>13.495624413987301</v>
      </c>
      <c r="DB66" s="64">
        <v>12.700452240560704</v>
      </c>
      <c r="DC66" s="64">
        <v>11.826051985031974</v>
      </c>
      <c r="DD66" s="64">
        <v>19.564965983979501</v>
      </c>
      <c r="DE66" s="64">
        <v>11.986106824276867</v>
      </c>
      <c r="DF66" s="64">
        <v>11.661671242264802</v>
      </c>
      <c r="DG66" s="64">
        <v>20.364022756627929</v>
      </c>
      <c r="DH66" s="64">
        <v>5.6616712422648021</v>
      </c>
      <c r="DI66" s="64">
        <v>5.9295039815735384</v>
      </c>
      <c r="DJ66" s="64">
        <v>12.130032896833733</v>
      </c>
      <c r="DK66" s="64">
        <v>12.928560353273953</v>
      </c>
      <c r="DL66" s="64">
        <v>29.00251651656006</v>
      </c>
      <c r="DM66" s="64">
        <v>73.48312437393372</v>
      </c>
      <c r="DN66" s="64">
        <v>33.362654197602403</v>
      </c>
      <c r="DO66" s="64">
        <v>10.55203757084675</v>
      </c>
      <c r="DP66" s="64">
        <v>20.5707038364704</v>
      </c>
      <c r="DQ66" s="64">
        <v>12.445434565200632</v>
      </c>
      <c r="DR66" s="64">
        <v>5.7919197900671966</v>
      </c>
      <c r="DS66" s="64">
        <v>8.8843484418114418</v>
      </c>
      <c r="DT66" s="64">
        <v>34.94291687469866</v>
      </c>
      <c r="DU66" s="64">
        <v>44.841043804515067</v>
      </c>
      <c r="DV66" s="64">
        <v>20.028240696253086</v>
      </c>
      <c r="DW66" s="64">
        <v>16.325795276303626</v>
      </c>
      <c r="DX66" s="64">
        <v>17.307151663037921</v>
      </c>
      <c r="DY66" s="64">
        <v>9.7542953269992196</v>
      </c>
      <c r="DZ66" s="64">
        <v>18.643607980375929</v>
      </c>
      <c r="EA66" s="64">
        <v>9.2498432567223929</v>
      </c>
      <c r="EB66" s="64">
        <v>29.374277335797977</v>
      </c>
      <c r="EC66" s="64">
        <v>23.353687520894635</v>
      </c>
      <c r="ED66" s="64">
        <v>22.574056250575421</v>
      </c>
      <c r="EE66" s="64">
        <v>19.043705050240533</v>
      </c>
      <c r="EF66" s="64">
        <v>14.587422568018711</v>
      </c>
      <c r="EG66" s="64">
        <v>19.123475100110163</v>
      </c>
      <c r="EH66" s="64">
        <v>6.6557777064490313</v>
      </c>
      <c r="EI66" s="64">
        <v>15.656182182219821</v>
      </c>
      <c r="EJ66" s="64">
        <v>13.80814395089239</v>
      </c>
      <c r="EK66" s="64">
        <v>12.529347377083457</v>
      </c>
      <c r="EL66" s="64">
        <v>19.445161981432971</v>
      </c>
      <c r="EM66" s="64">
        <v>14.82309060515308</v>
      </c>
      <c r="EN66" s="64">
        <v>11.560840288192834</v>
      </c>
      <c r="EO66" s="64">
        <v>21.016302547482919</v>
      </c>
      <c r="EP66" s="64">
        <v>8.2953687055539884</v>
      </c>
      <c r="EQ66" s="64">
        <v>9.3497439567021683</v>
      </c>
      <c r="ER66" s="64">
        <v>16.947112602374144</v>
      </c>
      <c r="ES66" s="64">
        <v>14.612951853683562</v>
      </c>
    </row>
    <row r="67" spans="1:151" x14ac:dyDescent="0.3">
      <c r="A67" s="37" t="s">
        <v>29</v>
      </c>
      <c r="B67" s="64">
        <v>9.3658571516169147</v>
      </c>
      <c r="C67" s="64">
        <v>12.636447311664492</v>
      </c>
      <c r="D67" s="64">
        <v>10.245882837540771</v>
      </c>
      <c r="E67" s="64">
        <v>16.603151864768723</v>
      </c>
      <c r="F67" s="64">
        <v>12.569752716828377</v>
      </c>
      <c r="G67" s="64">
        <v>9.3705169702981905</v>
      </c>
      <c r="H67" s="64">
        <v>10.162570679303046</v>
      </c>
      <c r="I67" s="64">
        <v>10.828189430482913</v>
      </c>
      <c r="J67" s="64">
        <v>13.644881786819747</v>
      </c>
      <c r="K67" s="64">
        <v>19.549056708211001</v>
      </c>
      <c r="L67" s="64">
        <v>40.741344157458485</v>
      </c>
      <c r="M67" s="64">
        <v>19.450764506874542</v>
      </c>
      <c r="N67" s="64">
        <v>10.581719038173103</v>
      </c>
      <c r="O67" s="64">
        <v>13.826719930469341</v>
      </c>
      <c r="P67" s="64">
        <v>11.552925763328709</v>
      </c>
      <c r="Q67" s="64">
        <v>25.511427675113534</v>
      </c>
      <c r="R67" s="64">
        <v>26.334351373013618</v>
      </c>
      <c r="S67" s="64">
        <v>23.699914174095571</v>
      </c>
      <c r="T67" s="64">
        <v>8.3115409005324015</v>
      </c>
      <c r="U67" s="64">
        <v>18.031856277956276</v>
      </c>
      <c r="V67" s="64">
        <v>16.931391805427964</v>
      </c>
      <c r="W67" s="64">
        <v>33.371621686091508</v>
      </c>
      <c r="X67" s="64">
        <v>12.466725028028931</v>
      </c>
      <c r="Y67" s="64">
        <v>9.3721447040613999</v>
      </c>
      <c r="Z67" s="64">
        <v>9.7410573610429605</v>
      </c>
      <c r="AA67" s="64">
        <v>12.383464397980424</v>
      </c>
      <c r="AB67" s="64">
        <v>21.030827310899095</v>
      </c>
      <c r="AC67" s="64">
        <v>19.652861203328147</v>
      </c>
      <c r="AD67" s="64">
        <v>23.43174624591764</v>
      </c>
      <c r="AE67" s="64">
        <v>12.828761491281453</v>
      </c>
      <c r="AF67" s="64">
        <v>25.987976511310073</v>
      </c>
      <c r="AG67" s="64">
        <v>12.488761789538971</v>
      </c>
      <c r="AH67" s="64">
        <v>20.046685450313184</v>
      </c>
      <c r="AI67" s="64">
        <v>16.004915824811519</v>
      </c>
      <c r="AJ67" s="64">
        <v>11.787367295481127</v>
      </c>
      <c r="AK67" s="64">
        <v>18.255423571620561</v>
      </c>
      <c r="AL67" s="64">
        <v>20.756467940135106</v>
      </c>
      <c r="AM67" s="64">
        <v>29.612140429973188</v>
      </c>
      <c r="AN67" s="64">
        <v>12.510750367394103</v>
      </c>
      <c r="AO67" s="64">
        <v>9.4701798200685516</v>
      </c>
      <c r="AP67" s="64">
        <v>43.8343492822966</v>
      </c>
      <c r="AQ67" s="64">
        <v>17.890740604589485</v>
      </c>
      <c r="AR67" s="64">
        <v>15.356544296115553</v>
      </c>
      <c r="AS67" s="64">
        <v>30.73787726469212</v>
      </c>
      <c r="AT67" s="64">
        <v>19.218557371394628</v>
      </c>
      <c r="AU67" s="64">
        <v>21.896416696736395</v>
      </c>
      <c r="AV67" s="64">
        <v>14.549542054919183</v>
      </c>
      <c r="AW67" s="64">
        <v>9.9333847072683259</v>
      </c>
      <c r="AX67" s="64">
        <v>12.171131707037546</v>
      </c>
      <c r="AY67" s="64">
        <v>11.255480092431299</v>
      </c>
      <c r="AZ67" s="64">
        <v>13.716608314620265</v>
      </c>
      <c r="BA67" s="64">
        <v>12.295078551452141</v>
      </c>
      <c r="BB67" s="64">
        <v>32.370768507944078</v>
      </c>
      <c r="BC67" s="64">
        <v>15.076238231899184</v>
      </c>
      <c r="BD67" s="64">
        <v>15.390217394744665</v>
      </c>
      <c r="BE67" s="64">
        <v>10.267805922634137</v>
      </c>
      <c r="BF67" s="64">
        <v>16.263242006532366</v>
      </c>
      <c r="BG67" s="64">
        <v>17.485793908837742</v>
      </c>
      <c r="BH67" s="64">
        <v>39.963567356045893</v>
      </c>
      <c r="BI67" s="64">
        <v>10.245224505486298</v>
      </c>
      <c r="BJ67" s="64">
        <v>20.985942097788282</v>
      </c>
      <c r="BK67" s="64">
        <v>14.974496974697427</v>
      </c>
      <c r="BL67" s="64">
        <v>72.150698772237206</v>
      </c>
      <c r="BM67" s="64">
        <v>10.281607305054765</v>
      </c>
      <c r="BN67" s="64">
        <v>10.724496052247527</v>
      </c>
      <c r="BO67" s="64">
        <v>12.745661851942595</v>
      </c>
      <c r="BP67" s="64">
        <v>11.457676904873123</v>
      </c>
      <c r="BQ67" s="64">
        <v>9.7536787846627941</v>
      </c>
      <c r="BR67" s="64">
        <v>10.12944939457967</v>
      </c>
      <c r="BS67" s="64">
        <v>15.557041129411923</v>
      </c>
      <c r="BT67" s="64">
        <v>13.107368780969395</v>
      </c>
      <c r="BU67" s="64">
        <v>9.4272407267053548</v>
      </c>
      <c r="BV67" s="64">
        <v>9.3317110082936097</v>
      </c>
      <c r="BW67" s="64">
        <v>14.015854962133494</v>
      </c>
      <c r="BX67" s="64">
        <v>20.046039357205228</v>
      </c>
      <c r="BY67" s="64">
        <v>38.973123445687079</v>
      </c>
      <c r="BZ67" s="64">
        <v>50.076407473334086</v>
      </c>
      <c r="CA67" s="64">
        <v>9.5414278153475625</v>
      </c>
      <c r="CB67" s="64">
        <v>15.157447195772175</v>
      </c>
      <c r="CC67" s="64">
        <v>13.863625557375471</v>
      </c>
      <c r="CD67" s="64">
        <v>12.199240540771543</v>
      </c>
      <c r="CE67" s="64">
        <v>14.23024929937721</v>
      </c>
      <c r="CF67" s="64">
        <v>19.464704171077646</v>
      </c>
      <c r="CG67" s="64">
        <v>9.2823402715471115</v>
      </c>
      <c r="CH67" s="64">
        <v>27.608294781341989</v>
      </c>
      <c r="CI67" s="64">
        <v>16.684211148530483</v>
      </c>
      <c r="CJ67" s="64">
        <v>15.526774220980084</v>
      </c>
      <c r="CK67" s="64">
        <v>15.835069811096886</v>
      </c>
      <c r="CL67" s="64">
        <v>32.892104825656872</v>
      </c>
      <c r="CM67" s="64">
        <v>10.325906633197722</v>
      </c>
      <c r="CN67" s="64">
        <v>10.176796180748488</v>
      </c>
      <c r="CO67" s="64">
        <v>14.887250346411466</v>
      </c>
      <c r="CP67" s="64">
        <v>16.535253955994065</v>
      </c>
      <c r="CQ67" s="64">
        <v>-0.86216381549743704</v>
      </c>
      <c r="CR67" s="64">
        <v>9.3543814037299793</v>
      </c>
      <c r="CS67" s="64">
        <v>16.568537925588043</v>
      </c>
      <c r="CT67" s="64">
        <v>28.11869350281254</v>
      </c>
      <c r="CU67" s="64">
        <v>14.060833083956757</v>
      </c>
      <c r="CV67" s="64">
        <v>9.7865858501996534</v>
      </c>
      <c r="CW67" s="64">
        <v>26.181746437343744</v>
      </c>
      <c r="CX67" s="64">
        <v>10.216702256356212</v>
      </c>
      <c r="CY67" s="64">
        <v>11.978925111834025</v>
      </c>
      <c r="CZ67" s="64">
        <v>11.2467404658445</v>
      </c>
      <c r="DA67" s="64">
        <v>14.345624413987293</v>
      </c>
      <c r="DB67" s="64">
        <v>5.9504522405607059</v>
      </c>
      <c r="DC67" s="64">
        <v>12.676051985031966</v>
      </c>
      <c r="DD67" s="64">
        <v>20.414965983979506</v>
      </c>
      <c r="DE67" s="64">
        <v>12.836106824276863</v>
      </c>
      <c r="DF67" s="64">
        <v>12.511671242264802</v>
      </c>
      <c r="DG67" s="64">
        <v>22.214022756627926</v>
      </c>
      <c r="DH67" s="64">
        <v>9.1616712422648039</v>
      </c>
      <c r="DI67" s="64">
        <v>9.4295039815735429</v>
      </c>
      <c r="DJ67" s="64">
        <v>10.280032896833726</v>
      </c>
      <c r="DK67" s="64">
        <v>13.778560353273953</v>
      </c>
      <c r="DL67" s="64">
        <v>27.152516516560059</v>
      </c>
      <c r="DM67" s="64">
        <v>71.633124373933711</v>
      </c>
      <c r="DN67" s="64">
        <v>31.512654197602416</v>
      </c>
      <c r="DO67" s="64">
        <v>12.402037570846748</v>
      </c>
      <c r="DP67" s="64">
        <v>18.720703836470406</v>
      </c>
      <c r="DQ67" s="64">
        <v>15.94543456520063</v>
      </c>
      <c r="DR67" s="64">
        <v>9.2919197900671993</v>
      </c>
      <c r="DS67" s="64">
        <v>13.234348441811441</v>
      </c>
      <c r="DT67" s="64">
        <v>33.092916874698652</v>
      </c>
      <c r="DU67" s="64">
        <v>45.691043804515068</v>
      </c>
      <c r="DV67" s="64">
        <v>18.178240696253091</v>
      </c>
      <c r="DW67" s="64">
        <v>17.175795276303635</v>
      </c>
      <c r="DX67" s="64">
        <v>18.157151663037929</v>
      </c>
      <c r="DY67" s="64">
        <v>14.104295326999226</v>
      </c>
      <c r="DZ67" s="64">
        <v>19.49360798037592</v>
      </c>
      <c r="EA67" s="64">
        <v>10.099843256722393</v>
      </c>
      <c r="EB67" s="64">
        <v>25.474610567419418</v>
      </c>
      <c r="EC67" s="64">
        <v>21.503687520894641</v>
      </c>
      <c r="ED67" s="64">
        <v>20.724056250575412</v>
      </c>
      <c r="EE67" s="64">
        <v>19.893705050240545</v>
      </c>
      <c r="EF67" s="64">
        <v>18.08742256801871</v>
      </c>
      <c r="EG67" s="64">
        <v>22.623475100110159</v>
      </c>
      <c r="EH67" s="64">
        <v>11.005777706449031</v>
      </c>
      <c r="EI67" s="64">
        <v>16.656182182219819</v>
      </c>
      <c r="EJ67" s="64">
        <v>14.658143950892391</v>
      </c>
      <c r="EK67" s="64">
        <v>13.379347377083452</v>
      </c>
      <c r="EL67" s="64">
        <v>21.845161981432977</v>
      </c>
      <c r="EM67" s="64">
        <v>17.223090605153072</v>
      </c>
      <c r="EN67" s="64">
        <v>15.060840288192832</v>
      </c>
      <c r="EO67" s="64">
        <v>22.016302547482923</v>
      </c>
      <c r="EP67" s="64">
        <v>11.795368705553987</v>
      </c>
      <c r="EQ67" s="64">
        <v>10.199743956702179</v>
      </c>
      <c r="ER67" s="64">
        <v>17.809118006294543</v>
      </c>
      <c r="ES67" s="64">
        <v>15.462951853683567</v>
      </c>
    </row>
    <row r="68" spans="1:151" x14ac:dyDescent="0.3">
      <c r="A68" s="37" t="s">
        <v>22</v>
      </c>
      <c r="B68" s="64">
        <v>9.3658571516169147</v>
      </c>
      <c r="C68" s="64">
        <v>11.786447311664487</v>
      </c>
      <c r="D68" s="64">
        <v>8.3958828375407677</v>
      </c>
      <c r="E68" s="64">
        <v>14.753151864768725</v>
      </c>
      <c r="F68" s="64">
        <v>12.569752716828377</v>
      </c>
      <c r="G68" s="64">
        <v>9.3705169702981905</v>
      </c>
      <c r="H68" s="64">
        <v>10.162570679303046</v>
      </c>
      <c r="I68" s="64">
        <v>10.828189430482913</v>
      </c>
      <c r="J68" s="64">
        <v>12.794881786819753</v>
      </c>
      <c r="K68" s="64">
        <v>17.699056708210996</v>
      </c>
      <c r="L68" s="64">
        <v>42.591344157458508</v>
      </c>
      <c r="M68" s="64">
        <v>19.450764506874542</v>
      </c>
      <c r="N68" s="64">
        <v>6.2317190381731029</v>
      </c>
      <c r="O68" s="64">
        <v>11.976719930469336</v>
      </c>
      <c r="P68" s="64">
        <v>11.552925763328709</v>
      </c>
      <c r="Q68" s="64">
        <v>32.261427675113509</v>
      </c>
      <c r="R68" s="64">
        <v>26.334351373013618</v>
      </c>
      <c r="S68" s="64">
        <v>25.549914174095566</v>
      </c>
      <c r="T68" s="64">
        <v>10.161540900532401</v>
      </c>
      <c r="U68" s="64">
        <v>13.681856277956268</v>
      </c>
      <c r="V68" s="64">
        <v>18.781391805427958</v>
      </c>
      <c r="W68" s="64">
        <v>33.371621686091508</v>
      </c>
      <c r="X68" s="64">
        <v>11.616725028028931</v>
      </c>
      <c r="Y68" s="64">
        <v>9.3721447040613999</v>
      </c>
      <c r="Z68" s="64">
        <v>11.591057361042955</v>
      </c>
      <c r="AA68" s="64">
        <v>12.383464397980424</v>
      </c>
      <c r="AB68" s="64">
        <v>27.780827310899102</v>
      </c>
      <c r="AC68" s="64">
        <v>21.502861203328138</v>
      </c>
      <c r="AD68" s="64">
        <v>19.181746245917655</v>
      </c>
      <c r="AE68" s="64">
        <v>12.828761491281453</v>
      </c>
      <c r="AF68" s="64">
        <v>27.837976511310071</v>
      </c>
      <c r="AG68" s="64">
        <v>8.1387617895389752</v>
      </c>
      <c r="AH68" s="64">
        <v>15.69668545031319</v>
      </c>
      <c r="AI68" s="64">
        <v>11.654915824811519</v>
      </c>
      <c r="AJ68" s="64">
        <v>7.4373672954811294</v>
      </c>
      <c r="AK68" s="64">
        <v>13.905423571620558</v>
      </c>
      <c r="AL68" s="64">
        <v>22.606467940135122</v>
      </c>
      <c r="AM68" s="64">
        <v>31.462140429973196</v>
      </c>
      <c r="AN68" s="64">
        <v>8.1607503673941029</v>
      </c>
      <c r="AO68" s="64">
        <v>9.4701798200685516</v>
      </c>
      <c r="AP68" s="64">
        <v>45.684349282296594</v>
      </c>
      <c r="AQ68" s="64">
        <v>17.890740604589485</v>
      </c>
      <c r="AR68" s="64">
        <v>17.206544296115545</v>
      </c>
      <c r="AS68" s="64">
        <v>26.48787726469212</v>
      </c>
      <c r="AT68" s="64">
        <v>14.868557371394621</v>
      </c>
      <c r="AU68" s="64">
        <v>21.896416696736395</v>
      </c>
      <c r="AV68" s="64">
        <v>14.549542054919183</v>
      </c>
      <c r="AW68" s="64">
        <v>9.9333847072683259</v>
      </c>
      <c r="AX68" s="64">
        <v>13.960897990861438</v>
      </c>
      <c r="AY68" s="64">
        <v>11.255480092431299</v>
      </c>
      <c r="AZ68" s="64">
        <v>9.3666083146202617</v>
      </c>
      <c r="BA68" s="64">
        <v>12.295078551452141</v>
      </c>
      <c r="BB68" s="64">
        <v>28.020768507944076</v>
      </c>
      <c r="BC68" s="64">
        <v>10.726238231899186</v>
      </c>
      <c r="BD68" s="64">
        <v>15.390217394744665</v>
      </c>
      <c r="BE68" s="64">
        <v>17.017805922634132</v>
      </c>
      <c r="BF68" s="64">
        <v>15.263242006532362</v>
      </c>
      <c r="BG68" s="64">
        <v>19.335793908837744</v>
      </c>
      <c r="BH68" s="64">
        <v>39.963567356045893</v>
      </c>
      <c r="BI68" s="64">
        <v>10.245224505486298</v>
      </c>
      <c r="BJ68" s="64">
        <v>20.135942097788256</v>
      </c>
      <c r="BK68" s="64">
        <v>14.974496974697427</v>
      </c>
      <c r="BL68" s="64">
        <v>71.150698772237234</v>
      </c>
      <c r="BM68" s="64">
        <v>5.931607305054766</v>
      </c>
      <c r="BN68" s="64">
        <v>6.3744960522475358</v>
      </c>
      <c r="BO68" s="64">
        <v>11.745661851942595</v>
      </c>
      <c r="BP68" s="64">
        <v>10.457676904873127</v>
      </c>
      <c r="BQ68" s="64">
        <v>9.7536787846627941</v>
      </c>
      <c r="BR68" s="64">
        <v>10.12944939457967</v>
      </c>
      <c r="BS68" s="64">
        <v>13.707041129411907</v>
      </c>
      <c r="BT68" s="64">
        <v>13.107368780969395</v>
      </c>
      <c r="BU68" s="64">
        <v>9.4272407267053548</v>
      </c>
      <c r="BV68" s="64">
        <v>9.3317110082936097</v>
      </c>
      <c r="BW68" s="64">
        <v>20.765854962133492</v>
      </c>
      <c r="BX68" s="64">
        <v>19.196039357205226</v>
      </c>
      <c r="BY68" s="64">
        <v>38.973123445687079</v>
      </c>
      <c r="BZ68" s="64">
        <v>45.826407473334093</v>
      </c>
      <c r="CA68" s="64">
        <v>9.5414278153475625</v>
      </c>
      <c r="CB68" s="64">
        <v>10.80744719577217</v>
      </c>
      <c r="CC68" s="64">
        <v>13.863625557375471</v>
      </c>
      <c r="CD68" s="64">
        <v>12.199240540771543</v>
      </c>
      <c r="CE68" s="64">
        <v>12.380249299377203</v>
      </c>
      <c r="CF68" s="64">
        <v>21.314704171077651</v>
      </c>
      <c r="CG68" s="64">
        <v>9.2823402715471115</v>
      </c>
      <c r="CH68" s="64">
        <v>23.358294781341993</v>
      </c>
      <c r="CI68" s="64">
        <v>16.684211148530483</v>
      </c>
      <c r="CJ68" s="64">
        <v>11.176774220980084</v>
      </c>
      <c r="CK68" s="64">
        <v>15.835069811096886</v>
      </c>
      <c r="CL68" s="64">
        <v>39.642104825656865</v>
      </c>
      <c r="CM68" s="64">
        <v>10.325906633197722</v>
      </c>
      <c r="CN68" s="64">
        <v>10.176796180748488</v>
      </c>
      <c r="CO68" s="64">
        <v>10.537250346411474</v>
      </c>
      <c r="CP68" s="64">
        <v>12.18525395599406</v>
      </c>
      <c r="CQ68" s="64">
        <v>-2.7121638154974357</v>
      </c>
      <c r="CR68" s="64">
        <v>9.3543814037299793</v>
      </c>
      <c r="CS68" s="64">
        <v>15.718537925588032</v>
      </c>
      <c r="CT68" s="64">
        <v>29.968693502812535</v>
      </c>
      <c r="CU68" s="64">
        <v>14.060833083956757</v>
      </c>
      <c r="CV68" s="64">
        <v>9.7865858501996534</v>
      </c>
      <c r="CW68" s="64">
        <v>28.031746437343749</v>
      </c>
      <c r="CX68" s="64">
        <v>8.3667022563562075</v>
      </c>
      <c r="CY68" s="64">
        <v>11.978925111834025</v>
      </c>
      <c r="CZ68" s="64">
        <v>13.096740465844499</v>
      </c>
      <c r="DA68" s="64">
        <v>9.9956244139873007</v>
      </c>
      <c r="DB68" s="64">
        <v>12.700452240560704</v>
      </c>
      <c r="DC68" s="64">
        <v>8.3260519850319685</v>
      </c>
      <c r="DD68" s="64">
        <v>18.564965983979508</v>
      </c>
      <c r="DE68" s="64">
        <v>10.986106824276867</v>
      </c>
      <c r="DF68" s="64">
        <v>10.6616712422648</v>
      </c>
      <c r="DG68" s="64">
        <v>21.364022756627929</v>
      </c>
      <c r="DH68" s="64">
        <v>9.1616712422648039</v>
      </c>
      <c r="DI68" s="64">
        <v>9.4295039815735429</v>
      </c>
      <c r="DJ68" s="64">
        <v>12.130032896833733</v>
      </c>
      <c r="DK68" s="64">
        <v>11.92856035327395</v>
      </c>
      <c r="DL68" s="64">
        <v>29.00251651656006</v>
      </c>
      <c r="DM68" s="64">
        <v>73.48312437393372</v>
      </c>
      <c r="DN68" s="64">
        <v>33.362654197602403</v>
      </c>
      <c r="DO68" s="64">
        <v>11.552037570846748</v>
      </c>
      <c r="DP68" s="64">
        <v>20.5707038364704</v>
      </c>
      <c r="DQ68" s="64">
        <v>15.94543456520063</v>
      </c>
      <c r="DR68" s="64">
        <v>9.2919197900671993</v>
      </c>
      <c r="DS68" s="64">
        <v>13.234348441811441</v>
      </c>
      <c r="DT68" s="64">
        <v>34.94291687469866</v>
      </c>
      <c r="DU68" s="64">
        <v>41.341043804515074</v>
      </c>
      <c r="DV68" s="64">
        <v>20.028240696253086</v>
      </c>
      <c r="DW68" s="64">
        <v>15.325795276303628</v>
      </c>
      <c r="DX68" s="64">
        <v>16.307151663037928</v>
      </c>
      <c r="DY68" s="64">
        <v>14.104295326999226</v>
      </c>
      <c r="DZ68" s="64">
        <v>17.643607980375922</v>
      </c>
      <c r="EA68" s="64">
        <v>5.7498432567223929</v>
      </c>
      <c r="EB68" s="64">
        <v>29.374277335797977</v>
      </c>
      <c r="EC68" s="64">
        <v>23.353687520894635</v>
      </c>
      <c r="ED68" s="64">
        <v>22.574056250575421</v>
      </c>
      <c r="EE68" s="64">
        <v>18.04370505024054</v>
      </c>
      <c r="EF68" s="64">
        <v>18.08742256801871</v>
      </c>
      <c r="EG68" s="64">
        <v>22.623475100110159</v>
      </c>
      <c r="EH68" s="64">
        <v>11.005777706449031</v>
      </c>
      <c r="EI68" s="64">
        <v>15.656182182219821</v>
      </c>
      <c r="EJ68" s="64">
        <v>10.30814395089239</v>
      </c>
      <c r="EK68" s="64">
        <v>9.029347377083452</v>
      </c>
      <c r="EL68" s="64">
        <v>17.595161981432973</v>
      </c>
      <c r="EM68" s="64">
        <v>12.973090605153081</v>
      </c>
      <c r="EN68" s="64">
        <v>15.060840288192832</v>
      </c>
      <c r="EO68" s="64">
        <v>21.016302547482919</v>
      </c>
      <c r="EP68" s="64">
        <v>11.795368705553987</v>
      </c>
      <c r="EQ68" s="64">
        <v>5.8497439567021745</v>
      </c>
      <c r="ER68" s="64">
        <v>13.501136920015972</v>
      </c>
      <c r="ES68" s="64">
        <v>11.112951853683562</v>
      </c>
    </row>
    <row r="69" spans="1:151" x14ac:dyDescent="0.3">
      <c r="A69" s="37" t="s">
        <v>7</v>
      </c>
      <c r="B69" s="64">
        <v>8.3658571516169165</v>
      </c>
      <c r="C69" s="64">
        <v>8.2864473116644959</v>
      </c>
      <c r="D69" s="64">
        <v>8.3958828375407677</v>
      </c>
      <c r="E69" s="64">
        <v>14.753151864768725</v>
      </c>
      <c r="F69" s="64">
        <v>11.569752716828379</v>
      </c>
      <c r="G69" s="64">
        <v>8.3705169702981923</v>
      </c>
      <c r="H69" s="64">
        <v>9.1625706793030428</v>
      </c>
      <c r="I69" s="64">
        <v>9.978189430482912</v>
      </c>
      <c r="J69" s="64">
        <v>9.2948817868197509</v>
      </c>
      <c r="K69" s="64">
        <v>17.699056708210996</v>
      </c>
      <c r="L69" s="64">
        <v>42.591344157458508</v>
      </c>
      <c r="M69" s="64">
        <v>18.450764506874535</v>
      </c>
      <c r="N69" s="64">
        <v>8.731719038173102</v>
      </c>
      <c r="O69" s="64">
        <v>11.976719930469336</v>
      </c>
      <c r="P69" s="64">
        <v>10.552925763328709</v>
      </c>
      <c r="Q69" s="64">
        <v>32.261427675113509</v>
      </c>
      <c r="R69" s="64">
        <v>25.334351373013632</v>
      </c>
      <c r="S69" s="64">
        <v>25.549914174095566</v>
      </c>
      <c r="T69" s="64">
        <v>10.161540900532401</v>
      </c>
      <c r="U69" s="64">
        <v>16.181856277956268</v>
      </c>
      <c r="V69" s="64">
        <v>18.781391805427958</v>
      </c>
      <c r="W69" s="64">
        <v>32.521621686091528</v>
      </c>
      <c r="X69" s="64">
        <v>8.1167250280289327</v>
      </c>
      <c r="Y69" s="64">
        <v>8.3721447040614017</v>
      </c>
      <c r="Z69" s="64">
        <v>11.591057361042955</v>
      </c>
      <c r="AA69" s="64">
        <v>11.383464397980436</v>
      </c>
      <c r="AB69" s="64">
        <v>27.780827310899102</v>
      </c>
      <c r="AC69" s="64">
        <v>21.502861203328138</v>
      </c>
      <c r="AD69" s="64">
        <v>21.031746245917653</v>
      </c>
      <c r="AE69" s="64">
        <v>11.978761491281452</v>
      </c>
      <c r="AF69" s="64">
        <v>27.837976511310071</v>
      </c>
      <c r="AG69" s="64">
        <v>10.638761789538977</v>
      </c>
      <c r="AH69" s="64">
        <v>18.196685450313186</v>
      </c>
      <c r="AI69" s="64">
        <v>14.154915824811523</v>
      </c>
      <c r="AJ69" s="64">
        <v>9.9373672954811312</v>
      </c>
      <c r="AK69" s="64">
        <v>16.405423571620553</v>
      </c>
      <c r="AL69" s="64">
        <v>22.606467940135122</v>
      </c>
      <c r="AM69" s="64">
        <v>31.462140429973196</v>
      </c>
      <c r="AN69" s="64">
        <v>10.660750367394098</v>
      </c>
      <c r="AO69" s="64">
        <v>8.4701798200685481</v>
      </c>
      <c r="AP69" s="64">
        <v>45.684349282296594</v>
      </c>
      <c r="AQ69" s="64">
        <v>16.890740604589492</v>
      </c>
      <c r="AR69" s="64">
        <v>17.206544296115545</v>
      </c>
      <c r="AS69" s="64">
        <v>28.337877264692139</v>
      </c>
      <c r="AT69" s="64">
        <v>17.368557371394619</v>
      </c>
      <c r="AU69" s="64">
        <v>20.896416696736395</v>
      </c>
      <c r="AV69" s="64">
        <v>13.549542054919183</v>
      </c>
      <c r="AW69" s="64">
        <v>9.0833847072683263</v>
      </c>
      <c r="AX69" s="64">
        <v>13.960897990861438</v>
      </c>
      <c r="AY69" s="64">
        <v>10.255480092431304</v>
      </c>
      <c r="AZ69" s="64">
        <v>11.866608314620258</v>
      </c>
      <c r="BA69" s="64">
        <v>11.295078551452141</v>
      </c>
      <c r="BB69" s="64">
        <v>30.52076850794408</v>
      </c>
      <c r="BC69" s="64">
        <v>13.226238231899179</v>
      </c>
      <c r="BD69" s="64">
        <v>14.540217394744662</v>
      </c>
      <c r="BE69" s="64">
        <v>17.017805922634132</v>
      </c>
      <c r="BF69" s="64">
        <v>12.763242006532368</v>
      </c>
      <c r="BG69" s="64">
        <v>19.335793908837744</v>
      </c>
      <c r="BH69" s="64">
        <v>38.963567356045864</v>
      </c>
      <c r="BI69" s="64">
        <v>9.3952245054862971</v>
      </c>
      <c r="BJ69" s="64">
        <v>16.635942097788273</v>
      </c>
      <c r="BK69" s="64">
        <v>13.974496974697432</v>
      </c>
      <c r="BL69" s="64">
        <v>68.65069877223722</v>
      </c>
      <c r="BM69" s="64">
        <v>8.4316073050547633</v>
      </c>
      <c r="BN69" s="64">
        <v>8.8744960522475331</v>
      </c>
      <c r="BO69" s="64">
        <v>9.2456618519425948</v>
      </c>
      <c r="BP69" s="64">
        <v>7.9576769048731233</v>
      </c>
      <c r="BQ69" s="64">
        <v>8.7536787846627888</v>
      </c>
      <c r="BR69" s="64">
        <v>9.2794493945796699</v>
      </c>
      <c r="BS69" s="64">
        <v>13.707041129411907</v>
      </c>
      <c r="BT69" s="64">
        <v>12.107368780969395</v>
      </c>
      <c r="BU69" s="64">
        <v>8.4272407267053548</v>
      </c>
      <c r="BV69" s="64">
        <v>8.3317110082936079</v>
      </c>
      <c r="BW69" s="64">
        <v>20.765854962133492</v>
      </c>
      <c r="BX69" s="64">
        <v>15.696039357205237</v>
      </c>
      <c r="BY69" s="64">
        <v>38.123123445687071</v>
      </c>
      <c r="BZ69" s="64">
        <v>47.676407473334088</v>
      </c>
      <c r="CA69" s="64">
        <v>8.5414278153475642</v>
      </c>
      <c r="CB69" s="64">
        <v>13.307447195772159</v>
      </c>
      <c r="CC69" s="64">
        <v>12.863716236905862</v>
      </c>
      <c r="CD69" s="64">
        <v>11.349240540771552</v>
      </c>
      <c r="CE69" s="64">
        <v>12.380249299377203</v>
      </c>
      <c r="CF69" s="64">
        <v>21.314704171077651</v>
      </c>
      <c r="CG69" s="64">
        <v>8.2823402715471097</v>
      </c>
      <c r="CH69" s="64">
        <v>25.208294781341991</v>
      </c>
      <c r="CI69" s="64">
        <v>15.68421114853048</v>
      </c>
      <c r="CJ69" s="64">
        <v>13.676774220980086</v>
      </c>
      <c r="CK69" s="64">
        <v>14.835069811096883</v>
      </c>
      <c r="CL69" s="64">
        <v>39.642104825656865</v>
      </c>
      <c r="CM69" s="64">
        <v>9.3259066331977198</v>
      </c>
      <c r="CN69" s="64">
        <v>9.3267961807484863</v>
      </c>
      <c r="CO69" s="64">
        <v>13.037250346411472</v>
      </c>
      <c r="CP69" s="64">
        <v>14.685253955994055</v>
      </c>
      <c r="CQ69" s="64">
        <v>-2.7121638154974357</v>
      </c>
      <c r="CR69" s="64">
        <v>8.354381403729974</v>
      </c>
      <c r="CS69" s="64">
        <v>12.218537925588052</v>
      </c>
      <c r="CT69" s="64">
        <v>29.968693502812535</v>
      </c>
      <c r="CU69" s="64">
        <v>13.21083308395675</v>
      </c>
      <c r="CV69" s="64">
        <v>8.7865858501996534</v>
      </c>
      <c r="CW69" s="64">
        <v>28.031746437343749</v>
      </c>
      <c r="CX69" s="64">
        <v>8.3667022563562075</v>
      </c>
      <c r="CY69" s="64">
        <v>10.978925111834032</v>
      </c>
      <c r="CZ69" s="64">
        <v>13.096740465844499</v>
      </c>
      <c r="DA69" s="64">
        <v>12.495624413987299</v>
      </c>
      <c r="DB69" s="64">
        <v>12.700452240560704</v>
      </c>
      <c r="DC69" s="64">
        <v>10.826051985031972</v>
      </c>
      <c r="DD69" s="64">
        <v>18.564965983979508</v>
      </c>
      <c r="DE69" s="64">
        <v>10.986106824276867</v>
      </c>
      <c r="DF69" s="64">
        <v>10.6616712422648</v>
      </c>
      <c r="DG69" s="64">
        <v>17.864022756627932</v>
      </c>
      <c r="DH69" s="64">
        <v>8.1616712422648021</v>
      </c>
      <c r="DI69" s="64">
        <v>8.4295039815735393</v>
      </c>
      <c r="DJ69" s="64">
        <v>12.130032896833733</v>
      </c>
      <c r="DK69" s="64">
        <v>11.92856035327395</v>
      </c>
      <c r="DL69" s="64">
        <v>29.00251651656006</v>
      </c>
      <c r="DM69" s="64">
        <v>73.48312437393372</v>
      </c>
      <c r="DN69" s="64">
        <v>33.362654197602403</v>
      </c>
      <c r="DO69" s="64">
        <v>8.0520375708467498</v>
      </c>
      <c r="DP69" s="64">
        <v>20.5707038364704</v>
      </c>
      <c r="DQ69" s="64">
        <v>14.945434565200628</v>
      </c>
      <c r="DR69" s="64">
        <v>8.2919197900671993</v>
      </c>
      <c r="DS69" s="64">
        <v>12.384348441811438</v>
      </c>
      <c r="DT69" s="64">
        <v>34.94291687469866</v>
      </c>
      <c r="DU69" s="64">
        <v>43.841043804515074</v>
      </c>
      <c r="DV69" s="64">
        <v>20.028240696253086</v>
      </c>
      <c r="DW69" s="64">
        <v>15.325795276303628</v>
      </c>
      <c r="DX69" s="64">
        <v>16.307151663037928</v>
      </c>
      <c r="DY69" s="64">
        <v>13.254295326999218</v>
      </c>
      <c r="DZ69" s="64">
        <v>17.643607980375922</v>
      </c>
      <c r="EA69" s="64">
        <v>8.2498432567223965</v>
      </c>
      <c r="EB69" s="64">
        <v>29.374277335797977</v>
      </c>
      <c r="EC69" s="64">
        <v>23.353687520894635</v>
      </c>
      <c r="ED69" s="64">
        <v>22.574056250575421</v>
      </c>
      <c r="EE69" s="64">
        <v>18.04370505024054</v>
      </c>
      <c r="EF69" s="64">
        <v>17.08742256801871</v>
      </c>
      <c r="EG69" s="64">
        <v>21.623475100110163</v>
      </c>
      <c r="EH69" s="64">
        <v>10.155777706449031</v>
      </c>
      <c r="EI69" s="64">
        <v>13.156182182219819</v>
      </c>
      <c r="EJ69" s="64">
        <v>12.808143950892388</v>
      </c>
      <c r="EK69" s="64">
        <v>11.529347377083456</v>
      </c>
      <c r="EL69" s="64">
        <v>19.445161981432971</v>
      </c>
      <c r="EM69" s="64">
        <v>14.82309060515308</v>
      </c>
      <c r="EN69" s="64">
        <v>14.060840288192837</v>
      </c>
      <c r="EO69" s="64">
        <v>18.516302547482915</v>
      </c>
      <c r="EP69" s="64">
        <v>10.795368705553999</v>
      </c>
      <c r="EQ69" s="64">
        <v>8.3497439567021718</v>
      </c>
      <c r="ER69" s="64">
        <v>15.929104496493526</v>
      </c>
      <c r="ES69" s="64">
        <v>13.612951853683565</v>
      </c>
    </row>
    <row r="70" spans="1:151" x14ac:dyDescent="0.3">
      <c r="A70" s="37" t="s">
        <v>18</v>
      </c>
      <c r="B70" s="64">
        <v>5.8658571516169156</v>
      </c>
      <c r="C70" s="64">
        <v>10.786447311664485</v>
      </c>
      <c r="D70" s="64">
        <v>9.3958828375407695</v>
      </c>
      <c r="E70" s="64">
        <v>15.753151864768723</v>
      </c>
      <c r="F70" s="64">
        <v>9.0697527168283774</v>
      </c>
      <c r="G70" s="64">
        <v>5.8705169702981888</v>
      </c>
      <c r="H70" s="64">
        <v>6.6625706793030446</v>
      </c>
      <c r="I70" s="64">
        <v>6.4781894304829173</v>
      </c>
      <c r="J70" s="64">
        <v>11.794881786819753</v>
      </c>
      <c r="K70" s="64">
        <v>18.699056708211003</v>
      </c>
      <c r="L70" s="64">
        <v>42.591344157458508</v>
      </c>
      <c r="M70" s="64">
        <v>15.950764506874535</v>
      </c>
      <c r="N70" s="64">
        <v>9.7317190381731038</v>
      </c>
      <c r="O70" s="64">
        <v>12.976719930469331</v>
      </c>
      <c r="P70" s="64">
        <v>8.052925763328707</v>
      </c>
      <c r="Q70" s="64">
        <v>32.261427675113509</v>
      </c>
      <c r="R70" s="64">
        <v>22.834351373013625</v>
      </c>
      <c r="S70" s="64">
        <v>25.549914174095566</v>
      </c>
      <c r="T70" s="64">
        <v>10.161540900532401</v>
      </c>
      <c r="U70" s="64">
        <v>17.181856277956271</v>
      </c>
      <c r="V70" s="64">
        <v>18.781391805427958</v>
      </c>
      <c r="W70" s="64">
        <v>29.021621686091517</v>
      </c>
      <c r="X70" s="64">
        <v>10.616725028028933</v>
      </c>
      <c r="Y70" s="64">
        <v>5.8721447040613999</v>
      </c>
      <c r="Z70" s="64">
        <v>11.591057361042955</v>
      </c>
      <c r="AA70" s="64">
        <v>8.8834643979804362</v>
      </c>
      <c r="AB70" s="64">
        <v>27.780827310899102</v>
      </c>
      <c r="AC70" s="64">
        <v>21.502861203328138</v>
      </c>
      <c r="AD70" s="64">
        <v>21.031746245917653</v>
      </c>
      <c r="AE70" s="64">
        <v>8.4787614912814568</v>
      </c>
      <c r="AF70" s="64">
        <v>27.837976511310071</v>
      </c>
      <c r="AG70" s="64">
        <v>11.638761789538977</v>
      </c>
      <c r="AH70" s="64">
        <v>19.196685450313186</v>
      </c>
      <c r="AI70" s="64">
        <v>15.154915824811519</v>
      </c>
      <c r="AJ70" s="64">
        <v>10.937367295481129</v>
      </c>
      <c r="AK70" s="64">
        <v>17.405423571620556</v>
      </c>
      <c r="AL70" s="64">
        <v>22.606467940135122</v>
      </c>
      <c r="AM70" s="64">
        <v>31.462140429973196</v>
      </c>
      <c r="AN70" s="64">
        <v>11.660750367394099</v>
      </c>
      <c r="AO70" s="64">
        <v>5.9701798200685481</v>
      </c>
      <c r="AP70" s="64">
        <v>45.684349282296594</v>
      </c>
      <c r="AQ70" s="64">
        <v>14.390740604589487</v>
      </c>
      <c r="AR70" s="64">
        <v>17.206544296115545</v>
      </c>
      <c r="AS70" s="64">
        <v>28.337877264692139</v>
      </c>
      <c r="AT70" s="64">
        <v>18.368557371394616</v>
      </c>
      <c r="AU70" s="64">
        <v>18.396416696736399</v>
      </c>
      <c r="AV70" s="64">
        <v>11.049542054919183</v>
      </c>
      <c r="AW70" s="64">
        <v>5.5833847072683263</v>
      </c>
      <c r="AX70" s="64">
        <v>13.977177373611738</v>
      </c>
      <c r="AY70" s="64">
        <v>7.7554800924313056</v>
      </c>
      <c r="AZ70" s="64">
        <v>12.866608314620263</v>
      </c>
      <c r="BA70" s="64">
        <v>8.7950785514521428</v>
      </c>
      <c r="BB70" s="64">
        <v>31.520768507944087</v>
      </c>
      <c r="BC70" s="64">
        <v>14.226238231899179</v>
      </c>
      <c r="BD70" s="64">
        <v>11.040217394744666</v>
      </c>
      <c r="BE70" s="64">
        <v>17.017805922634132</v>
      </c>
      <c r="BF70" s="64">
        <v>15.263242006532362</v>
      </c>
      <c r="BG70" s="64">
        <v>19.335793908837744</v>
      </c>
      <c r="BH70" s="64">
        <v>36.463567356045878</v>
      </c>
      <c r="BI70" s="64">
        <v>5.8952245054862926</v>
      </c>
      <c r="BJ70" s="64">
        <v>19.135942097788277</v>
      </c>
      <c r="BK70" s="64">
        <v>11.474496974697427</v>
      </c>
      <c r="BL70" s="64">
        <v>71.150698772237234</v>
      </c>
      <c r="BM70" s="64">
        <v>9.4316073050547669</v>
      </c>
      <c r="BN70" s="64">
        <v>9.8744960522475314</v>
      </c>
      <c r="BO70" s="64">
        <v>11.745661851942595</v>
      </c>
      <c r="BP70" s="64">
        <v>10.457676904873127</v>
      </c>
      <c r="BQ70" s="64">
        <v>6.2536787846627906</v>
      </c>
      <c r="BR70" s="64">
        <v>5.7794493945796646</v>
      </c>
      <c r="BS70" s="64">
        <v>14.707041129411918</v>
      </c>
      <c r="BT70" s="64">
        <v>9.6073687809693897</v>
      </c>
      <c r="BU70" s="64">
        <v>5.927240726705354</v>
      </c>
      <c r="BV70" s="64">
        <v>5.8317110082936132</v>
      </c>
      <c r="BW70" s="64">
        <v>20.765854962133492</v>
      </c>
      <c r="BX70" s="64">
        <v>18.196039357205226</v>
      </c>
      <c r="BY70" s="64">
        <v>34.623123445687071</v>
      </c>
      <c r="BZ70" s="64">
        <v>47.676407473334088</v>
      </c>
      <c r="CA70" s="64">
        <v>6.0414278153475642</v>
      </c>
      <c r="CB70" s="64">
        <v>14.307447195772166</v>
      </c>
      <c r="CC70" s="64">
        <v>10.36311170670324</v>
      </c>
      <c r="CD70" s="64">
        <v>7.8492405407715484</v>
      </c>
      <c r="CE70" s="64">
        <v>13.380249299377207</v>
      </c>
      <c r="CF70" s="64">
        <v>21.314704171077651</v>
      </c>
      <c r="CG70" s="64">
        <v>5.7823402715471124</v>
      </c>
      <c r="CH70" s="64">
        <v>25.208294781341991</v>
      </c>
      <c r="CI70" s="64">
        <v>13.184211148530482</v>
      </c>
      <c r="CJ70" s="64">
        <v>14.676774220980079</v>
      </c>
      <c r="CK70" s="64">
        <v>12.335069811096881</v>
      </c>
      <c r="CL70" s="64">
        <v>39.642104825656865</v>
      </c>
      <c r="CM70" s="64">
        <v>6.8259066331977163</v>
      </c>
      <c r="CN70" s="64">
        <v>5.826796180748488</v>
      </c>
      <c r="CO70" s="64">
        <v>14.037250346411476</v>
      </c>
      <c r="CP70" s="64">
        <v>15.68525395599406</v>
      </c>
      <c r="CQ70" s="64">
        <v>-1.7121638154974368</v>
      </c>
      <c r="CR70" s="64">
        <v>5.8543814037299731</v>
      </c>
      <c r="CS70" s="64">
        <v>14.718537925588024</v>
      </c>
      <c r="CT70" s="64">
        <v>29.968693502812535</v>
      </c>
      <c r="CU70" s="64">
        <v>9.7108330839567536</v>
      </c>
      <c r="CV70" s="64">
        <v>6.2865858501996561</v>
      </c>
      <c r="CW70" s="64">
        <v>28.031746437343749</v>
      </c>
      <c r="CX70" s="64">
        <v>9.3667022563562021</v>
      </c>
      <c r="CY70" s="64">
        <v>8.4789251118340321</v>
      </c>
      <c r="CZ70" s="64">
        <v>13.096740465844499</v>
      </c>
      <c r="DA70" s="64">
        <v>13.495624413987301</v>
      </c>
      <c r="DB70" s="64">
        <v>12.700452240560704</v>
      </c>
      <c r="DC70" s="64">
        <v>11.826051985031974</v>
      </c>
      <c r="DD70" s="64">
        <v>19.564965983979501</v>
      </c>
      <c r="DE70" s="64">
        <v>11.986106824276867</v>
      </c>
      <c r="DF70" s="64">
        <v>11.661671242264802</v>
      </c>
      <c r="DG70" s="64">
        <v>20.364022756627929</v>
      </c>
      <c r="DH70" s="64">
        <v>5.6616712422648021</v>
      </c>
      <c r="DI70" s="64">
        <v>5.9295039815735384</v>
      </c>
      <c r="DJ70" s="64">
        <v>12.130032896833733</v>
      </c>
      <c r="DK70" s="64">
        <v>12.928560353273953</v>
      </c>
      <c r="DL70" s="64">
        <v>29.00251651656006</v>
      </c>
      <c r="DM70" s="64">
        <v>73.48312437393372</v>
      </c>
      <c r="DN70" s="64">
        <v>33.362654197602403</v>
      </c>
      <c r="DO70" s="64">
        <v>10.55203757084675</v>
      </c>
      <c r="DP70" s="64">
        <v>20.5707038364704</v>
      </c>
      <c r="DQ70" s="64">
        <v>12.445434565200632</v>
      </c>
      <c r="DR70" s="64">
        <v>5.7919197900671966</v>
      </c>
      <c r="DS70" s="64">
        <v>8.8843484418114418</v>
      </c>
      <c r="DT70" s="64">
        <v>34.94291687469866</v>
      </c>
      <c r="DU70" s="64">
        <v>44.841043804515067</v>
      </c>
      <c r="DV70" s="64">
        <v>20.028240696253086</v>
      </c>
      <c r="DW70" s="64">
        <v>16.325795276303626</v>
      </c>
      <c r="DX70" s="64">
        <v>17.307151663037921</v>
      </c>
      <c r="DY70" s="64">
        <v>9.7542953269992196</v>
      </c>
      <c r="DZ70" s="64">
        <v>18.643607980375929</v>
      </c>
      <c r="EA70" s="64">
        <v>9.2498432567223929</v>
      </c>
      <c r="EB70" s="64">
        <v>29.374277335797977</v>
      </c>
      <c r="EC70" s="64">
        <v>23.353687520894635</v>
      </c>
      <c r="ED70" s="64">
        <v>22.574056250575421</v>
      </c>
      <c r="EE70" s="64">
        <v>19.043705050240533</v>
      </c>
      <c r="EF70" s="64">
        <v>14.587422568018711</v>
      </c>
      <c r="EG70" s="64">
        <v>19.123475100110163</v>
      </c>
      <c r="EH70" s="64">
        <v>6.6557777064490313</v>
      </c>
      <c r="EI70" s="64">
        <v>15.656182182219821</v>
      </c>
      <c r="EJ70" s="64">
        <v>13.80814395089239</v>
      </c>
      <c r="EK70" s="64">
        <v>12.529347377083457</v>
      </c>
      <c r="EL70" s="64">
        <v>19.445161981432971</v>
      </c>
      <c r="EM70" s="64">
        <v>14.82309060515308</v>
      </c>
      <c r="EN70" s="64">
        <v>11.560840288192834</v>
      </c>
      <c r="EO70" s="64">
        <v>21.016302547482919</v>
      </c>
      <c r="EP70" s="64">
        <v>8.2953687055539884</v>
      </c>
      <c r="EQ70" s="64">
        <v>9.3497439567021683</v>
      </c>
      <c r="ER70" s="64">
        <v>16.947112602374144</v>
      </c>
      <c r="ES70" s="64">
        <v>14.612951853683562</v>
      </c>
    </row>
    <row r="71" spans="1:151" x14ac:dyDescent="0.3">
      <c r="A71" s="37" t="s">
        <v>26</v>
      </c>
      <c r="B71" s="64">
        <v>9.3658571516169147</v>
      </c>
      <c r="C71" s="64">
        <v>11.786447311664487</v>
      </c>
      <c r="D71" s="64">
        <v>10.245882837540771</v>
      </c>
      <c r="E71" s="64">
        <v>16.603151864768723</v>
      </c>
      <c r="F71" s="64">
        <v>12.569752716828377</v>
      </c>
      <c r="G71" s="64">
        <v>9.3705169702981905</v>
      </c>
      <c r="H71" s="64">
        <v>10.162570679303046</v>
      </c>
      <c r="I71" s="64">
        <v>10.828189430482913</v>
      </c>
      <c r="J71" s="64">
        <v>12.794881786819753</v>
      </c>
      <c r="K71" s="64">
        <v>19.549056708211001</v>
      </c>
      <c r="L71" s="64">
        <v>38.241344157458492</v>
      </c>
      <c r="M71" s="64">
        <v>19.450764506874542</v>
      </c>
      <c r="N71" s="64">
        <v>9.7317190381731038</v>
      </c>
      <c r="O71" s="64">
        <v>13.826719930469341</v>
      </c>
      <c r="P71" s="64">
        <v>11.552925763328709</v>
      </c>
      <c r="Q71" s="64">
        <v>28.011427675113534</v>
      </c>
      <c r="R71" s="64">
        <v>26.334351373013618</v>
      </c>
      <c r="S71" s="64">
        <v>21.199914174095575</v>
      </c>
      <c r="T71" s="64">
        <v>5.8115409005324015</v>
      </c>
      <c r="U71" s="64">
        <v>17.181856277956271</v>
      </c>
      <c r="V71" s="64">
        <v>14.431391805427959</v>
      </c>
      <c r="W71" s="64">
        <v>33.371621686091508</v>
      </c>
      <c r="X71" s="64">
        <v>11.616725028028931</v>
      </c>
      <c r="Y71" s="64">
        <v>9.3721447040613999</v>
      </c>
      <c r="Z71" s="64">
        <v>7.2410573610429614</v>
      </c>
      <c r="AA71" s="64">
        <v>12.383464397980424</v>
      </c>
      <c r="AB71" s="64">
        <v>23.530827310899081</v>
      </c>
      <c r="AC71" s="64">
        <v>17.152861203328136</v>
      </c>
      <c r="AD71" s="64">
        <v>21.031746245917653</v>
      </c>
      <c r="AE71" s="64">
        <v>12.828761491281453</v>
      </c>
      <c r="AF71" s="64">
        <v>23.487976511310073</v>
      </c>
      <c r="AG71" s="64">
        <v>11.638761789538977</v>
      </c>
      <c r="AH71" s="64">
        <v>19.196685450313186</v>
      </c>
      <c r="AI71" s="64">
        <v>15.154915824811519</v>
      </c>
      <c r="AJ71" s="64">
        <v>10.937367295481129</v>
      </c>
      <c r="AK71" s="64">
        <v>17.405423571620556</v>
      </c>
      <c r="AL71" s="64">
        <v>18.256467940135114</v>
      </c>
      <c r="AM71" s="64">
        <v>27.112140429973181</v>
      </c>
      <c r="AN71" s="64">
        <v>11.660750367394099</v>
      </c>
      <c r="AO71" s="64">
        <v>9.4701798200685516</v>
      </c>
      <c r="AP71" s="64">
        <v>41.334349282296593</v>
      </c>
      <c r="AQ71" s="64">
        <v>17.890740604589485</v>
      </c>
      <c r="AR71" s="64">
        <v>12.856544296115553</v>
      </c>
      <c r="AS71" s="64">
        <v>28.337877264692139</v>
      </c>
      <c r="AT71" s="64">
        <v>18.368557371394616</v>
      </c>
      <c r="AU71" s="64">
        <v>21.896416696736395</v>
      </c>
      <c r="AV71" s="64">
        <v>14.549542054919183</v>
      </c>
      <c r="AW71" s="64">
        <v>9.9333847072683259</v>
      </c>
      <c r="AX71" s="64">
        <v>9.7118301639132909</v>
      </c>
      <c r="AY71" s="64">
        <v>11.255480092431299</v>
      </c>
      <c r="AZ71" s="64">
        <v>12.866608314620263</v>
      </c>
      <c r="BA71" s="64">
        <v>12.295078551452141</v>
      </c>
      <c r="BB71" s="64">
        <v>31.520768507944087</v>
      </c>
      <c r="BC71" s="64">
        <v>14.226238231899179</v>
      </c>
      <c r="BD71" s="64">
        <v>15.390217394744665</v>
      </c>
      <c r="BE71" s="64">
        <v>12.767805922634137</v>
      </c>
      <c r="BF71" s="64">
        <v>15.263242006532362</v>
      </c>
      <c r="BG71" s="64">
        <v>14.985793908837742</v>
      </c>
      <c r="BH71" s="64">
        <v>39.963567356045893</v>
      </c>
      <c r="BI71" s="64">
        <v>10.245224505486298</v>
      </c>
      <c r="BJ71" s="64">
        <v>20.135942097788256</v>
      </c>
      <c r="BK71" s="64">
        <v>14.974496974697427</v>
      </c>
      <c r="BL71" s="64">
        <v>71.150698772237234</v>
      </c>
      <c r="BM71" s="64">
        <v>9.4316073050547669</v>
      </c>
      <c r="BN71" s="64">
        <v>9.8744960522475314</v>
      </c>
      <c r="BO71" s="64">
        <v>11.745661851942595</v>
      </c>
      <c r="BP71" s="64">
        <v>10.457676904873127</v>
      </c>
      <c r="BQ71" s="64">
        <v>9.7536787846627941</v>
      </c>
      <c r="BR71" s="64">
        <v>10.12944939457967</v>
      </c>
      <c r="BS71" s="64">
        <v>15.557041129411923</v>
      </c>
      <c r="BT71" s="64">
        <v>13.107368780969395</v>
      </c>
      <c r="BU71" s="64">
        <v>9.4272407267053548</v>
      </c>
      <c r="BV71" s="64">
        <v>9.3317110082936097</v>
      </c>
      <c r="BW71" s="64">
        <v>16.515854962133496</v>
      </c>
      <c r="BX71" s="64">
        <v>19.196039357205226</v>
      </c>
      <c r="BY71" s="64">
        <v>38.973123445687079</v>
      </c>
      <c r="BZ71" s="64">
        <v>47.676407473334088</v>
      </c>
      <c r="CA71" s="64">
        <v>9.5414278153475625</v>
      </c>
      <c r="CB71" s="64">
        <v>14.307447195772166</v>
      </c>
      <c r="CC71" s="64">
        <v>13.863625557375471</v>
      </c>
      <c r="CD71" s="64">
        <v>12.199240540771543</v>
      </c>
      <c r="CE71" s="64">
        <v>14.23024929937721</v>
      </c>
      <c r="CF71" s="64">
        <v>16.964704171077649</v>
      </c>
      <c r="CG71" s="64">
        <v>9.2823402715471115</v>
      </c>
      <c r="CH71" s="64">
        <v>25.208294781341991</v>
      </c>
      <c r="CI71" s="64">
        <v>16.684211148530483</v>
      </c>
      <c r="CJ71" s="64">
        <v>14.676774220980079</v>
      </c>
      <c r="CK71" s="64">
        <v>15.835069811096886</v>
      </c>
      <c r="CL71" s="64">
        <v>35.392104825656872</v>
      </c>
      <c r="CM71" s="64">
        <v>10.325906633197722</v>
      </c>
      <c r="CN71" s="64">
        <v>10.176796180748488</v>
      </c>
      <c r="CO71" s="64">
        <v>14.037250346411476</v>
      </c>
      <c r="CP71" s="64">
        <v>15.68525395599406</v>
      </c>
      <c r="CQ71" s="64">
        <v>-0.86216381549743704</v>
      </c>
      <c r="CR71" s="64">
        <v>9.3543814037299793</v>
      </c>
      <c r="CS71" s="64">
        <v>15.718537925588032</v>
      </c>
      <c r="CT71" s="64">
        <v>25.61869350281253</v>
      </c>
      <c r="CU71" s="64">
        <v>14.060833083956757</v>
      </c>
      <c r="CV71" s="64">
        <v>9.7865858501996534</v>
      </c>
      <c r="CW71" s="64">
        <v>23.681746437343737</v>
      </c>
      <c r="CX71" s="64">
        <v>10.216702256356212</v>
      </c>
      <c r="CY71" s="64">
        <v>11.978925111834025</v>
      </c>
      <c r="CZ71" s="64">
        <v>8.7467404658444945</v>
      </c>
      <c r="DA71" s="64">
        <v>13.495624413987301</v>
      </c>
      <c r="DB71" s="64">
        <v>8.4504522405607077</v>
      </c>
      <c r="DC71" s="64">
        <v>11.826051985031974</v>
      </c>
      <c r="DD71" s="64">
        <v>20.414965983979506</v>
      </c>
      <c r="DE71" s="64">
        <v>12.836106824276863</v>
      </c>
      <c r="DF71" s="64">
        <v>12.511671242264802</v>
      </c>
      <c r="DG71" s="64">
        <v>21.364022756627929</v>
      </c>
      <c r="DH71" s="64">
        <v>9.1616712422648039</v>
      </c>
      <c r="DI71" s="64">
        <v>9.4295039815735429</v>
      </c>
      <c r="DJ71" s="64">
        <v>7.7800328968337231</v>
      </c>
      <c r="DK71" s="64">
        <v>13.778560353273953</v>
      </c>
      <c r="DL71" s="64">
        <v>24.652516516560059</v>
      </c>
      <c r="DM71" s="64">
        <v>69.133124373933711</v>
      </c>
      <c r="DN71" s="64">
        <v>29.012654197602409</v>
      </c>
      <c r="DO71" s="64">
        <v>11.552037570846748</v>
      </c>
      <c r="DP71" s="64">
        <v>16.220703836470403</v>
      </c>
      <c r="DQ71" s="64">
        <v>15.94543456520063</v>
      </c>
      <c r="DR71" s="64">
        <v>9.2919197900671993</v>
      </c>
      <c r="DS71" s="64">
        <v>13.234348441811441</v>
      </c>
      <c r="DT71" s="64">
        <v>30.592916874698656</v>
      </c>
      <c r="DU71" s="64">
        <v>44.841043804515067</v>
      </c>
      <c r="DV71" s="64">
        <v>15.678240696253091</v>
      </c>
      <c r="DW71" s="64">
        <v>17.175795276303635</v>
      </c>
      <c r="DX71" s="64">
        <v>18.157151663037929</v>
      </c>
      <c r="DY71" s="64">
        <v>14.104295326999226</v>
      </c>
      <c r="DZ71" s="64">
        <v>19.49360798037592</v>
      </c>
      <c r="EA71" s="64">
        <v>9.2498432567223929</v>
      </c>
      <c r="EB71" s="64">
        <v>25.066107269846512</v>
      </c>
      <c r="EC71" s="64">
        <v>19.003687520894641</v>
      </c>
      <c r="ED71" s="64">
        <v>18.224056250575419</v>
      </c>
      <c r="EE71" s="64">
        <v>19.893705050240545</v>
      </c>
      <c r="EF71" s="64">
        <v>18.08742256801871</v>
      </c>
      <c r="EG71" s="64">
        <v>22.623475100110159</v>
      </c>
      <c r="EH71" s="64">
        <v>11.005777706449031</v>
      </c>
      <c r="EI71" s="64">
        <v>15.656182182219821</v>
      </c>
      <c r="EJ71" s="64">
        <v>13.80814395089239</v>
      </c>
      <c r="EK71" s="64">
        <v>12.529347377083457</v>
      </c>
      <c r="EL71" s="64">
        <v>19.445161981432971</v>
      </c>
      <c r="EM71" s="64">
        <v>14.82309060515308</v>
      </c>
      <c r="EN71" s="64">
        <v>15.060840288192832</v>
      </c>
      <c r="EO71" s="64">
        <v>21.016302547482919</v>
      </c>
      <c r="EP71" s="64">
        <v>11.795368705553987</v>
      </c>
      <c r="EQ71" s="64">
        <v>9.3497439567021683</v>
      </c>
      <c r="ER71" s="64">
        <v>16.959118006294549</v>
      </c>
      <c r="ES71" s="64">
        <v>14.612951853683562</v>
      </c>
    </row>
    <row r="72" spans="1:151" x14ac:dyDescent="0.3">
      <c r="A72" s="37" t="s">
        <v>19</v>
      </c>
      <c r="B72" s="64">
        <v>5.8658571516169156</v>
      </c>
      <c r="C72" s="64">
        <v>10.786447311664485</v>
      </c>
      <c r="D72" s="64">
        <v>9.3958828375407695</v>
      </c>
      <c r="E72" s="64">
        <v>15.753151864768723</v>
      </c>
      <c r="F72" s="64">
        <v>9.0697527168283774</v>
      </c>
      <c r="G72" s="64">
        <v>5.8705169702981888</v>
      </c>
      <c r="H72" s="64">
        <v>6.6625706793030446</v>
      </c>
      <c r="I72" s="64">
        <v>6.4781894304829173</v>
      </c>
      <c r="J72" s="64">
        <v>11.794881786819753</v>
      </c>
      <c r="K72" s="64">
        <v>18.699056708211003</v>
      </c>
      <c r="L72" s="64">
        <v>42.591344157458508</v>
      </c>
      <c r="M72" s="64">
        <v>15.950764506874535</v>
      </c>
      <c r="N72" s="64">
        <v>9.7317190381731038</v>
      </c>
      <c r="O72" s="64">
        <v>12.976719930469331</v>
      </c>
      <c r="P72" s="64">
        <v>8.052925763328707</v>
      </c>
      <c r="Q72" s="64">
        <v>32.261427675113509</v>
      </c>
      <c r="R72" s="64">
        <v>22.834351373013625</v>
      </c>
      <c r="S72" s="64">
        <v>25.549914174095566</v>
      </c>
      <c r="T72" s="64">
        <v>10.161540900532401</v>
      </c>
      <c r="U72" s="64">
        <v>17.181856277956271</v>
      </c>
      <c r="V72" s="64">
        <v>18.781391805427958</v>
      </c>
      <c r="W72" s="64">
        <v>29.021621686091517</v>
      </c>
      <c r="X72" s="64">
        <v>10.616725028028933</v>
      </c>
      <c r="Y72" s="64">
        <v>5.8721447040613999</v>
      </c>
      <c r="Z72" s="64">
        <v>11.591057361042955</v>
      </c>
      <c r="AA72" s="64">
        <v>8.8834643979804362</v>
      </c>
      <c r="AB72" s="64">
        <v>27.780827310899102</v>
      </c>
      <c r="AC72" s="64">
        <v>21.502861203328138</v>
      </c>
      <c r="AD72" s="64">
        <v>21.031746245917653</v>
      </c>
      <c r="AE72" s="64">
        <v>8.4787614912814568</v>
      </c>
      <c r="AF72" s="64">
        <v>27.837976511310071</v>
      </c>
      <c r="AG72" s="64">
        <v>11.638761789538977</v>
      </c>
      <c r="AH72" s="64">
        <v>19.196685450313186</v>
      </c>
      <c r="AI72" s="64">
        <v>15.154915824811519</v>
      </c>
      <c r="AJ72" s="64">
        <v>10.937367295481129</v>
      </c>
      <c r="AK72" s="64">
        <v>17.405423571620556</v>
      </c>
      <c r="AL72" s="64">
        <v>22.606467940135122</v>
      </c>
      <c r="AM72" s="64">
        <v>31.462140429973196</v>
      </c>
      <c r="AN72" s="64">
        <v>11.660750367394099</v>
      </c>
      <c r="AO72" s="64">
        <v>5.9701798200685481</v>
      </c>
      <c r="AP72" s="64">
        <v>45.684349282296594</v>
      </c>
      <c r="AQ72" s="64">
        <v>14.390740604589487</v>
      </c>
      <c r="AR72" s="64">
        <v>17.206544296115545</v>
      </c>
      <c r="AS72" s="64">
        <v>28.337877264692139</v>
      </c>
      <c r="AT72" s="64">
        <v>18.368557371394616</v>
      </c>
      <c r="AU72" s="64">
        <v>18.396416696736399</v>
      </c>
      <c r="AV72" s="64">
        <v>11.049542054919183</v>
      </c>
      <c r="AW72" s="64">
        <v>5.5833847072683263</v>
      </c>
      <c r="AX72" s="64">
        <v>13.977177373611738</v>
      </c>
      <c r="AY72" s="64">
        <v>7.7554800924313056</v>
      </c>
      <c r="AZ72" s="64">
        <v>12.866608314620263</v>
      </c>
      <c r="BA72" s="64">
        <v>8.7950785514521428</v>
      </c>
      <c r="BB72" s="64">
        <v>31.520768507944087</v>
      </c>
      <c r="BC72" s="64">
        <v>14.226238231899179</v>
      </c>
      <c r="BD72" s="64">
        <v>11.040217394744666</v>
      </c>
      <c r="BE72" s="64">
        <v>17.017805922634132</v>
      </c>
      <c r="BF72" s="64">
        <v>15.263242006532362</v>
      </c>
      <c r="BG72" s="64">
        <v>19.335793908837744</v>
      </c>
      <c r="BH72" s="64">
        <v>36.463567356045878</v>
      </c>
      <c r="BI72" s="64">
        <v>5.8952245054862926</v>
      </c>
      <c r="BJ72" s="64">
        <v>19.135942097788277</v>
      </c>
      <c r="BK72" s="64">
        <v>11.474496974697427</v>
      </c>
      <c r="BL72" s="64">
        <v>71.150698772237234</v>
      </c>
      <c r="BM72" s="64">
        <v>9.4316073050547669</v>
      </c>
      <c r="BN72" s="64">
        <v>9.8744960522475314</v>
      </c>
      <c r="BO72" s="64">
        <v>11.745661851942595</v>
      </c>
      <c r="BP72" s="64">
        <v>10.457676904873127</v>
      </c>
      <c r="BQ72" s="64">
        <v>6.2536787846627906</v>
      </c>
      <c r="BR72" s="64">
        <v>5.7794493945796646</v>
      </c>
      <c r="BS72" s="64">
        <v>14.707041129411918</v>
      </c>
      <c r="BT72" s="64">
        <v>9.6073687809693897</v>
      </c>
      <c r="BU72" s="64">
        <v>5.927240726705354</v>
      </c>
      <c r="BV72" s="64">
        <v>5.8317110082936132</v>
      </c>
      <c r="BW72" s="64">
        <v>20.765854962133492</v>
      </c>
      <c r="BX72" s="64">
        <v>18.196039357205226</v>
      </c>
      <c r="BY72" s="64">
        <v>34.623123445687071</v>
      </c>
      <c r="BZ72" s="64">
        <v>47.676407473334088</v>
      </c>
      <c r="CA72" s="64">
        <v>6.0414278153475642</v>
      </c>
      <c r="CB72" s="64">
        <v>14.307447195772166</v>
      </c>
      <c r="CC72" s="64">
        <v>10.36311170670324</v>
      </c>
      <c r="CD72" s="64">
        <v>7.8492405407715484</v>
      </c>
      <c r="CE72" s="64">
        <v>13.380249299377207</v>
      </c>
      <c r="CF72" s="64">
        <v>21.314704171077651</v>
      </c>
      <c r="CG72" s="64">
        <v>5.7823402715471124</v>
      </c>
      <c r="CH72" s="64">
        <v>25.208294781341991</v>
      </c>
      <c r="CI72" s="64">
        <v>13.184211148530482</v>
      </c>
      <c r="CJ72" s="64">
        <v>14.676774220980079</v>
      </c>
      <c r="CK72" s="64">
        <v>12.335069811096881</v>
      </c>
      <c r="CL72" s="64">
        <v>39.642104825656865</v>
      </c>
      <c r="CM72" s="64">
        <v>6.8259066331977163</v>
      </c>
      <c r="CN72" s="64">
        <v>5.826796180748488</v>
      </c>
      <c r="CO72" s="64">
        <v>14.037250346411476</v>
      </c>
      <c r="CP72" s="64">
        <v>15.68525395599406</v>
      </c>
      <c r="CQ72" s="64">
        <v>-1.7121638154974368</v>
      </c>
      <c r="CR72" s="64">
        <v>5.8543814037299731</v>
      </c>
      <c r="CS72" s="64">
        <v>14.718537925588024</v>
      </c>
      <c r="CT72" s="64">
        <v>29.968693502812535</v>
      </c>
      <c r="CU72" s="64">
        <v>9.7108330839567536</v>
      </c>
      <c r="CV72" s="64">
        <v>6.2865858501996561</v>
      </c>
      <c r="CW72" s="64">
        <v>28.031746437343749</v>
      </c>
      <c r="CX72" s="64">
        <v>9.3667022563562021</v>
      </c>
      <c r="CY72" s="64">
        <v>8.4789251118340321</v>
      </c>
      <c r="CZ72" s="64">
        <v>13.096740465844499</v>
      </c>
      <c r="DA72" s="64">
        <v>13.495624413987301</v>
      </c>
      <c r="DB72" s="64">
        <v>12.700452240560704</v>
      </c>
      <c r="DC72" s="64">
        <v>11.826051985031974</v>
      </c>
      <c r="DD72" s="64">
        <v>19.564965983979501</v>
      </c>
      <c r="DE72" s="64">
        <v>11.986106824276867</v>
      </c>
      <c r="DF72" s="64">
        <v>11.661671242264802</v>
      </c>
      <c r="DG72" s="64">
        <v>20.364022756627929</v>
      </c>
      <c r="DH72" s="64">
        <v>5.6616712422648021</v>
      </c>
      <c r="DI72" s="64">
        <v>5.9295039815735384</v>
      </c>
      <c r="DJ72" s="64">
        <v>12.130032896833733</v>
      </c>
      <c r="DK72" s="64">
        <v>12.928560353273953</v>
      </c>
      <c r="DL72" s="64">
        <v>29.00251651656006</v>
      </c>
      <c r="DM72" s="64">
        <v>73.48312437393372</v>
      </c>
      <c r="DN72" s="64">
        <v>33.362654197602403</v>
      </c>
      <c r="DO72" s="64">
        <v>10.55203757084675</v>
      </c>
      <c r="DP72" s="64">
        <v>20.5707038364704</v>
      </c>
      <c r="DQ72" s="64">
        <v>12.445434565200632</v>
      </c>
      <c r="DR72" s="64">
        <v>5.7919197900671966</v>
      </c>
      <c r="DS72" s="64">
        <v>8.8843484418114418</v>
      </c>
      <c r="DT72" s="64">
        <v>34.94291687469866</v>
      </c>
      <c r="DU72" s="64">
        <v>44.841043804515067</v>
      </c>
      <c r="DV72" s="64">
        <v>20.028240696253086</v>
      </c>
      <c r="DW72" s="64">
        <v>16.325795276303626</v>
      </c>
      <c r="DX72" s="64">
        <v>17.307151663037921</v>
      </c>
      <c r="DY72" s="64">
        <v>9.7542953269992196</v>
      </c>
      <c r="DZ72" s="64">
        <v>18.643607980375929</v>
      </c>
      <c r="EA72" s="64">
        <v>9.2498432567223929</v>
      </c>
      <c r="EB72" s="64">
        <v>29.374277335797977</v>
      </c>
      <c r="EC72" s="64">
        <v>23.353687520894635</v>
      </c>
      <c r="ED72" s="64">
        <v>22.574056250575421</v>
      </c>
      <c r="EE72" s="64">
        <v>19.043705050240533</v>
      </c>
      <c r="EF72" s="64">
        <v>14.587422568018711</v>
      </c>
      <c r="EG72" s="64">
        <v>19.123475100110163</v>
      </c>
      <c r="EH72" s="64">
        <v>6.6557777064490313</v>
      </c>
      <c r="EI72" s="64">
        <v>15.656182182219821</v>
      </c>
      <c r="EJ72" s="64">
        <v>13.80814395089239</v>
      </c>
      <c r="EK72" s="64">
        <v>12.529347377083457</v>
      </c>
      <c r="EL72" s="64">
        <v>19.445161981432971</v>
      </c>
      <c r="EM72" s="64">
        <v>14.82309060515308</v>
      </c>
      <c r="EN72" s="64">
        <v>11.560840288192834</v>
      </c>
      <c r="EO72" s="64">
        <v>21.016302547482919</v>
      </c>
      <c r="EP72" s="64">
        <v>8.2953687055539884</v>
      </c>
      <c r="EQ72" s="64">
        <v>9.3497439567021683</v>
      </c>
      <c r="ER72" s="64">
        <v>16.947112602374144</v>
      </c>
      <c r="ES72" s="64">
        <v>14.612951853683562</v>
      </c>
    </row>
    <row r="73" spans="1:151" x14ac:dyDescent="0.3">
      <c r="A73" s="37" t="s">
        <v>12</v>
      </c>
      <c r="B73" s="64">
        <v>5.8658571516169156</v>
      </c>
      <c r="C73" s="64">
        <v>11.786447311664487</v>
      </c>
      <c r="D73" s="64">
        <v>9.3958828375407695</v>
      </c>
      <c r="E73" s="64">
        <v>15.753151864768723</v>
      </c>
      <c r="F73" s="64">
        <v>9.0697527168283774</v>
      </c>
      <c r="G73" s="64">
        <v>5.8705169702981888</v>
      </c>
      <c r="H73" s="64">
        <v>6.6625706793030446</v>
      </c>
      <c r="I73" s="64">
        <v>6.4781894304829173</v>
      </c>
      <c r="J73" s="64">
        <v>12.794881786819753</v>
      </c>
      <c r="K73" s="64">
        <v>18.699056708211003</v>
      </c>
      <c r="L73" s="64">
        <v>42.591344157458508</v>
      </c>
      <c r="M73" s="64">
        <v>15.950764506874535</v>
      </c>
      <c r="N73" s="64">
        <v>10.581719038173103</v>
      </c>
      <c r="O73" s="64">
        <v>12.976719930469331</v>
      </c>
      <c r="P73" s="64">
        <v>8.052925763328707</v>
      </c>
      <c r="Q73" s="64">
        <v>32.261427675113509</v>
      </c>
      <c r="R73" s="64">
        <v>22.834351373013625</v>
      </c>
      <c r="S73" s="64">
        <v>25.549914174095566</v>
      </c>
      <c r="T73" s="64">
        <v>10.161540900532401</v>
      </c>
      <c r="U73" s="64">
        <v>18.031856277956276</v>
      </c>
      <c r="V73" s="64">
        <v>18.781391805427958</v>
      </c>
      <c r="W73" s="64">
        <v>29.021621686091517</v>
      </c>
      <c r="X73" s="64">
        <v>11.616725028028931</v>
      </c>
      <c r="Y73" s="64">
        <v>5.8721447040613999</v>
      </c>
      <c r="Z73" s="64">
        <v>11.591057361042955</v>
      </c>
      <c r="AA73" s="64">
        <v>8.8834643979804362</v>
      </c>
      <c r="AB73" s="64">
        <v>27.780827310899102</v>
      </c>
      <c r="AC73" s="64">
        <v>21.502861203328138</v>
      </c>
      <c r="AD73" s="64">
        <v>21.031746245917653</v>
      </c>
      <c r="AE73" s="64">
        <v>8.4787614912814568</v>
      </c>
      <c r="AF73" s="64">
        <v>27.837976511310071</v>
      </c>
      <c r="AG73" s="64">
        <v>12.488761789538971</v>
      </c>
      <c r="AH73" s="64">
        <v>20.046685450313184</v>
      </c>
      <c r="AI73" s="64">
        <v>16.004915824811519</v>
      </c>
      <c r="AJ73" s="64">
        <v>11.787367295481127</v>
      </c>
      <c r="AK73" s="64">
        <v>18.255423571620561</v>
      </c>
      <c r="AL73" s="64">
        <v>22.606467940135122</v>
      </c>
      <c r="AM73" s="64">
        <v>31.462140429973196</v>
      </c>
      <c r="AN73" s="64">
        <v>12.510750367394103</v>
      </c>
      <c r="AO73" s="64">
        <v>5.9701798200685481</v>
      </c>
      <c r="AP73" s="64">
        <v>45.684349282296594</v>
      </c>
      <c r="AQ73" s="64">
        <v>14.390740604589487</v>
      </c>
      <c r="AR73" s="64">
        <v>17.206544296115545</v>
      </c>
      <c r="AS73" s="64">
        <v>28.337877264692139</v>
      </c>
      <c r="AT73" s="64">
        <v>19.218557371394628</v>
      </c>
      <c r="AU73" s="64">
        <v>18.396416696736399</v>
      </c>
      <c r="AV73" s="64">
        <v>11.049542054919183</v>
      </c>
      <c r="AW73" s="64">
        <v>5.5833847072683263</v>
      </c>
      <c r="AX73" s="64">
        <v>13.977177373611738</v>
      </c>
      <c r="AY73" s="64">
        <v>7.7554800924313056</v>
      </c>
      <c r="AZ73" s="64">
        <v>13.716608314620265</v>
      </c>
      <c r="BA73" s="64">
        <v>8.7950785514521428</v>
      </c>
      <c r="BB73" s="64">
        <v>32.370768507944078</v>
      </c>
      <c r="BC73" s="64">
        <v>15.076238231899184</v>
      </c>
      <c r="BD73" s="64">
        <v>11.040217394744666</v>
      </c>
      <c r="BE73" s="64">
        <v>17.017805922634132</v>
      </c>
      <c r="BF73" s="64">
        <v>15.263242006532362</v>
      </c>
      <c r="BG73" s="64">
        <v>19.335793908837744</v>
      </c>
      <c r="BH73" s="64">
        <v>36.463567356045878</v>
      </c>
      <c r="BI73" s="64">
        <v>5.8952245054862926</v>
      </c>
      <c r="BJ73" s="64">
        <v>20.135942097788256</v>
      </c>
      <c r="BK73" s="64">
        <v>11.474496974697427</v>
      </c>
      <c r="BL73" s="64">
        <v>71.150698772237234</v>
      </c>
      <c r="BM73" s="64">
        <v>10.281607305054765</v>
      </c>
      <c r="BN73" s="64">
        <v>10.724496052247527</v>
      </c>
      <c r="BO73" s="64">
        <v>11.745661851942595</v>
      </c>
      <c r="BP73" s="64">
        <v>10.457676904873127</v>
      </c>
      <c r="BQ73" s="64">
        <v>6.2536787846627906</v>
      </c>
      <c r="BR73" s="64">
        <v>5.7794493945796646</v>
      </c>
      <c r="BS73" s="64">
        <v>14.707041129411918</v>
      </c>
      <c r="BT73" s="64">
        <v>9.6073687809693897</v>
      </c>
      <c r="BU73" s="64">
        <v>5.927240726705354</v>
      </c>
      <c r="BV73" s="64">
        <v>5.8317110082936132</v>
      </c>
      <c r="BW73" s="64">
        <v>20.765854962133492</v>
      </c>
      <c r="BX73" s="64">
        <v>19.196039357205226</v>
      </c>
      <c r="BY73" s="64">
        <v>34.623123445687071</v>
      </c>
      <c r="BZ73" s="64">
        <v>47.676407473334088</v>
      </c>
      <c r="CA73" s="64">
        <v>6.0414278153475642</v>
      </c>
      <c r="CB73" s="64">
        <v>15.157447195772175</v>
      </c>
      <c r="CC73" s="64">
        <v>10.36311170670324</v>
      </c>
      <c r="CD73" s="64">
        <v>7.8492405407715484</v>
      </c>
      <c r="CE73" s="64">
        <v>13.380249299377207</v>
      </c>
      <c r="CF73" s="64">
        <v>21.314704171077651</v>
      </c>
      <c r="CG73" s="64">
        <v>5.7823402715471124</v>
      </c>
      <c r="CH73" s="64">
        <v>25.208294781341991</v>
      </c>
      <c r="CI73" s="64">
        <v>13.184211148530482</v>
      </c>
      <c r="CJ73" s="64">
        <v>15.526774220980084</v>
      </c>
      <c r="CK73" s="64">
        <v>12.335069811096881</v>
      </c>
      <c r="CL73" s="64">
        <v>39.642104825656865</v>
      </c>
      <c r="CM73" s="64">
        <v>6.8259066331977163</v>
      </c>
      <c r="CN73" s="64">
        <v>5.826796180748488</v>
      </c>
      <c r="CO73" s="64">
        <v>14.887250346411466</v>
      </c>
      <c r="CP73" s="64">
        <v>16.535253955994065</v>
      </c>
      <c r="CQ73" s="64">
        <v>-1.7121638154974368</v>
      </c>
      <c r="CR73" s="64">
        <v>5.8543814037299731</v>
      </c>
      <c r="CS73" s="64">
        <v>15.718537925588032</v>
      </c>
      <c r="CT73" s="64">
        <v>29.968693502812535</v>
      </c>
      <c r="CU73" s="64">
        <v>9.7108330839567536</v>
      </c>
      <c r="CV73" s="64">
        <v>6.2865858501996561</v>
      </c>
      <c r="CW73" s="64">
        <v>28.031746437343749</v>
      </c>
      <c r="CX73" s="64">
        <v>9.3667022563562021</v>
      </c>
      <c r="CY73" s="64">
        <v>8.4789251118340321</v>
      </c>
      <c r="CZ73" s="64">
        <v>13.096740465844499</v>
      </c>
      <c r="DA73" s="64">
        <v>14.345624413987293</v>
      </c>
      <c r="DB73" s="64">
        <v>12.700452240560704</v>
      </c>
      <c r="DC73" s="64">
        <v>12.676051985031966</v>
      </c>
      <c r="DD73" s="64">
        <v>19.564965983979501</v>
      </c>
      <c r="DE73" s="64">
        <v>11.986106824276867</v>
      </c>
      <c r="DF73" s="64">
        <v>11.661671242264802</v>
      </c>
      <c r="DG73" s="64">
        <v>21.364022756627929</v>
      </c>
      <c r="DH73" s="64">
        <v>5.6616712422648021</v>
      </c>
      <c r="DI73" s="64">
        <v>5.9295039815735384</v>
      </c>
      <c r="DJ73" s="64">
        <v>12.130032896833733</v>
      </c>
      <c r="DK73" s="64">
        <v>12.928560353273953</v>
      </c>
      <c r="DL73" s="64">
        <v>29.00251651656006</v>
      </c>
      <c r="DM73" s="64">
        <v>73.48312437393372</v>
      </c>
      <c r="DN73" s="64">
        <v>33.362654197602403</v>
      </c>
      <c r="DO73" s="64">
        <v>11.552037570846748</v>
      </c>
      <c r="DP73" s="64">
        <v>20.5707038364704</v>
      </c>
      <c r="DQ73" s="64">
        <v>12.445434565200632</v>
      </c>
      <c r="DR73" s="64">
        <v>5.7919197900671966</v>
      </c>
      <c r="DS73" s="64">
        <v>8.8843484418114418</v>
      </c>
      <c r="DT73" s="64">
        <v>34.94291687469866</v>
      </c>
      <c r="DU73" s="64">
        <v>45.691043804515068</v>
      </c>
      <c r="DV73" s="64">
        <v>20.028240696253086</v>
      </c>
      <c r="DW73" s="64">
        <v>16.325795276303626</v>
      </c>
      <c r="DX73" s="64">
        <v>17.307151663037921</v>
      </c>
      <c r="DY73" s="64">
        <v>9.7542953269992196</v>
      </c>
      <c r="DZ73" s="64">
        <v>18.643607980375929</v>
      </c>
      <c r="EA73" s="64">
        <v>10.099843256722393</v>
      </c>
      <c r="EB73" s="64">
        <v>29.374277335797977</v>
      </c>
      <c r="EC73" s="64">
        <v>23.353687520894635</v>
      </c>
      <c r="ED73" s="64">
        <v>22.574056250575421</v>
      </c>
      <c r="EE73" s="64">
        <v>19.043705050240533</v>
      </c>
      <c r="EF73" s="64">
        <v>14.587422568018711</v>
      </c>
      <c r="EG73" s="64">
        <v>19.123475100110163</v>
      </c>
      <c r="EH73" s="64">
        <v>6.6557777064490313</v>
      </c>
      <c r="EI73" s="64">
        <v>15.656182182219821</v>
      </c>
      <c r="EJ73" s="64">
        <v>14.658143950892391</v>
      </c>
      <c r="EK73" s="64">
        <v>13.379347377083452</v>
      </c>
      <c r="EL73" s="64">
        <v>19.445161981432971</v>
      </c>
      <c r="EM73" s="64">
        <v>14.82309060515308</v>
      </c>
      <c r="EN73" s="64">
        <v>11.560840288192834</v>
      </c>
      <c r="EO73" s="64">
        <v>21.016302547482919</v>
      </c>
      <c r="EP73" s="64">
        <v>8.2953687055539884</v>
      </c>
      <c r="EQ73" s="64">
        <v>10.199743956702179</v>
      </c>
      <c r="ER73" s="64">
        <v>17.798913412962197</v>
      </c>
      <c r="ES73" s="64">
        <v>15.462951853683567</v>
      </c>
    </row>
    <row r="74" spans="1:151" x14ac:dyDescent="0.3">
      <c r="A74" s="37" t="s">
        <v>27</v>
      </c>
      <c r="B74" s="64">
        <v>9.3658571516169147</v>
      </c>
      <c r="C74" s="64">
        <v>11.786447311664487</v>
      </c>
      <c r="D74" s="64">
        <v>10.245882837540771</v>
      </c>
      <c r="E74" s="64">
        <v>16.603151864768723</v>
      </c>
      <c r="F74" s="64">
        <v>12.569752716828377</v>
      </c>
      <c r="G74" s="64">
        <v>9.3705169702981905</v>
      </c>
      <c r="H74" s="64">
        <v>10.162570679303046</v>
      </c>
      <c r="I74" s="64">
        <v>10.828189430482913</v>
      </c>
      <c r="J74" s="64">
        <v>12.794881786819753</v>
      </c>
      <c r="K74" s="64">
        <v>19.549056708211001</v>
      </c>
      <c r="L74" s="64">
        <v>38.241344157458492</v>
      </c>
      <c r="M74" s="64">
        <v>19.450764506874542</v>
      </c>
      <c r="N74" s="64">
        <v>9.7317190381731038</v>
      </c>
      <c r="O74" s="64">
        <v>13.826719930469341</v>
      </c>
      <c r="P74" s="64">
        <v>11.552925763328709</v>
      </c>
      <c r="Q74" s="64">
        <v>28.011427675113534</v>
      </c>
      <c r="R74" s="64">
        <v>26.334351373013618</v>
      </c>
      <c r="S74" s="64">
        <v>21.199914174095575</v>
      </c>
      <c r="T74" s="64">
        <v>5.8115409005324015</v>
      </c>
      <c r="U74" s="64">
        <v>17.181856277956271</v>
      </c>
      <c r="V74" s="64">
        <v>14.431391805427959</v>
      </c>
      <c r="W74" s="64">
        <v>33.371621686091508</v>
      </c>
      <c r="X74" s="64">
        <v>11.616725028028931</v>
      </c>
      <c r="Y74" s="64">
        <v>9.3721447040613999</v>
      </c>
      <c r="Z74" s="64">
        <v>7.2410573610429614</v>
      </c>
      <c r="AA74" s="64">
        <v>12.383464397980424</v>
      </c>
      <c r="AB74" s="64">
        <v>23.530827310899081</v>
      </c>
      <c r="AC74" s="64">
        <v>17.152861203328136</v>
      </c>
      <c r="AD74" s="64">
        <v>21.031746245917653</v>
      </c>
      <c r="AE74" s="64">
        <v>12.828761491281453</v>
      </c>
      <c r="AF74" s="64">
        <v>23.487976511310073</v>
      </c>
      <c r="AG74" s="64">
        <v>11.638761789538977</v>
      </c>
      <c r="AH74" s="64">
        <v>19.196685450313186</v>
      </c>
      <c r="AI74" s="64">
        <v>15.154915824811519</v>
      </c>
      <c r="AJ74" s="64">
        <v>10.937367295481129</v>
      </c>
      <c r="AK74" s="64">
        <v>17.405423571620556</v>
      </c>
      <c r="AL74" s="64">
        <v>18.256467940135114</v>
      </c>
      <c r="AM74" s="64">
        <v>27.112140429973181</v>
      </c>
      <c r="AN74" s="64">
        <v>11.660750367394099</v>
      </c>
      <c r="AO74" s="64">
        <v>9.4701798200685516</v>
      </c>
      <c r="AP74" s="64">
        <v>41.334349282296593</v>
      </c>
      <c r="AQ74" s="64">
        <v>17.890740604589485</v>
      </c>
      <c r="AR74" s="64">
        <v>12.856544296115553</v>
      </c>
      <c r="AS74" s="64">
        <v>28.337877264692139</v>
      </c>
      <c r="AT74" s="64">
        <v>18.368557371394616</v>
      </c>
      <c r="AU74" s="64">
        <v>21.896416696736395</v>
      </c>
      <c r="AV74" s="64">
        <v>14.549542054919183</v>
      </c>
      <c r="AW74" s="64">
        <v>9.9333847072683259</v>
      </c>
      <c r="AX74" s="64">
        <v>9.7118301639132909</v>
      </c>
      <c r="AY74" s="64">
        <v>11.255480092431299</v>
      </c>
      <c r="AZ74" s="64">
        <v>12.866608314620263</v>
      </c>
      <c r="BA74" s="64">
        <v>12.295078551452141</v>
      </c>
      <c r="BB74" s="64">
        <v>31.520768507944087</v>
      </c>
      <c r="BC74" s="64">
        <v>14.226238231899179</v>
      </c>
      <c r="BD74" s="64">
        <v>15.390217394744665</v>
      </c>
      <c r="BE74" s="64">
        <v>12.767805922634137</v>
      </c>
      <c r="BF74" s="64">
        <v>15.263242006532362</v>
      </c>
      <c r="BG74" s="64">
        <v>14.985793908837742</v>
      </c>
      <c r="BH74" s="64">
        <v>39.963567356045893</v>
      </c>
      <c r="BI74" s="64">
        <v>10.245224505486298</v>
      </c>
      <c r="BJ74" s="64">
        <v>20.135942097788256</v>
      </c>
      <c r="BK74" s="64">
        <v>14.974496974697427</v>
      </c>
      <c r="BL74" s="64">
        <v>71.150698772237234</v>
      </c>
      <c r="BM74" s="64">
        <v>9.4316073050547669</v>
      </c>
      <c r="BN74" s="64">
        <v>9.8744960522475314</v>
      </c>
      <c r="BO74" s="64">
        <v>11.745661851942595</v>
      </c>
      <c r="BP74" s="64">
        <v>10.457676904873127</v>
      </c>
      <c r="BQ74" s="64">
        <v>9.7536787846627941</v>
      </c>
      <c r="BR74" s="64">
        <v>10.12944939457967</v>
      </c>
      <c r="BS74" s="64">
        <v>15.557041129411923</v>
      </c>
      <c r="BT74" s="64">
        <v>13.107368780969395</v>
      </c>
      <c r="BU74" s="64">
        <v>9.4272407267053548</v>
      </c>
      <c r="BV74" s="64">
        <v>9.3317110082936097</v>
      </c>
      <c r="BW74" s="64">
        <v>16.515854962133496</v>
      </c>
      <c r="BX74" s="64">
        <v>19.196039357205226</v>
      </c>
      <c r="BY74" s="64">
        <v>38.973123445687079</v>
      </c>
      <c r="BZ74" s="64">
        <v>47.676407473334088</v>
      </c>
      <c r="CA74" s="64">
        <v>9.5414278153475625</v>
      </c>
      <c r="CB74" s="64">
        <v>14.307447195772166</v>
      </c>
      <c r="CC74" s="64">
        <v>13.863625557375471</v>
      </c>
      <c r="CD74" s="64">
        <v>12.199240540771543</v>
      </c>
      <c r="CE74" s="64">
        <v>14.23024929937721</v>
      </c>
      <c r="CF74" s="64">
        <v>16.964704171077649</v>
      </c>
      <c r="CG74" s="64">
        <v>9.2823402715471115</v>
      </c>
      <c r="CH74" s="64">
        <v>25.208294781341991</v>
      </c>
      <c r="CI74" s="64">
        <v>16.684211148530483</v>
      </c>
      <c r="CJ74" s="64">
        <v>14.676774220980079</v>
      </c>
      <c r="CK74" s="64">
        <v>15.835069811096886</v>
      </c>
      <c r="CL74" s="64">
        <v>35.392104825656872</v>
      </c>
      <c r="CM74" s="64">
        <v>10.325906633197722</v>
      </c>
      <c r="CN74" s="64">
        <v>10.176796180748488</v>
      </c>
      <c r="CO74" s="64">
        <v>14.037250346411476</v>
      </c>
      <c r="CP74" s="64">
        <v>15.68525395599406</v>
      </c>
      <c r="CQ74" s="64">
        <v>-0.86216381549743704</v>
      </c>
      <c r="CR74" s="64">
        <v>9.3543814037299793</v>
      </c>
      <c r="CS74" s="64">
        <v>15.718537925588032</v>
      </c>
      <c r="CT74" s="64">
        <v>25.61869350281253</v>
      </c>
      <c r="CU74" s="64">
        <v>14.060833083956757</v>
      </c>
      <c r="CV74" s="64">
        <v>9.7865858501996534</v>
      </c>
      <c r="CW74" s="64">
        <v>23.681746437343737</v>
      </c>
      <c r="CX74" s="64">
        <v>10.216702256356212</v>
      </c>
      <c r="CY74" s="64">
        <v>11.978925111834025</v>
      </c>
      <c r="CZ74" s="64">
        <v>8.7467404658444945</v>
      </c>
      <c r="DA74" s="64">
        <v>13.495624413987301</v>
      </c>
      <c r="DB74" s="64">
        <v>8.4504522405607077</v>
      </c>
      <c r="DC74" s="64">
        <v>11.826051985031974</v>
      </c>
      <c r="DD74" s="64">
        <v>20.414965983979506</v>
      </c>
      <c r="DE74" s="64">
        <v>12.836106824276863</v>
      </c>
      <c r="DF74" s="64">
        <v>12.511671242264802</v>
      </c>
      <c r="DG74" s="64">
        <v>21.364022756627929</v>
      </c>
      <c r="DH74" s="64">
        <v>9.1616712422648039</v>
      </c>
      <c r="DI74" s="64">
        <v>9.4295039815735429</v>
      </c>
      <c r="DJ74" s="64">
        <v>7.7800328968337231</v>
      </c>
      <c r="DK74" s="64">
        <v>13.778560353273953</v>
      </c>
      <c r="DL74" s="64">
        <v>24.652516516560059</v>
      </c>
      <c r="DM74" s="64">
        <v>69.133124373933711</v>
      </c>
      <c r="DN74" s="64">
        <v>29.012654197602409</v>
      </c>
      <c r="DO74" s="64">
        <v>11.552037570846748</v>
      </c>
      <c r="DP74" s="64">
        <v>16.220703836470403</v>
      </c>
      <c r="DQ74" s="64">
        <v>15.94543456520063</v>
      </c>
      <c r="DR74" s="64">
        <v>9.2919197900671993</v>
      </c>
      <c r="DS74" s="64">
        <v>13.234348441811441</v>
      </c>
      <c r="DT74" s="64">
        <v>30.592916874698656</v>
      </c>
      <c r="DU74" s="64">
        <v>44.841043804515067</v>
      </c>
      <c r="DV74" s="64">
        <v>15.678240696253091</v>
      </c>
      <c r="DW74" s="64">
        <v>17.175795276303635</v>
      </c>
      <c r="DX74" s="64">
        <v>18.157151663037929</v>
      </c>
      <c r="DY74" s="64">
        <v>14.104295326999226</v>
      </c>
      <c r="DZ74" s="64">
        <v>19.49360798037592</v>
      </c>
      <c r="EA74" s="64">
        <v>9.2498432567223929</v>
      </c>
      <c r="EB74" s="64">
        <v>25.066107269846512</v>
      </c>
      <c r="EC74" s="64">
        <v>19.003687520894641</v>
      </c>
      <c r="ED74" s="64">
        <v>18.224056250575419</v>
      </c>
      <c r="EE74" s="64">
        <v>19.893705050240545</v>
      </c>
      <c r="EF74" s="64">
        <v>18.08742256801871</v>
      </c>
      <c r="EG74" s="64">
        <v>22.623475100110159</v>
      </c>
      <c r="EH74" s="64">
        <v>11.005777706449031</v>
      </c>
      <c r="EI74" s="64">
        <v>15.656182182219821</v>
      </c>
      <c r="EJ74" s="64">
        <v>13.80814395089239</v>
      </c>
      <c r="EK74" s="64">
        <v>12.529347377083457</v>
      </c>
      <c r="EL74" s="64">
        <v>19.445161981432971</v>
      </c>
      <c r="EM74" s="64">
        <v>14.82309060515308</v>
      </c>
      <c r="EN74" s="64">
        <v>15.060840288192832</v>
      </c>
      <c r="EO74" s="64">
        <v>21.016302547482919</v>
      </c>
      <c r="EP74" s="64">
        <v>11.795368705553987</v>
      </c>
      <c r="EQ74" s="64">
        <v>9.3497439567021683</v>
      </c>
      <c r="ER74" s="64">
        <v>16.959118006294549</v>
      </c>
      <c r="ES74" s="64">
        <v>14.612951853683562</v>
      </c>
    </row>
    <row r="75" spans="1:151" x14ac:dyDescent="0.3">
      <c r="A75" s="37" t="s">
        <v>25</v>
      </c>
      <c r="B75" s="64">
        <v>9.3658571516169147</v>
      </c>
      <c r="C75" s="64">
        <v>8.2864473116644959</v>
      </c>
      <c r="D75" s="64">
        <v>5.8958828375407704</v>
      </c>
      <c r="E75" s="64">
        <v>12.253151864768729</v>
      </c>
      <c r="F75" s="64">
        <v>12.569752716828377</v>
      </c>
      <c r="G75" s="64">
        <v>9.3705169702981905</v>
      </c>
      <c r="H75" s="64">
        <v>10.162570679303046</v>
      </c>
      <c r="I75" s="64">
        <v>10.828189430482913</v>
      </c>
      <c r="J75" s="64">
        <v>9.2948817868197509</v>
      </c>
      <c r="K75" s="64">
        <v>15.199056708210994</v>
      </c>
      <c r="L75" s="64">
        <v>42.591344157458508</v>
      </c>
      <c r="M75" s="64">
        <v>19.450764506874542</v>
      </c>
      <c r="N75" s="64">
        <v>8.731719038173102</v>
      </c>
      <c r="O75" s="64">
        <v>9.4767199304693381</v>
      </c>
      <c r="P75" s="64">
        <v>11.552925763328709</v>
      </c>
      <c r="Q75" s="64">
        <v>32.261427675113509</v>
      </c>
      <c r="R75" s="64">
        <v>26.334351373013618</v>
      </c>
      <c r="S75" s="64">
        <v>25.549914174095566</v>
      </c>
      <c r="T75" s="64">
        <v>10.161540900532401</v>
      </c>
      <c r="U75" s="64">
        <v>16.181856277956268</v>
      </c>
      <c r="V75" s="64">
        <v>18.781391805427958</v>
      </c>
      <c r="W75" s="64">
        <v>33.371621686091508</v>
      </c>
      <c r="X75" s="64">
        <v>8.1167250280289327</v>
      </c>
      <c r="Y75" s="64">
        <v>9.3721447040613999</v>
      </c>
      <c r="Z75" s="64">
        <v>11.591057361042955</v>
      </c>
      <c r="AA75" s="64">
        <v>12.383464397980424</v>
      </c>
      <c r="AB75" s="64">
        <v>27.780827310899102</v>
      </c>
      <c r="AC75" s="64">
        <v>21.502861203328138</v>
      </c>
      <c r="AD75" s="64">
        <v>21.031746245917653</v>
      </c>
      <c r="AE75" s="64">
        <v>12.828761491281453</v>
      </c>
      <c r="AF75" s="64">
        <v>27.837976511310071</v>
      </c>
      <c r="AG75" s="64">
        <v>10.638761789538977</v>
      </c>
      <c r="AH75" s="64">
        <v>18.196685450313186</v>
      </c>
      <c r="AI75" s="64">
        <v>14.154915824811523</v>
      </c>
      <c r="AJ75" s="64">
        <v>9.9373672954811312</v>
      </c>
      <c r="AK75" s="64">
        <v>16.405423571620553</v>
      </c>
      <c r="AL75" s="64">
        <v>22.606467940135122</v>
      </c>
      <c r="AM75" s="64">
        <v>31.462140429973196</v>
      </c>
      <c r="AN75" s="64">
        <v>10.660750367394098</v>
      </c>
      <c r="AO75" s="64">
        <v>9.4701798200685516</v>
      </c>
      <c r="AP75" s="64">
        <v>45.684349282296594</v>
      </c>
      <c r="AQ75" s="64">
        <v>17.890740604589485</v>
      </c>
      <c r="AR75" s="64">
        <v>17.206544296115545</v>
      </c>
      <c r="AS75" s="64">
        <v>28.337877264692139</v>
      </c>
      <c r="AT75" s="64">
        <v>17.368557371394619</v>
      </c>
      <c r="AU75" s="64">
        <v>21.896416696736395</v>
      </c>
      <c r="AV75" s="64">
        <v>14.549542054919183</v>
      </c>
      <c r="AW75" s="64">
        <v>9.9333847072683259</v>
      </c>
      <c r="AX75" s="64">
        <v>13.920199533985691</v>
      </c>
      <c r="AY75" s="64">
        <v>11.255480092431299</v>
      </c>
      <c r="AZ75" s="64">
        <v>11.866608314620258</v>
      </c>
      <c r="BA75" s="64">
        <v>12.295078551452141</v>
      </c>
      <c r="BB75" s="64">
        <v>30.52076850794408</v>
      </c>
      <c r="BC75" s="64">
        <v>13.226238231899179</v>
      </c>
      <c r="BD75" s="64">
        <v>15.390217394744665</v>
      </c>
      <c r="BE75" s="64">
        <v>17.017805922634132</v>
      </c>
      <c r="BF75" s="64">
        <v>15.263242006532362</v>
      </c>
      <c r="BG75" s="64">
        <v>19.335793908837744</v>
      </c>
      <c r="BH75" s="64">
        <v>39.963567356045893</v>
      </c>
      <c r="BI75" s="64">
        <v>10.245224505486298</v>
      </c>
      <c r="BJ75" s="64">
        <v>16.635942097788273</v>
      </c>
      <c r="BK75" s="64">
        <v>14.974496974697427</v>
      </c>
      <c r="BL75" s="64">
        <v>71.150698772237234</v>
      </c>
      <c r="BM75" s="64">
        <v>8.4316073050547633</v>
      </c>
      <c r="BN75" s="64">
        <v>8.8744960522475331</v>
      </c>
      <c r="BO75" s="64">
        <v>11.745661851942595</v>
      </c>
      <c r="BP75" s="64">
        <v>10.457676904873127</v>
      </c>
      <c r="BQ75" s="64">
        <v>9.7536787846627941</v>
      </c>
      <c r="BR75" s="64">
        <v>10.12944939457967</v>
      </c>
      <c r="BS75" s="64">
        <v>11.207041129411913</v>
      </c>
      <c r="BT75" s="64">
        <v>13.107368780969395</v>
      </c>
      <c r="BU75" s="64">
        <v>9.4272407267053548</v>
      </c>
      <c r="BV75" s="64">
        <v>9.3317110082936097</v>
      </c>
      <c r="BW75" s="64">
        <v>20.765854962133492</v>
      </c>
      <c r="BX75" s="64">
        <v>15.696039357205237</v>
      </c>
      <c r="BY75" s="64">
        <v>38.973123445687079</v>
      </c>
      <c r="BZ75" s="64">
        <v>47.676407473334088</v>
      </c>
      <c r="CA75" s="64">
        <v>9.5414278153475625</v>
      </c>
      <c r="CB75" s="64">
        <v>13.307447195772159</v>
      </c>
      <c r="CC75" s="64">
        <v>13.863625557375471</v>
      </c>
      <c r="CD75" s="64">
        <v>12.199240540771543</v>
      </c>
      <c r="CE75" s="64">
        <v>9.8802492993772102</v>
      </c>
      <c r="CF75" s="64">
        <v>21.314704171077651</v>
      </c>
      <c r="CG75" s="64">
        <v>9.2823402715471115</v>
      </c>
      <c r="CH75" s="64">
        <v>25.208294781341991</v>
      </c>
      <c r="CI75" s="64">
        <v>16.684211148530483</v>
      </c>
      <c r="CJ75" s="64">
        <v>13.676774220980086</v>
      </c>
      <c r="CK75" s="64">
        <v>15.835069811096886</v>
      </c>
      <c r="CL75" s="64">
        <v>39.642104825656865</v>
      </c>
      <c r="CM75" s="64">
        <v>10.325906633197722</v>
      </c>
      <c r="CN75" s="64">
        <v>10.176796180748488</v>
      </c>
      <c r="CO75" s="64">
        <v>13.037250346411472</v>
      </c>
      <c r="CP75" s="64">
        <v>14.685253955994055</v>
      </c>
      <c r="CQ75" s="64">
        <v>-5.2121638154974361</v>
      </c>
      <c r="CR75" s="64">
        <v>9.3543814037299793</v>
      </c>
      <c r="CS75" s="64">
        <v>12.218537925588052</v>
      </c>
      <c r="CT75" s="64">
        <v>29.968693502812535</v>
      </c>
      <c r="CU75" s="64">
        <v>14.060833083956757</v>
      </c>
      <c r="CV75" s="64">
        <v>9.7865858501996534</v>
      </c>
      <c r="CW75" s="64">
        <v>28.031746437343749</v>
      </c>
      <c r="CX75" s="64">
        <v>5.8667022563562119</v>
      </c>
      <c r="CY75" s="64">
        <v>11.978925111834025</v>
      </c>
      <c r="CZ75" s="64">
        <v>13.096740465844499</v>
      </c>
      <c r="DA75" s="64">
        <v>12.495624413987299</v>
      </c>
      <c r="DB75" s="64">
        <v>12.700452240560704</v>
      </c>
      <c r="DC75" s="64">
        <v>10.826051985031972</v>
      </c>
      <c r="DD75" s="64">
        <v>16.064965983979508</v>
      </c>
      <c r="DE75" s="64">
        <v>8.4861068242768631</v>
      </c>
      <c r="DF75" s="64">
        <v>8.1616712422648021</v>
      </c>
      <c r="DG75" s="64">
        <v>17.864022756627932</v>
      </c>
      <c r="DH75" s="64">
        <v>9.1616712422648039</v>
      </c>
      <c r="DI75" s="64">
        <v>9.4295039815735429</v>
      </c>
      <c r="DJ75" s="64">
        <v>12.130032896833733</v>
      </c>
      <c r="DK75" s="64">
        <v>9.4285603532739533</v>
      </c>
      <c r="DL75" s="64">
        <v>29.00251651656006</v>
      </c>
      <c r="DM75" s="64">
        <v>73.48312437393372</v>
      </c>
      <c r="DN75" s="64">
        <v>33.362654197602403</v>
      </c>
      <c r="DO75" s="64">
        <v>8.0520375708467498</v>
      </c>
      <c r="DP75" s="64">
        <v>20.5707038364704</v>
      </c>
      <c r="DQ75" s="64">
        <v>15.94543456520063</v>
      </c>
      <c r="DR75" s="64">
        <v>9.2919197900671993</v>
      </c>
      <c r="DS75" s="64">
        <v>13.234348441811441</v>
      </c>
      <c r="DT75" s="64">
        <v>34.94291687469866</v>
      </c>
      <c r="DU75" s="64">
        <v>43.841043804515074</v>
      </c>
      <c r="DV75" s="64">
        <v>20.028240696253086</v>
      </c>
      <c r="DW75" s="64">
        <v>12.825795276303632</v>
      </c>
      <c r="DX75" s="64">
        <v>13.807151663037921</v>
      </c>
      <c r="DY75" s="64">
        <v>14.104295326999226</v>
      </c>
      <c r="DZ75" s="64">
        <v>15.143607980375926</v>
      </c>
      <c r="EA75" s="64">
        <v>8.2498432567223965</v>
      </c>
      <c r="EB75" s="64">
        <v>29.374277335797977</v>
      </c>
      <c r="EC75" s="64">
        <v>23.353687520894635</v>
      </c>
      <c r="ED75" s="64">
        <v>22.574056250575421</v>
      </c>
      <c r="EE75" s="64">
        <v>15.543705050240535</v>
      </c>
      <c r="EF75" s="64">
        <v>18.08742256801871</v>
      </c>
      <c r="EG75" s="64">
        <v>22.623475100110159</v>
      </c>
      <c r="EH75" s="64">
        <v>11.005777706449031</v>
      </c>
      <c r="EI75" s="64">
        <v>15.656182182219821</v>
      </c>
      <c r="EJ75" s="64">
        <v>12.808143950892388</v>
      </c>
      <c r="EK75" s="64">
        <v>11.529347377083456</v>
      </c>
      <c r="EL75" s="64">
        <v>19.445161981432971</v>
      </c>
      <c r="EM75" s="64">
        <v>14.82309060515308</v>
      </c>
      <c r="EN75" s="64">
        <v>15.060840288192832</v>
      </c>
      <c r="EO75" s="64">
        <v>21.016302547482919</v>
      </c>
      <c r="EP75" s="64">
        <v>11.795368705553987</v>
      </c>
      <c r="EQ75" s="64">
        <v>8.3497439567021718</v>
      </c>
      <c r="ER75" s="64">
        <v>15.929104496493526</v>
      </c>
      <c r="ES75" s="64">
        <v>13.612951853683565</v>
      </c>
      <c r="EU75" s="65"/>
    </row>
    <row r="76" spans="1:151" x14ac:dyDescent="0.3">
      <c r="A76" s="37" t="s">
        <v>8</v>
      </c>
      <c r="B76" s="64">
        <v>9.3658571516169147</v>
      </c>
      <c r="C76" s="64">
        <v>11.786447311664487</v>
      </c>
      <c r="D76" s="64">
        <v>10.245882837540771</v>
      </c>
      <c r="E76" s="64">
        <v>16.603151864768723</v>
      </c>
      <c r="F76" s="64">
        <v>12.569752716828377</v>
      </c>
      <c r="G76" s="64">
        <v>9.3705169702981905</v>
      </c>
      <c r="H76" s="64">
        <v>10.162570679303046</v>
      </c>
      <c r="I76" s="64">
        <v>10.828189430482913</v>
      </c>
      <c r="J76" s="64">
        <v>12.794881786819753</v>
      </c>
      <c r="K76" s="64">
        <v>19.549056708211001</v>
      </c>
      <c r="L76" s="64">
        <v>38.241344157458492</v>
      </c>
      <c r="M76" s="64">
        <v>19.450764506874542</v>
      </c>
      <c r="N76" s="64">
        <v>9.7317190381731038</v>
      </c>
      <c r="O76" s="64">
        <v>13.826719930469341</v>
      </c>
      <c r="P76" s="64">
        <v>11.552925763328709</v>
      </c>
      <c r="Q76" s="64">
        <v>28.011427675113534</v>
      </c>
      <c r="R76" s="64">
        <v>26.334351373013618</v>
      </c>
      <c r="S76" s="64">
        <v>21.199914174095575</v>
      </c>
      <c r="T76" s="64">
        <v>5.8115409005324015</v>
      </c>
      <c r="U76" s="64">
        <v>17.181856277956271</v>
      </c>
      <c r="V76" s="64">
        <v>14.431391805427959</v>
      </c>
      <c r="W76" s="64">
        <v>33.371621686091508</v>
      </c>
      <c r="X76" s="64">
        <v>11.616725028028931</v>
      </c>
      <c r="Y76" s="64">
        <v>9.3721447040613999</v>
      </c>
      <c r="Z76" s="64">
        <v>7.2410573610429614</v>
      </c>
      <c r="AA76" s="64">
        <v>12.383464397980424</v>
      </c>
      <c r="AB76" s="64">
        <v>23.530827310899081</v>
      </c>
      <c r="AC76" s="64">
        <v>17.152861203328136</v>
      </c>
      <c r="AD76" s="64">
        <v>21.031746245917653</v>
      </c>
      <c r="AE76" s="64">
        <v>12.828761491281453</v>
      </c>
      <c r="AF76" s="64">
        <v>23.487976511310073</v>
      </c>
      <c r="AG76" s="64">
        <v>11.638761789538977</v>
      </c>
      <c r="AH76" s="64">
        <v>19.196685450313186</v>
      </c>
      <c r="AI76" s="64">
        <v>15.154915824811519</v>
      </c>
      <c r="AJ76" s="64">
        <v>10.937367295481129</v>
      </c>
      <c r="AK76" s="64">
        <v>17.405423571620556</v>
      </c>
      <c r="AL76" s="64">
        <v>18.256467940135114</v>
      </c>
      <c r="AM76" s="64">
        <v>27.112140429973181</v>
      </c>
      <c r="AN76" s="64">
        <v>11.660750367394099</v>
      </c>
      <c r="AO76" s="64">
        <v>9.4701798200685516</v>
      </c>
      <c r="AP76" s="64">
        <v>41.334349282296593</v>
      </c>
      <c r="AQ76" s="64">
        <v>17.890740604589485</v>
      </c>
      <c r="AR76" s="64">
        <v>12.856544296115553</v>
      </c>
      <c r="AS76" s="64">
        <v>28.337877264692139</v>
      </c>
      <c r="AT76" s="64">
        <v>18.368557371394616</v>
      </c>
      <c r="AU76" s="64">
        <v>21.896416696736395</v>
      </c>
      <c r="AV76" s="64">
        <v>14.549542054919183</v>
      </c>
      <c r="AW76" s="64">
        <v>9.9333847072683259</v>
      </c>
      <c r="AX76" s="64">
        <v>9.7118301639132909</v>
      </c>
      <c r="AY76" s="64">
        <v>11.255480092431299</v>
      </c>
      <c r="AZ76" s="64">
        <v>12.866608314620263</v>
      </c>
      <c r="BA76" s="64">
        <v>12.295078551452141</v>
      </c>
      <c r="BB76" s="64">
        <v>31.520768507944087</v>
      </c>
      <c r="BC76" s="64">
        <v>14.226238231899179</v>
      </c>
      <c r="BD76" s="64">
        <v>15.390217394744665</v>
      </c>
      <c r="BE76" s="64">
        <v>12.767805922634137</v>
      </c>
      <c r="BF76" s="64">
        <v>15.263242006532362</v>
      </c>
      <c r="BG76" s="64">
        <v>14.985793908837742</v>
      </c>
      <c r="BH76" s="64">
        <v>39.963567356045893</v>
      </c>
      <c r="BI76" s="64">
        <v>10.245224505486298</v>
      </c>
      <c r="BJ76" s="64">
        <v>20.135942097788256</v>
      </c>
      <c r="BK76" s="64">
        <v>14.974496974697427</v>
      </c>
      <c r="BL76" s="64">
        <v>71.150698772237234</v>
      </c>
      <c r="BM76" s="64">
        <v>9.4316073050547669</v>
      </c>
      <c r="BN76" s="64">
        <v>9.8744960522475314</v>
      </c>
      <c r="BO76" s="64">
        <v>11.745661851942595</v>
      </c>
      <c r="BP76" s="64">
        <v>10.457676904873127</v>
      </c>
      <c r="BQ76" s="64">
        <v>9.7536787846627941</v>
      </c>
      <c r="BR76" s="64">
        <v>10.12944939457967</v>
      </c>
      <c r="BS76" s="64">
        <v>15.557041129411923</v>
      </c>
      <c r="BT76" s="64">
        <v>13.107368780969395</v>
      </c>
      <c r="BU76" s="64">
        <v>9.4272407267053548</v>
      </c>
      <c r="BV76" s="64">
        <v>9.3317110082936097</v>
      </c>
      <c r="BW76" s="64">
        <v>16.515854962133496</v>
      </c>
      <c r="BX76" s="64">
        <v>19.196039357205226</v>
      </c>
      <c r="BY76" s="64">
        <v>38.973123445687079</v>
      </c>
      <c r="BZ76" s="64">
        <v>47.676407473334088</v>
      </c>
      <c r="CA76" s="64">
        <v>9.5414278153475625</v>
      </c>
      <c r="CB76" s="64">
        <v>14.307447195772166</v>
      </c>
      <c r="CC76" s="64">
        <v>13.863625557375471</v>
      </c>
      <c r="CD76" s="64">
        <v>12.199240540771543</v>
      </c>
      <c r="CE76" s="64">
        <v>14.23024929937721</v>
      </c>
      <c r="CF76" s="64">
        <v>16.964704171077649</v>
      </c>
      <c r="CG76" s="64">
        <v>9.2823402715471115</v>
      </c>
      <c r="CH76" s="64">
        <v>25.208294781341991</v>
      </c>
      <c r="CI76" s="64">
        <v>16.684211148530483</v>
      </c>
      <c r="CJ76" s="64">
        <v>14.676774220980079</v>
      </c>
      <c r="CK76" s="64">
        <v>15.835069811096886</v>
      </c>
      <c r="CL76" s="64">
        <v>35.392104825656872</v>
      </c>
      <c r="CM76" s="64">
        <v>10.325906633197722</v>
      </c>
      <c r="CN76" s="64">
        <v>10.176796180748488</v>
      </c>
      <c r="CO76" s="64">
        <v>14.037250346411476</v>
      </c>
      <c r="CP76" s="64">
        <v>15.68525395599406</v>
      </c>
      <c r="CQ76" s="64">
        <v>-0.86216381549743704</v>
      </c>
      <c r="CR76" s="64">
        <v>9.3543814037299793</v>
      </c>
      <c r="CS76" s="64">
        <v>15.718537925588032</v>
      </c>
      <c r="CT76" s="64">
        <v>25.61869350281253</v>
      </c>
      <c r="CU76" s="64">
        <v>14.060833083956757</v>
      </c>
      <c r="CV76" s="64">
        <v>9.7865858501996534</v>
      </c>
      <c r="CW76" s="64">
        <v>23.681746437343737</v>
      </c>
      <c r="CX76" s="64">
        <v>10.216702256356212</v>
      </c>
      <c r="CY76" s="64">
        <v>11.978925111834025</v>
      </c>
      <c r="CZ76" s="64">
        <v>8.7467404658444945</v>
      </c>
      <c r="DA76" s="64">
        <v>13.495624413987301</v>
      </c>
      <c r="DB76" s="64">
        <v>8.4504522405607077</v>
      </c>
      <c r="DC76" s="64">
        <v>11.826051985031974</v>
      </c>
      <c r="DD76" s="64">
        <v>20.414965983979506</v>
      </c>
      <c r="DE76" s="64">
        <v>12.836106824276863</v>
      </c>
      <c r="DF76" s="64">
        <v>12.511671242264802</v>
      </c>
      <c r="DG76" s="64">
        <v>21.364022756627929</v>
      </c>
      <c r="DH76" s="64">
        <v>9.1616712422648039</v>
      </c>
      <c r="DI76" s="64">
        <v>9.4295039815735429</v>
      </c>
      <c r="DJ76" s="64">
        <v>7.7800328968337231</v>
      </c>
      <c r="DK76" s="64">
        <v>13.778560353273953</v>
      </c>
      <c r="DL76" s="64">
        <v>24.652516516560059</v>
      </c>
      <c r="DM76" s="64">
        <v>69.133124373933711</v>
      </c>
      <c r="DN76" s="64">
        <v>29.012654197602409</v>
      </c>
      <c r="DO76" s="64">
        <v>11.552037570846748</v>
      </c>
      <c r="DP76" s="64">
        <v>16.220703836470403</v>
      </c>
      <c r="DQ76" s="64">
        <v>15.94543456520063</v>
      </c>
      <c r="DR76" s="64">
        <v>9.2919197900671993</v>
      </c>
      <c r="DS76" s="64">
        <v>13.234348441811441</v>
      </c>
      <c r="DT76" s="64">
        <v>30.592916874698656</v>
      </c>
      <c r="DU76" s="64">
        <v>44.841043804515067</v>
      </c>
      <c r="DV76" s="64">
        <v>15.678240696253091</v>
      </c>
      <c r="DW76" s="64">
        <v>17.175795276303635</v>
      </c>
      <c r="DX76" s="64">
        <v>18.157151663037929</v>
      </c>
      <c r="DY76" s="64">
        <v>14.104295326999226</v>
      </c>
      <c r="DZ76" s="64">
        <v>19.49360798037592</v>
      </c>
      <c r="EA76" s="64">
        <v>9.2498432567223929</v>
      </c>
      <c r="EB76" s="64">
        <v>25.066107269846512</v>
      </c>
      <c r="EC76" s="64">
        <v>19.003687520894641</v>
      </c>
      <c r="ED76" s="64">
        <v>18.224056250575419</v>
      </c>
      <c r="EE76" s="64">
        <v>19.893705050240545</v>
      </c>
      <c r="EF76" s="64">
        <v>18.08742256801871</v>
      </c>
      <c r="EG76" s="64">
        <v>22.623475100110159</v>
      </c>
      <c r="EH76" s="64">
        <v>11.005777706449031</v>
      </c>
      <c r="EI76" s="64">
        <v>15.656182182219821</v>
      </c>
      <c r="EJ76" s="64">
        <v>13.80814395089239</v>
      </c>
      <c r="EK76" s="64">
        <v>12.529347377083457</v>
      </c>
      <c r="EL76" s="64">
        <v>19.445161981432971</v>
      </c>
      <c r="EM76" s="64">
        <v>14.82309060515308</v>
      </c>
      <c r="EN76" s="64">
        <v>15.060840288192832</v>
      </c>
      <c r="EO76" s="64">
        <v>21.016302547482919</v>
      </c>
      <c r="EP76" s="64">
        <v>11.795368705553987</v>
      </c>
      <c r="EQ76" s="64">
        <v>9.3497439567021683</v>
      </c>
      <c r="ER76" s="64">
        <v>16.959118006294549</v>
      </c>
      <c r="ES76" s="64">
        <v>14.612951853683562</v>
      </c>
      <c r="EU76" s="66"/>
    </row>
    <row r="77" spans="1:151" x14ac:dyDescent="0.3">
      <c r="A77" s="37" t="s">
        <v>28</v>
      </c>
      <c r="B77" s="64">
        <v>9.3658571516169147</v>
      </c>
      <c r="C77" s="64">
        <v>11.786447311664487</v>
      </c>
      <c r="D77" s="64">
        <v>10.245882837540771</v>
      </c>
      <c r="E77" s="64">
        <v>16.603151864768723</v>
      </c>
      <c r="F77" s="64">
        <v>12.569752716828377</v>
      </c>
      <c r="G77" s="64">
        <v>9.3705169702981905</v>
      </c>
      <c r="H77" s="64">
        <v>10.162570679303046</v>
      </c>
      <c r="I77" s="64">
        <v>10.828189430482913</v>
      </c>
      <c r="J77" s="64">
        <v>12.794881786819753</v>
      </c>
      <c r="K77" s="64">
        <v>19.549056708211001</v>
      </c>
      <c r="L77" s="64">
        <v>38.241344157458492</v>
      </c>
      <c r="M77" s="64">
        <v>19.450764506874542</v>
      </c>
      <c r="N77" s="64">
        <v>9.7317190381731038</v>
      </c>
      <c r="O77" s="64">
        <v>13.826719930469341</v>
      </c>
      <c r="P77" s="64">
        <v>11.552925763328709</v>
      </c>
      <c r="Q77" s="64">
        <v>28.011427675113534</v>
      </c>
      <c r="R77" s="64">
        <v>26.334351373013618</v>
      </c>
      <c r="S77" s="64">
        <v>21.199914174095575</v>
      </c>
      <c r="T77" s="64">
        <v>5.8115409005324015</v>
      </c>
      <c r="U77" s="64">
        <v>17.181856277956271</v>
      </c>
      <c r="V77" s="64">
        <v>14.431391805427959</v>
      </c>
      <c r="W77" s="64">
        <v>33.371621686091508</v>
      </c>
      <c r="X77" s="64">
        <v>11.616725028028931</v>
      </c>
      <c r="Y77" s="64">
        <v>9.3721447040613999</v>
      </c>
      <c r="Z77" s="64">
        <v>7.2410573610429614</v>
      </c>
      <c r="AA77" s="64">
        <v>12.383464397980424</v>
      </c>
      <c r="AB77" s="64">
        <v>23.530827310899081</v>
      </c>
      <c r="AC77" s="64">
        <v>17.152861203328136</v>
      </c>
      <c r="AD77" s="64">
        <v>21.031746245917653</v>
      </c>
      <c r="AE77" s="64">
        <v>12.828761491281453</v>
      </c>
      <c r="AF77" s="64">
        <v>23.487976511310073</v>
      </c>
      <c r="AG77" s="64">
        <v>11.638761789538977</v>
      </c>
      <c r="AH77" s="64">
        <v>19.196685450313186</v>
      </c>
      <c r="AI77" s="64">
        <v>15.154915824811519</v>
      </c>
      <c r="AJ77" s="64">
        <v>10.937367295481129</v>
      </c>
      <c r="AK77" s="64">
        <v>17.405423571620556</v>
      </c>
      <c r="AL77" s="64">
        <v>18.256467940135114</v>
      </c>
      <c r="AM77" s="64">
        <v>27.112140429973181</v>
      </c>
      <c r="AN77" s="64">
        <v>11.660750367394099</v>
      </c>
      <c r="AO77" s="64">
        <v>9.4701798200685516</v>
      </c>
      <c r="AP77" s="64">
        <v>41.334349282296593</v>
      </c>
      <c r="AQ77" s="64">
        <v>17.890740604589485</v>
      </c>
      <c r="AR77" s="64">
        <v>12.856544296115553</v>
      </c>
      <c r="AS77" s="64">
        <v>28.337877264692139</v>
      </c>
      <c r="AT77" s="64">
        <v>18.368557371394616</v>
      </c>
      <c r="AU77" s="64">
        <v>21.896416696736395</v>
      </c>
      <c r="AV77" s="64">
        <v>14.549542054919183</v>
      </c>
      <c r="AW77" s="64">
        <v>9.9333847072683259</v>
      </c>
      <c r="AX77" s="64">
        <v>9.7118301639132909</v>
      </c>
      <c r="AY77" s="64">
        <v>11.255480092431299</v>
      </c>
      <c r="AZ77" s="64">
        <v>12.866608314620263</v>
      </c>
      <c r="BA77" s="64">
        <v>12.295078551452141</v>
      </c>
      <c r="BB77" s="64">
        <v>31.520768507944087</v>
      </c>
      <c r="BC77" s="64">
        <v>14.226238231899179</v>
      </c>
      <c r="BD77" s="64">
        <v>15.390217394744665</v>
      </c>
      <c r="BE77" s="64">
        <v>12.767805922634137</v>
      </c>
      <c r="BF77" s="64">
        <v>15.263242006532362</v>
      </c>
      <c r="BG77" s="64">
        <v>14.985793908837742</v>
      </c>
      <c r="BH77" s="64">
        <v>39.963567356045893</v>
      </c>
      <c r="BI77" s="64">
        <v>10.245224505486298</v>
      </c>
      <c r="BJ77" s="64">
        <v>20.135942097788256</v>
      </c>
      <c r="BK77" s="64">
        <v>14.974496974697427</v>
      </c>
      <c r="BL77" s="64">
        <v>71.150698772237234</v>
      </c>
      <c r="BM77" s="64">
        <v>9.4316073050547669</v>
      </c>
      <c r="BN77" s="64">
        <v>9.8744960522475314</v>
      </c>
      <c r="BO77" s="64">
        <v>11.745661851942595</v>
      </c>
      <c r="BP77" s="64">
        <v>10.457676904873127</v>
      </c>
      <c r="BQ77" s="64">
        <v>9.7536787846627941</v>
      </c>
      <c r="BR77" s="64">
        <v>10.12944939457967</v>
      </c>
      <c r="BS77" s="64">
        <v>15.557041129411923</v>
      </c>
      <c r="BT77" s="64">
        <v>13.107368780969395</v>
      </c>
      <c r="BU77" s="64">
        <v>9.4272407267053548</v>
      </c>
      <c r="BV77" s="64">
        <v>9.3317110082936097</v>
      </c>
      <c r="BW77" s="64">
        <v>16.515854962133496</v>
      </c>
      <c r="BX77" s="64">
        <v>19.196039357205226</v>
      </c>
      <c r="BY77" s="64">
        <v>38.973123445687079</v>
      </c>
      <c r="BZ77" s="64">
        <v>47.676407473334088</v>
      </c>
      <c r="CA77" s="64">
        <v>9.5414278153475625</v>
      </c>
      <c r="CB77" s="64">
        <v>14.307447195772166</v>
      </c>
      <c r="CC77" s="64">
        <v>13.863625557375471</v>
      </c>
      <c r="CD77" s="64">
        <v>12.199240540771543</v>
      </c>
      <c r="CE77" s="64">
        <v>14.23024929937721</v>
      </c>
      <c r="CF77" s="64">
        <v>16.964704171077649</v>
      </c>
      <c r="CG77" s="64">
        <v>9.2823402715471115</v>
      </c>
      <c r="CH77" s="64">
        <v>25.208294781341991</v>
      </c>
      <c r="CI77" s="64">
        <v>16.684211148530483</v>
      </c>
      <c r="CJ77" s="64">
        <v>14.676774220980079</v>
      </c>
      <c r="CK77" s="64">
        <v>15.835069811096886</v>
      </c>
      <c r="CL77" s="64">
        <v>35.392104825656872</v>
      </c>
      <c r="CM77" s="64">
        <v>10.325906633197722</v>
      </c>
      <c r="CN77" s="64">
        <v>10.176796180748488</v>
      </c>
      <c r="CO77" s="64">
        <v>14.037250346411476</v>
      </c>
      <c r="CP77" s="64">
        <v>15.68525395599406</v>
      </c>
      <c r="CQ77" s="64">
        <v>-0.86216381549743704</v>
      </c>
      <c r="CR77" s="64">
        <v>9.3543814037299793</v>
      </c>
      <c r="CS77" s="64">
        <v>15.718537925588032</v>
      </c>
      <c r="CT77" s="64">
        <v>25.61869350281253</v>
      </c>
      <c r="CU77" s="64">
        <v>14.060833083956757</v>
      </c>
      <c r="CV77" s="64">
        <v>9.7865858501996534</v>
      </c>
      <c r="CW77" s="64">
        <v>23.681746437343737</v>
      </c>
      <c r="CX77" s="64">
        <v>10.216702256356212</v>
      </c>
      <c r="CY77" s="64">
        <v>11.978925111834025</v>
      </c>
      <c r="CZ77" s="64">
        <v>8.7467404658444945</v>
      </c>
      <c r="DA77" s="64">
        <v>13.495624413987301</v>
      </c>
      <c r="DB77" s="64">
        <v>8.4504522405607077</v>
      </c>
      <c r="DC77" s="64">
        <v>11.826051985031974</v>
      </c>
      <c r="DD77" s="64">
        <v>20.414965983979506</v>
      </c>
      <c r="DE77" s="64">
        <v>12.836106824276863</v>
      </c>
      <c r="DF77" s="64">
        <v>12.511671242264802</v>
      </c>
      <c r="DG77" s="64">
        <v>21.364022756627929</v>
      </c>
      <c r="DH77" s="64">
        <v>9.1616712422648039</v>
      </c>
      <c r="DI77" s="64">
        <v>9.4295039815735429</v>
      </c>
      <c r="DJ77" s="64">
        <v>7.7800328968337231</v>
      </c>
      <c r="DK77" s="64">
        <v>13.778560353273953</v>
      </c>
      <c r="DL77" s="64">
        <v>24.652516516560059</v>
      </c>
      <c r="DM77" s="64">
        <v>69.133124373933711</v>
      </c>
      <c r="DN77" s="64">
        <v>29.012654197602409</v>
      </c>
      <c r="DO77" s="64">
        <v>11.552037570846748</v>
      </c>
      <c r="DP77" s="64">
        <v>16.220703836470403</v>
      </c>
      <c r="DQ77" s="64">
        <v>15.94543456520063</v>
      </c>
      <c r="DR77" s="64">
        <v>9.2919197900671993</v>
      </c>
      <c r="DS77" s="64">
        <v>13.234348441811441</v>
      </c>
      <c r="DT77" s="64">
        <v>30.592916874698656</v>
      </c>
      <c r="DU77" s="64">
        <v>44.841043804515067</v>
      </c>
      <c r="DV77" s="64">
        <v>15.678240696253091</v>
      </c>
      <c r="DW77" s="64">
        <v>17.175795276303635</v>
      </c>
      <c r="DX77" s="64">
        <v>18.157151663037929</v>
      </c>
      <c r="DY77" s="64">
        <v>14.104295326999226</v>
      </c>
      <c r="DZ77" s="64">
        <v>19.49360798037592</v>
      </c>
      <c r="EA77" s="64">
        <v>9.2498432567223929</v>
      </c>
      <c r="EB77" s="64">
        <v>25.066107269846512</v>
      </c>
      <c r="EC77" s="64">
        <v>19.003687520894641</v>
      </c>
      <c r="ED77" s="64">
        <v>18.224056250575419</v>
      </c>
      <c r="EE77" s="64">
        <v>19.893705050240545</v>
      </c>
      <c r="EF77" s="64">
        <v>18.08742256801871</v>
      </c>
      <c r="EG77" s="64">
        <v>22.623475100110159</v>
      </c>
      <c r="EH77" s="64">
        <v>11.005777706449031</v>
      </c>
      <c r="EI77" s="64">
        <v>15.656182182219821</v>
      </c>
      <c r="EJ77" s="64">
        <v>13.80814395089239</v>
      </c>
      <c r="EK77" s="64">
        <v>12.529347377083457</v>
      </c>
      <c r="EL77" s="64">
        <v>19.445161981432971</v>
      </c>
      <c r="EM77" s="64">
        <v>14.82309060515308</v>
      </c>
      <c r="EN77" s="64">
        <v>15.060840288192832</v>
      </c>
      <c r="EO77" s="64">
        <v>21.016302547482919</v>
      </c>
      <c r="EP77" s="64">
        <v>11.795368705553987</v>
      </c>
      <c r="EQ77" s="64">
        <v>9.3497439567021683</v>
      </c>
      <c r="ER77" s="64">
        <v>16.959118006294549</v>
      </c>
      <c r="ES77" s="64">
        <v>14.612951853683562</v>
      </c>
    </row>
    <row r="78" spans="1:151" x14ac:dyDescent="0.3">
      <c r="A78" s="37" t="s">
        <v>13</v>
      </c>
      <c r="B78" s="64">
        <v>5.8658571516169156</v>
      </c>
      <c r="C78" s="64">
        <v>11.786447311664487</v>
      </c>
      <c r="D78" s="64">
        <v>9.3958828375407695</v>
      </c>
      <c r="E78" s="64">
        <v>15.753151864768723</v>
      </c>
      <c r="F78" s="64">
        <v>9.0697527168283774</v>
      </c>
      <c r="G78" s="64">
        <v>5.8705169702981888</v>
      </c>
      <c r="H78" s="64">
        <v>6.6625706793030446</v>
      </c>
      <c r="I78" s="64">
        <v>6.4781894304829173</v>
      </c>
      <c r="J78" s="64">
        <v>12.794881786819753</v>
      </c>
      <c r="K78" s="64">
        <v>18.699056708211003</v>
      </c>
      <c r="L78" s="64">
        <v>42.591344157458508</v>
      </c>
      <c r="M78" s="64">
        <v>15.950764506874535</v>
      </c>
      <c r="N78" s="64">
        <v>10.581719038173103</v>
      </c>
      <c r="O78" s="64">
        <v>12.976719930469331</v>
      </c>
      <c r="P78" s="64">
        <v>8.052925763328707</v>
      </c>
      <c r="Q78" s="64">
        <v>32.261427675113509</v>
      </c>
      <c r="R78" s="64">
        <v>22.834351373013625</v>
      </c>
      <c r="S78" s="64">
        <v>25.549914174095566</v>
      </c>
      <c r="T78" s="64">
        <v>10.161540900532401</v>
      </c>
      <c r="U78" s="64">
        <v>18.031856277956276</v>
      </c>
      <c r="V78" s="64">
        <v>18.781391805427958</v>
      </c>
      <c r="W78" s="64">
        <v>29.021621686091517</v>
      </c>
      <c r="X78" s="64">
        <v>11.616725028028931</v>
      </c>
      <c r="Y78" s="64">
        <v>5.8721447040613999</v>
      </c>
      <c r="Z78" s="64">
        <v>11.591057361042955</v>
      </c>
      <c r="AA78" s="64">
        <v>8.8834643979804362</v>
      </c>
      <c r="AB78" s="64">
        <v>27.780827310899102</v>
      </c>
      <c r="AC78" s="64">
        <v>21.502861203328138</v>
      </c>
      <c r="AD78" s="64">
        <v>21.031746245917653</v>
      </c>
      <c r="AE78" s="64">
        <v>8.4787614912814568</v>
      </c>
      <c r="AF78" s="64">
        <v>27.837976511310071</v>
      </c>
      <c r="AG78" s="64">
        <v>12.488761789538971</v>
      </c>
      <c r="AH78" s="64">
        <v>20.046685450313184</v>
      </c>
      <c r="AI78" s="64">
        <v>16.004915824811519</v>
      </c>
      <c r="AJ78" s="64">
        <v>11.787367295481127</v>
      </c>
      <c r="AK78" s="64">
        <v>18.255423571620561</v>
      </c>
      <c r="AL78" s="64">
        <v>22.606467940135122</v>
      </c>
      <c r="AM78" s="64">
        <v>31.462140429973196</v>
      </c>
      <c r="AN78" s="64">
        <v>12.510750367394103</v>
      </c>
      <c r="AO78" s="64">
        <v>5.9701798200685481</v>
      </c>
      <c r="AP78" s="64">
        <v>45.684349282296594</v>
      </c>
      <c r="AQ78" s="64">
        <v>14.390740604589487</v>
      </c>
      <c r="AR78" s="64">
        <v>17.206544296115545</v>
      </c>
      <c r="AS78" s="64">
        <v>28.337877264692139</v>
      </c>
      <c r="AT78" s="64">
        <v>19.218557371394628</v>
      </c>
      <c r="AU78" s="64">
        <v>18.396416696736399</v>
      </c>
      <c r="AV78" s="64">
        <v>11.049542054919183</v>
      </c>
      <c r="AW78" s="64">
        <v>5.5833847072683263</v>
      </c>
      <c r="AX78" s="64">
        <v>13.977177373611738</v>
      </c>
      <c r="AY78" s="64">
        <v>7.7554800924313056</v>
      </c>
      <c r="AZ78" s="64">
        <v>13.716608314620265</v>
      </c>
      <c r="BA78" s="64">
        <v>8.7950785514521428</v>
      </c>
      <c r="BB78" s="64">
        <v>32.370768507944078</v>
      </c>
      <c r="BC78" s="64">
        <v>15.076238231899184</v>
      </c>
      <c r="BD78" s="64">
        <v>11.040217394744666</v>
      </c>
      <c r="BE78" s="64">
        <v>17.017805922634132</v>
      </c>
      <c r="BF78" s="64">
        <v>15.263242006532362</v>
      </c>
      <c r="BG78" s="64">
        <v>19.335793908837744</v>
      </c>
      <c r="BH78" s="64">
        <v>36.463567356045878</v>
      </c>
      <c r="BI78" s="64">
        <v>5.8952245054862926</v>
      </c>
      <c r="BJ78" s="64">
        <v>20.135942097788256</v>
      </c>
      <c r="BK78" s="64">
        <v>11.474496974697427</v>
      </c>
      <c r="BL78" s="64">
        <v>71.150698772237234</v>
      </c>
      <c r="BM78" s="64">
        <v>10.281607305054765</v>
      </c>
      <c r="BN78" s="64">
        <v>10.724496052247527</v>
      </c>
      <c r="BO78" s="64">
        <v>11.745661851942595</v>
      </c>
      <c r="BP78" s="64">
        <v>10.457676904873127</v>
      </c>
      <c r="BQ78" s="64">
        <v>6.2536787846627906</v>
      </c>
      <c r="BR78" s="64">
        <v>5.7794493945796646</v>
      </c>
      <c r="BS78" s="64">
        <v>14.707041129411918</v>
      </c>
      <c r="BT78" s="64">
        <v>9.6073687809693897</v>
      </c>
      <c r="BU78" s="64">
        <v>5.927240726705354</v>
      </c>
      <c r="BV78" s="64">
        <v>5.8317110082936132</v>
      </c>
      <c r="BW78" s="64">
        <v>20.765854962133492</v>
      </c>
      <c r="BX78" s="64">
        <v>19.196039357205226</v>
      </c>
      <c r="BY78" s="64">
        <v>34.623123445687071</v>
      </c>
      <c r="BZ78" s="64">
        <v>47.676407473334088</v>
      </c>
      <c r="CA78" s="64">
        <v>6.0414278153475642</v>
      </c>
      <c r="CB78" s="64">
        <v>15.157447195772175</v>
      </c>
      <c r="CC78" s="64">
        <v>10.36311170670324</v>
      </c>
      <c r="CD78" s="64">
        <v>7.8492405407715484</v>
      </c>
      <c r="CE78" s="64">
        <v>13.380249299377207</v>
      </c>
      <c r="CF78" s="64">
        <v>21.314704171077651</v>
      </c>
      <c r="CG78" s="64">
        <v>5.7823402715471124</v>
      </c>
      <c r="CH78" s="64">
        <v>25.208294781341991</v>
      </c>
      <c r="CI78" s="64">
        <v>13.184211148530482</v>
      </c>
      <c r="CJ78" s="64">
        <v>15.526774220980084</v>
      </c>
      <c r="CK78" s="64">
        <v>12.335069811096881</v>
      </c>
      <c r="CL78" s="64">
        <v>39.642104825656865</v>
      </c>
      <c r="CM78" s="64">
        <v>6.8259066331977163</v>
      </c>
      <c r="CN78" s="64">
        <v>5.826796180748488</v>
      </c>
      <c r="CO78" s="64">
        <v>14.887250346411466</v>
      </c>
      <c r="CP78" s="64">
        <v>16.535253955994065</v>
      </c>
      <c r="CQ78" s="64">
        <v>-1.7121638154974368</v>
      </c>
      <c r="CR78" s="64">
        <v>5.8543814037299731</v>
      </c>
      <c r="CS78" s="64">
        <v>15.718537925588032</v>
      </c>
      <c r="CT78" s="64">
        <v>29.968693502812535</v>
      </c>
      <c r="CU78" s="64">
        <v>9.7108330839567536</v>
      </c>
      <c r="CV78" s="64">
        <v>6.2865858501996561</v>
      </c>
      <c r="CW78" s="64">
        <v>28.031746437343749</v>
      </c>
      <c r="CX78" s="64">
        <v>9.3667022563562021</v>
      </c>
      <c r="CY78" s="64">
        <v>8.4789251118340321</v>
      </c>
      <c r="CZ78" s="64">
        <v>13.096740465844499</v>
      </c>
      <c r="DA78" s="64">
        <v>14.345624413987293</v>
      </c>
      <c r="DB78" s="64">
        <v>12.700452240560704</v>
      </c>
      <c r="DC78" s="64">
        <v>12.676051985031966</v>
      </c>
      <c r="DD78" s="64">
        <v>19.564965983979501</v>
      </c>
      <c r="DE78" s="64">
        <v>11.986106824276867</v>
      </c>
      <c r="DF78" s="64">
        <v>11.661671242264802</v>
      </c>
      <c r="DG78" s="64">
        <v>21.364022756627929</v>
      </c>
      <c r="DH78" s="64">
        <v>5.6616712422648021</v>
      </c>
      <c r="DI78" s="64">
        <v>5.9295039815735384</v>
      </c>
      <c r="DJ78" s="64">
        <v>12.130032896833733</v>
      </c>
      <c r="DK78" s="64">
        <v>12.928560353273953</v>
      </c>
      <c r="DL78" s="64">
        <v>29.00251651656006</v>
      </c>
      <c r="DM78" s="64">
        <v>73.48312437393372</v>
      </c>
      <c r="DN78" s="64">
        <v>33.362654197602403</v>
      </c>
      <c r="DO78" s="64">
        <v>11.552037570846748</v>
      </c>
      <c r="DP78" s="64">
        <v>20.5707038364704</v>
      </c>
      <c r="DQ78" s="64">
        <v>12.445434565200632</v>
      </c>
      <c r="DR78" s="64">
        <v>5.7919197900671966</v>
      </c>
      <c r="DS78" s="64">
        <v>8.8843484418114418</v>
      </c>
      <c r="DT78" s="64">
        <v>34.94291687469866</v>
      </c>
      <c r="DU78" s="64">
        <v>45.691043804515068</v>
      </c>
      <c r="DV78" s="64">
        <v>20.028240696253086</v>
      </c>
      <c r="DW78" s="64">
        <v>16.325795276303626</v>
      </c>
      <c r="DX78" s="64">
        <v>17.307151663037921</v>
      </c>
      <c r="DY78" s="64">
        <v>9.7542953269992196</v>
      </c>
      <c r="DZ78" s="64">
        <v>18.643607980375929</v>
      </c>
      <c r="EA78" s="64">
        <v>10.099843256722393</v>
      </c>
      <c r="EB78" s="64">
        <v>29.374277335797977</v>
      </c>
      <c r="EC78" s="64">
        <v>23.353687520894635</v>
      </c>
      <c r="ED78" s="64">
        <v>22.574056250575421</v>
      </c>
      <c r="EE78" s="64">
        <v>19.043705050240533</v>
      </c>
      <c r="EF78" s="64">
        <v>14.587422568018711</v>
      </c>
      <c r="EG78" s="64">
        <v>19.123475100110163</v>
      </c>
      <c r="EH78" s="64">
        <v>6.6557777064490313</v>
      </c>
      <c r="EI78" s="64">
        <v>15.656182182219821</v>
      </c>
      <c r="EJ78" s="64">
        <v>14.658143950892391</v>
      </c>
      <c r="EK78" s="64">
        <v>13.379347377083452</v>
      </c>
      <c r="EL78" s="64">
        <v>19.445161981432971</v>
      </c>
      <c r="EM78" s="64">
        <v>14.82309060515308</v>
      </c>
      <c r="EN78" s="64">
        <v>11.560840288192834</v>
      </c>
      <c r="EO78" s="64">
        <v>21.016302547482919</v>
      </c>
      <c r="EP78" s="64">
        <v>8.2953687055539884</v>
      </c>
      <c r="EQ78" s="64">
        <v>10.199743956702179</v>
      </c>
      <c r="ER78" s="64">
        <v>17.798913412962197</v>
      </c>
      <c r="ES78" s="64">
        <v>15.462951853683567</v>
      </c>
    </row>
    <row r="79" spans="1:151" x14ac:dyDescent="0.3">
      <c r="A79" s="37" t="s">
        <v>23</v>
      </c>
      <c r="B79" s="64">
        <v>9.3658571516169147</v>
      </c>
      <c r="C79" s="64">
        <v>11.786447311664487</v>
      </c>
      <c r="D79" s="64">
        <v>8.3958828375407677</v>
      </c>
      <c r="E79" s="64">
        <v>14.753151864768725</v>
      </c>
      <c r="F79" s="64">
        <v>12.569752716828377</v>
      </c>
      <c r="G79" s="64">
        <v>9.3705169702981905</v>
      </c>
      <c r="H79" s="64">
        <v>10.162570679303046</v>
      </c>
      <c r="I79" s="64">
        <v>10.828189430482913</v>
      </c>
      <c r="J79" s="64">
        <v>12.794881786819753</v>
      </c>
      <c r="K79" s="64">
        <v>17.699056708210996</v>
      </c>
      <c r="L79" s="64">
        <v>42.591344157458508</v>
      </c>
      <c r="M79" s="64">
        <v>19.450764506874542</v>
      </c>
      <c r="N79" s="64">
        <v>6.2317190381731029</v>
      </c>
      <c r="O79" s="64">
        <v>11.976719930469336</v>
      </c>
      <c r="P79" s="64">
        <v>11.552925763328709</v>
      </c>
      <c r="Q79" s="64">
        <v>32.261427675113509</v>
      </c>
      <c r="R79" s="64">
        <v>26.334351373013618</v>
      </c>
      <c r="S79" s="64">
        <v>25.549914174095566</v>
      </c>
      <c r="T79" s="64">
        <v>10.161540900532401</v>
      </c>
      <c r="U79" s="64">
        <v>13.681856277956268</v>
      </c>
      <c r="V79" s="64">
        <v>18.781391805427958</v>
      </c>
      <c r="W79" s="64">
        <v>33.371621686091508</v>
      </c>
      <c r="X79" s="64">
        <v>11.616725028028931</v>
      </c>
      <c r="Y79" s="64">
        <v>9.3721447040613999</v>
      </c>
      <c r="Z79" s="64">
        <v>11.591057361042955</v>
      </c>
      <c r="AA79" s="64">
        <v>12.383464397980424</v>
      </c>
      <c r="AB79" s="64">
        <v>27.780827310899102</v>
      </c>
      <c r="AC79" s="64">
        <v>21.502861203328138</v>
      </c>
      <c r="AD79" s="64">
        <v>19.181746245917655</v>
      </c>
      <c r="AE79" s="64">
        <v>12.828761491281453</v>
      </c>
      <c r="AF79" s="64">
        <v>27.837976511310071</v>
      </c>
      <c r="AG79" s="64">
        <v>8.1387617895389752</v>
      </c>
      <c r="AH79" s="64">
        <v>15.69668545031319</v>
      </c>
      <c r="AI79" s="64">
        <v>11.654915824811519</v>
      </c>
      <c r="AJ79" s="64">
        <v>7.4373672954811294</v>
      </c>
      <c r="AK79" s="64">
        <v>13.905423571620558</v>
      </c>
      <c r="AL79" s="64">
        <v>22.606467940135122</v>
      </c>
      <c r="AM79" s="64">
        <v>31.462140429973196</v>
      </c>
      <c r="AN79" s="64">
        <v>8.1607503673941029</v>
      </c>
      <c r="AO79" s="64">
        <v>9.4701798200685516</v>
      </c>
      <c r="AP79" s="64">
        <v>45.684349282296594</v>
      </c>
      <c r="AQ79" s="64">
        <v>17.890740604589485</v>
      </c>
      <c r="AR79" s="64">
        <v>17.206544296115545</v>
      </c>
      <c r="AS79" s="64">
        <v>26.48787726469212</v>
      </c>
      <c r="AT79" s="64">
        <v>14.868557371394621</v>
      </c>
      <c r="AU79" s="64">
        <v>21.896416696736395</v>
      </c>
      <c r="AV79" s="64">
        <v>14.549542054919183</v>
      </c>
      <c r="AW79" s="64">
        <v>9.9333847072683259</v>
      </c>
      <c r="AX79" s="64">
        <v>13.960897990861438</v>
      </c>
      <c r="AY79" s="64">
        <v>11.255480092431299</v>
      </c>
      <c r="AZ79" s="64">
        <v>9.3666083146202617</v>
      </c>
      <c r="BA79" s="64">
        <v>12.295078551452141</v>
      </c>
      <c r="BB79" s="64">
        <v>28.020768507944076</v>
      </c>
      <c r="BC79" s="64">
        <v>10.726238231899186</v>
      </c>
      <c r="BD79" s="64">
        <v>15.390217394744665</v>
      </c>
      <c r="BE79" s="64">
        <v>17.017805922634132</v>
      </c>
      <c r="BF79" s="64">
        <v>15.263242006532362</v>
      </c>
      <c r="BG79" s="64">
        <v>19.335793908837744</v>
      </c>
      <c r="BH79" s="64">
        <v>39.963567356045893</v>
      </c>
      <c r="BI79" s="64">
        <v>10.245224505486298</v>
      </c>
      <c r="BJ79" s="64">
        <v>20.135942097788256</v>
      </c>
      <c r="BK79" s="64">
        <v>14.974496974697427</v>
      </c>
      <c r="BL79" s="64">
        <v>71.150698772237234</v>
      </c>
      <c r="BM79" s="64">
        <v>5.931607305054766</v>
      </c>
      <c r="BN79" s="64">
        <v>6.3744960522475358</v>
      </c>
      <c r="BO79" s="64">
        <v>11.745661851942595</v>
      </c>
      <c r="BP79" s="64">
        <v>10.457676904873127</v>
      </c>
      <c r="BQ79" s="64">
        <v>9.7536787846627941</v>
      </c>
      <c r="BR79" s="64">
        <v>10.12944939457967</v>
      </c>
      <c r="BS79" s="64">
        <v>13.707041129411907</v>
      </c>
      <c r="BT79" s="64">
        <v>13.107368780969395</v>
      </c>
      <c r="BU79" s="64">
        <v>9.4272407267053548</v>
      </c>
      <c r="BV79" s="64">
        <v>9.3317110082936097</v>
      </c>
      <c r="BW79" s="64">
        <v>20.765854962133492</v>
      </c>
      <c r="BX79" s="64">
        <v>19.196039357205226</v>
      </c>
      <c r="BY79" s="64">
        <v>38.973123445687079</v>
      </c>
      <c r="BZ79" s="64">
        <v>45.826407473334093</v>
      </c>
      <c r="CA79" s="64">
        <v>9.5414278153475625</v>
      </c>
      <c r="CB79" s="64">
        <v>10.80744719577217</v>
      </c>
      <c r="CC79" s="64">
        <v>13.863625557375471</v>
      </c>
      <c r="CD79" s="64">
        <v>12.199240540771543</v>
      </c>
      <c r="CE79" s="64">
        <v>12.380249299377203</v>
      </c>
      <c r="CF79" s="64">
        <v>21.314704171077651</v>
      </c>
      <c r="CG79" s="64">
        <v>9.2823402715471115</v>
      </c>
      <c r="CH79" s="64">
        <v>23.358294781341993</v>
      </c>
      <c r="CI79" s="64">
        <v>16.684211148530483</v>
      </c>
      <c r="CJ79" s="64">
        <v>11.176774220980084</v>
      </c>
      <c r="CK79" s="64">
        <v>15.835069811096886</v>
      </c>
      <c r="CL79" s="64">
        <v>39.642104825656865</v>
      </c>
      <c r="CM79" s="64">
        <v>10.325906633197722</v>
      </c>
      <c r="CN79" s="64">
        <v>10.176796180748488</v>
      </c>
      <c r="CO79" s="64">
        <v>10.537250346411474</v>
      </c>
      <c r="CP79" s="64">
        <v>12.18525395599406</v>
      </c>
      <c r="CQ79" s="64">
        <v>-2.7121638154974357</v>
      </c>
      <c r="CR79" s="64">
        <v>9.3543814037299793</v>
      </c>
      <c r="CS79" s="64">
        <v>15.718537925588032</v>
      </c>
      <c r="CT79" s="64">
        <v>29.968693502812535</v>
      </c>
      <c r="CU79" s="64">
        <v>14.060833083956757</v>
      </c>
      <c r="CV79" s="64">
        <v>9.7865858501996534</v>
      </c>
      <c r="CW79" s="64">
        <v>28.031746437343749</v>
      </c>
      <c r="CX79" s="64">
        <v>8.3667022563562075</v>
      </c>
      <c r="CY79" s="64">
        <v>11.978925111834025</v>
      </c>
      <c r="CZ79" s="64">
        <v>13.096740465844499</v>
      </c>
      <c r="DA79" s="64">
        <v>9.9956244139873007</v>
      </c>
      <c r="DB79" s="64">
        <v>12.700452240560704</v>
      </c>
      <c r="DC79" s="64">
        <v>8.3260519850319685</v>
      </c>
      <c r="DD79" s="64">
        <v>18.564965983979508</v>
      </c>
      <c r="DE79" s="64">
        <v>10.986106824276867</v>
      </c>
      <c r="DF79" s="64">
        <v>10.6616712422648</v>
      </c>
      <c r="DG79" s="64">
        <v>21.364022756627929</v>
      </c>
      <c r="DH79" s="64">
        <v>9.1616712422648039</v>
      </c>
      <c r="DI79" s="64">
        <v>9.4295039815735429</v>
      </c>
      <c r="DJ79" s="64">
        <v>12.130032896833733</v>
      </c>
      <c r="DK79" s="64">
        <v>11.92856035327395</v>
      </c>
      <c r="DL79" s="64">
        <v>29.00251651656006</v>
      </c>
      <c r="DM79" s="64">
        <v>73.48312437393372</v>
      </c>
      <c r="DN79" s="64">
        <v>33.362654197602403</v>
      </c>
      <c r="DO79" s="64">
        <v>11.552037570846748</v>
      </c>
      <c r="DP79" s="64">
        <v>20.5707038364704</v>
      </c>
      <c r="DQ79" s="64">
        <v>15.94543456520063</v>
      </c>
      <c r="DR79" s="64">
        <v>9.2919197900671993</v>
      </c>
      <c r="DS79" s="64">
        <v>13.234348441811441</v>
      </c>
      <c r="DT79" s="64">
        <v>34.94291687469866</v>
      </c>
      <c r="DU79" s="64">
        <v>41.341043804515074</v>
      </c>
      <c r="DV79" s="64">
        <v>20.028240696253086</v>
      </c>
      <c r="DW79" s="64">
        <v>15.325795276303628</v>
      </c>
      <c r="DX79" s="64">
        <v>16.307151663037928</v>
      </c>
      <c r="DY79" s="64">
        <v>14.104295326999226</v>
      </c>
      <c r="DZ79" s="64">
        <v>17.643607980375922</v>
      </c>
      <c r="EA79" s="64">
        <v>5.7498432567223929</v>
      </c>
      <c r="EB79" s="64">
        <v>29.374277335797977</v>
      </c>
      <c r="EC79" s="64">
        <v>23.353687520894635</v>
      </c>
      <c r="ED79" s="64">
        <v>22.574056250575421</v>
      </c>
      <c r="EE79" s="64">
        <v>18.04370505024054</v>
      </c>
      <c r="EF79" s="64">
        <v>18.08742256801871</v>
      </c>
      <c r="EG79" s="64">
        <v>22.623475100110159</v>
      </c>
      <c r="EH79" s="64">
        <v>11.005777706449031</v>
      </c>
      <c r="EI79" s="64">
        <v>15.656182182219821</v>
      </c>
      <c r="EJ79" s="64">
        <v>10.30814395089239</v>
      </c>
      <c r="EK79" s="64">
        <v>9.029347377083452</v>
      </c>
      <c r="EL79" s="64">
        <v>17.595161981432973</v>
      </c>
      <c r="EM79" s="64">
        <v>12.973090605153081</v>
      </c>
      <c r="EN79" s="64">
        <v>15.060840288192832</v>
      </c>
      <c r="EO79" s="64">
        <v>21.016302547482919</v>
      </c>
      <c r="EP79" s="64">
        <v>11.795368705553987</v>
      </c>
      <c r="EQ79" s="64">
        <v>5.8497439567021745</v>
      </c>
      <c r="ER79" s="64">
        <v>13.501136920015972</v>
      </c>
      <c r="ES79" s="64">
        <v>11.112951853683562</v>
      </c>
    </row>
    <row r="80" spans="1:151" x14ac:dyDescent="0.3">
      <c r="A80" s="37" t="s">
        <v>14</v>
      </c>
      <c r="B80" s="64">
        <v>5.8658571516169156</v>
      </c>
      <c r="C80" s="64">
        <v>11.786447311664487</v>
      </c>
      <c r="D80" s="64">
        <v>9.3958828375407695</v>
      </c>
      <c r="E80" s="64">
        <v>15.753151864768723</v>
      </c>
      <c r="F80" s="64">
        <v>9.0697527168283774</v>
      </c>
      <c r="G80" s="64">
        <v>5.8705169702981888</v>
      </c>
      <c r="H80" s="64">
        <v>6.6625706793030446</v>
      </c>
      <c r="I80" s="64">
        <v>6.4781894304829173</v>
      </c>
      <c r="J80" s="64">
        <v>12.794881786819753</v>
      </c>
      <c r="K80" s="64">
        <v>18.699056708211003</v>
      </c>
      <c r="L80" s="64">
        <v>42.591344157458508</v>
      </c>
      <c r="M80" s="64">
        <v>15.950764506874535</v>
      </c>
      <c r="N80" s="64">
        <v>10.581719038173103</v>
      </c>
      <c r="O80" s="64">
        <v>12.976719930469331</v>
      </c>
      <c r="P80" s="64">
        <v>8.052925763328707</v>
      </c>
      <c r="Q80" s="64">
        <v>32.261427675113509</v>
      </c>
      <c r="R80" s="64">
        <v>22.834351373013625</v>
      </c>
      <c r="S80" s="64">
        <v>25.549914174095566</v>
      </c>
      <c r="T80" s="64">
        <v>10.161540900532401</v>
      </c>
      <c r="U80" s="64">
        <v>18.031856277956276</v>
      </c>
      <c r="V80" s="64">
        <v>18.781391805427958</v>
      </c>
      <c r="W80" s="64">
        <v>29.021621686091517</v>
      </c>
      <c r="X80" s="64">
        <v>11.616725028028931</v>
      </c>
      <c r="Y80" s="64">
        <v>5.8721447040613999</v>
      </c>
      <c r="Z80" s="64">
        <v>11.591057361042955</v>
      </c>
      <c r="AA80" s="64">
        <v>8.8834643979804362</v>
      </c>
      <c r="AB80" s="64">
        <v>27.780827310899102</v>
      </c>
      <c r="AC80" s="64">
        <v>21.502861203328138</v>
      </c>
      <c r="AD80" s="64">
        <v>21.031746245917653</v>
      </c>
      <c r="AE80" s="64">
        <v>8.4787614912814568</v>
      </c>
      <c r="AF80" s="64">
        <v>27.837976511310071</v>
      </c>
      <c r="AG80" s="64">
        <v>12.488761789538971</v>
      </c>
      <c r="AH80" s="64">
        <v>20.046685450313184</v>
      </c>
      <c r="AI80" s="64">
        <v>16.004915824811519</v>
      </c>
      <c r="AJ80" s="64">
        <v>11.787367295481127</v>
      </c>
      <c r="AK80" s="64">
        <v>18.255423571620561</v>
      </c>
      <c r="AL80" s="64">
        <v>22.606467940135122</v>
      </c>
      <c r="AM80" s="64">
        <v>31.462140429973196</v>
      </c>
      <c r="AN80" s="64">
        <v>12.510750367394103</v>
      </c>
      <c r="AO80" s="64">
        <v>5.9701798200685481</v>
      </c>
      <c r="AP80" s="64">
        <v>45.684349282296594</v>
      </c>
      <c r="AQ80" s="64">
        <v>14.390740604589487</v>
      </c>
      <c r="AR80" s="64">
        <v>17.206544296115545</v>
      </c>
      <c r="AS80" s="64">
        <v>28.337877264692139</v>
      </c>
      <c r="AT80" s="64">
        <v>19.218557371394628</v>
      </c>
      <c r="AU80" s="64">
        <v>18.396416696736399</v>
      </c>
      <c r="AV80" s="64">
        <v>11.049542054919183</v>
      </c>
      <c r="AW80" s="64">
        <v>5.5833847072683263</v>
      </c>
      <c r="AX80" s="64">
        <v>13.977177373611738</v>
      </c>
      <c r="AY80" s="64">
        <v>7.7554800924313056</v>
      </c>
      <c r="AZ80" s="64">
        <v>13.716608314620265</v>
      </c>
      <c r="BA80" s="64">
        <v>8.7950785514521428</v>
      </c>
      <c r="BB80" s="64">
        <v>32.370768507944078</v>
      </c>
      <c r="BC80" s="64">
        <v>15.076238231899184</v>
      </c>
      <c r="BD80" s="64">
        <v>11.040217394744666</v>
      </c>
      <c r="BE80" s="64">
        <v>17.017805922634132</v>
      </c>
      <c r="BF80" s="64">
        <v>15.263242006532362</v>
      </c>
      <c r="BG80" s="64">
        <v>19.335793908837744</v>
      </c>
      <c r="BH80" s="64">
        <v>36.463567356045878</v>
      </c>
      <c r="BI80" s="64">
        <v>5.8952245054862926</v>
      </c>
      <c r="BJ80" s="64">
        <v>20.135942097788256</v>
      </c>
      <c r="BK80" s="64">
        <v>11.474496974697427</v>
      </c>
      <c r="BL80" s="64">
        <v>71.150698772237234</v>
      </c>
      <c r="BM80" s="64">
        <v>10.281607305054765</v>
      </c>
      <c r="BN80" s="64">
        <v>10.724496052247527</v>
      </c>
      <c r="BO80" s="64">
        <v>11.745661851942595</v>
      </c>
      <c r="BP80" s="64">
        <v>10.457676904873127</v>
      </c>
      <c r="BQ80" s="64">
        <v>6.2536787846627906</v>
      </c>
      <c r="BR80" s="64">
        <v>5.7794493945796646</v>
      </c>
      <c r="BS80" s="64">
        <v>14.707041129411918</v>
      </c>
      <c r="BT80" s="64">
        <v>9.6073687809693897</v>
      </c>
      <c r="BU80" s="64">
        <v>5.927240726705354</v>
      </c>
      <c r="BV80" s="64">
        <v>5.8317110082936132</v>
      </c>
      <c r="BW80" s="64">
        <v>20.765854962133492</v>
      </c>
      <c r="BX80" s="64">
        <v>19.196039357205226</v>
      </c>
      <c r="BY80" s="64">
        <v>34.623123445687071</v>
      </c>
      <c r="BZ80" s="64">
        <v>47.676407473334088</v>
      </c>
      <c r="CA80" s="64">
        <v>6.0414278153475642</v>
      </c>
      <c r="CB80" s="64">
        <v>15.157447195772175</v>
      </c>
      <c r="CC80" s="64">
        <v>10.36311170670324</v>
      </c>
      <c r="CD80" s="64">
        <v>7.8492405407715484</v>
      </c>
      <c r="CE80" s="64">
        <v>13.380249299377207</v>
      </c>
      <c r="CF80" s="64">
        <v>21.314704171077651</v>
      </c>
      <c r="CG80" s="64">
        <v>5.7823402715471124</v>
      </c>
      <c r="CH80" s="64">
        <v>25.208294781341991</v>
      </c>
      <c r="CI80" s="64">
        <v>13.184211148530482</v>
      </c>
      <c r="CJ80" s="64">
        <v>15.526774220980084</v>
      </c>
      <c r="CK80" s="64">
        <v>12.335069811096881</v>
      </c>
      <c r="CL80" s="64">
        <v>39.642104825656865</v>
      </c>
      <c r="CM80" s="64">
        <v>6.8259066331977163</v>
      </c>
      <c r="CN80" s="64">
        <v>5.826796180748488</v>
      </c>
      <c r="CO80" s="64">
        <v>14.887250346411466</v>
      </c>
      <c r="CP80" s="64">
        <v>16.535253955994065</v>
      </c>
      <c r="CQ80" s="64">
        <v>-1.7121638154974368</v>
      </c>
      <c r="CR80" s="64">
        <v>5.8543814037299731</v>
      </c>
      <c r="CS80" s="64">
        <v>15.718537925588032</v>
      </c>
      <c r="CT80" s="64">
        <v>29.968693502812535</v>
      </c>
      <c r="CU80" s="64">
        <v>9.7108330839567536</v>
      </c>
      <c r="CV80" s="64">
        <v>6.2865858501996561</v>
      </c>
      <c r="CW80" s="64">
        <v>28.031746437343749</v>
      </c>
      <c r="CX80" s="64">
        <v>9.3667022563562021</v>
      </c>
      <c r="CY80" s="64">
        <v>8.4789251118340321</v>
      </c>
      <c r="CZ80" s="64">
        <v>13.096740465844499</v>
      </c>
      <c r="DA80" s="64">
        <v>14.345624413987293</v>
      </c>
      <c r="DB80" s="64">
        <v>12.700452240560704</v>
      </c>
      <c r="DC80" s="64">
        <v>12.676051985031966</v>
      </c>
      <c r="DD80" s="64">
        <v>19.564965983979501</v>
      </c>
      <c r="DE80" s="64">
        <v>11.986106824276867</v>
      </c>
      <c r="DF80" s="64">
        <v>11.661671242264802</v>
      </c>
      <c r="DG80" s="64">
        <v>21.364022756627929</v>
      </c>
      <c r="DH80" s="64">
        <v>5.6616712422648021</v>
      </c>
      <c r="DI80" s="64">
        <v>5.9295039815735384</v>
      </c>
      <c r="DJ80" s="64">
        <v>12.130032896833733</v>
      </c>
      <c r="DK80" s="64">
        <v>12.928560353273953</v>
      </c>
      <c r="DL80" s="64">
        <v>29.00251651656006</v>
      </c>
      <c r="DM80" s="64">
        <v>73.48312437393372</v>
      </c>
      <c r="DN80" s="64">
        <v>33.362654197602403</v>
      </c>
      <c r="DO80" s="64">
        <v>11.552037570846748</v>
      </c>
      <c r="DP80" s="64">
        <v>20.5707038364704</v>
      </c>
      <c r="DQ80" s="64">
        <v>12.445434565200632</v>
      </c>
      <c r="DR80" s="64">
        <v>5.7919197900671966</v>
      </c>
      <c r="DS80" s="64">
        <v>8.8843484418114418</v>
      </c>
      <c r="DT80" s="64">
        <v>34.94291687469866</v>
      </c>
      <c r="DU80" s="64">
        <v>45.691043804515068</v>
      </c>
      <c r="DV80" s="64">
        <v>20.028240696253086</v>
      </c>
      <c r="DW80" s="64">
        <v>16.325795276303626</v>
      </c>
      <c r="DX80" s="64">
        <v>17.307151663037921</v>
      </c>
      <c r="DY80" s="64">
        <v>9.7542953269992196</v>
      </c>
      <c r="DZ80" s="64">
        <v>18.643607980375929</v>
      </c>
      <c r="EA80" s="64">
        <v>10.099843256722393</v>
      </c>
      <c r="EB80" s="64">
        <v>29.374277335797977</v>
      </c>
      <c r="EC80" s="64">
        <v>23.353687520894635</v>
      </c>
      <c r="ED80" s="64">
        <v>22.574056250575421</v>
      </c>
      <c r="EE80" s="64">
        <v>19.043705050240533</v>
      </c>
      <c r="EF80" s="64">
        <v>14.587422568018711</v>
      </c>
      <c r="EG80" s="64">
        <v>19.123475100110163</v>
      </c>
      <c r="EH80" s="64">
        <v>6.6557777064490313</v>
      </c>
      <c r="EI80" s="64">
        <v>15.656182182219821</v>
      </c>
      <c r="EJ80" s="64">
        <v>14.658143950892391</v>
      </c>
      <c r="EK80" s="64">
        <v>13.379347377083452</v>
      </c>
      <c r="EL80" s="64">
        <v>19.445161981432971</v>
      </c>
      <c r="EM80" s="64">
        <v>14.82309060515308</v>
      </c>
      <c r="EN80" s="64">
        <v>11.560840288192834</v>
      </c>
      <c r="EO80" s="64">
        <v>21.016302547482919</v>
      </c>
      <c r="EP80" s="64">
        <v>8.2953687055539884</v>
      </c>
      <c r="EQ80" s="64">
        <v>10.199743956702179</v>
      </c>
      <c r="ER80" s="64">
        <v>17.798913412962197</v>
      </c>
      <c r="ES80" s="64">
        <v>15.462951853683567</v>
      </c>
    </row>
    <row r="82" spans="1:162" x14ac:dyDescent="0.3">
      <c r="EW82" s="17">
        <v>5.0000000000000001E-3</v>
      </c>
      <c r="EX82" s="17">
        <v>50</v>
      </c>
    </row>
    <row r="83" spans="1:162" x14ac:dyDescent="0.3">
      <c r="A83" s="61" t="s">
        <v>9</v>
      </c>
      <c r="B83" s="37" t="s">
        <v>30</v>
      </c>
      <c r="C83" s="37" t="s">
        <v>6</v>
      </c>
      <c r="D83" s="37" t="s">
        <v>31</v>
      </c>
      <c r="E83" s="37" t="s">
        <v>32</v>
      </c>
      <c r="F83" s="37" t="s">
        <v>33</v>
      </c>
      <c r="G83" s="37" t="s">
        <v>34</v>
      </c>
      <c r="H83" s="37" t="s">
        <v>15</v>
      </c>
      <c r="I83" s="37" t="s">
        <v>35</v>
      </c>
      <c r="J83" s="37" t="s">
        <v>36</v>
      </c>
      <c r="K83" s="37" t="s">
        <v>37</v>
      </c>
      <c r="L83" s="37" t="s">
        <v>38</v>
      </c>
      <c r="M83" s="37" t="s">
        <v>39</v>
      </c>
      <c r="N83" s="37" t="s">
        <v>20</v>
      </c>
      <c r="O83" s="37" t="s">
        <v>40</v>
      </c>
      <c r="P83" s="37" t="s">
        <v>41</v>
      </c>
      <c r="Q83" s="37" t="s">
        <v>42</v>
      </c>
      <c r="R83" s="37" t="s">
        <v>43</v>
      </c>
      <c r="S83" s="37" t="s">
        <v>44</v>
      </c>
      <c r="T83" s="37" t="s">
        <v>45</v>
      </c>
      <c r="U83" s="37" t="s">
        <v>46</v>
      </c>
      <c r="V83" s="37" t="s">
        <v>47</v>
      </c>
      <c r="W83" s="37" t="s">
        <v>48</v>
      </c>
      <c r="X83" s="37" t="s">
        <v>49</v>
      </c>
      <c r="Y83" s="37" t="s">
        <v>50</v>
      </c>
      <c r="Z83" s="37" t="s">
        <v>51</v>
      </c>
      <c r="AA83" s="37" t="s">
        <v>52</v>
      </c>
      <c r="AB83" s="37" t="s">
        <v>53</v>
      </c>
      <c r="AC83" s="37" t="s">
        <v>54</v>
      </c>
      <c r="AD83" s="37" t="s">
        <v>55</v>
      </c>
      <c r="AE83" s="37" t="s">
        <v>56</v>
      </c>
      <c r="AF83" s="37" t="s">
        <v>57</v>
      </c>
      <c r="AG83" s="37" t="s">
        <v>58</v>
      </c>
      <c r="AH83" s="37" t="s">
        <v>59</v>
      </c>
      <c r="AI83" s="37" t="s">
        <v>60</v>
      </c>
      <c r="AJ83" s="37" t="s">
        <v>21</v>
      </c>
      <c r="AK83" s="37" t="s">
        <v>61</v>
      </c>
      <c r="AL83" s="37" t="s">
        <v>5</v>
      </c>
      <c r="AM83" s="37" t="s">
        <v>62</v>
      </c>
      <c r="AN83" s="37" t="s">
        <v>63</v>
      </c>
      <c r="AO83" s="37" t="s">
        <v>16</v>
      </c>
      <c r="AP83" s="37" t="s">
        <v>64</v>
      </c>
      <c r="AQ83" s="37" t="s">
        <v>65</v>
      </c>
      <c r="AR83" s="37" t="s">
        <v>66</v>
      </c>
      <c r="AS83" s="37" t="s">
        <v>67</v>
      </c>
      <c r="AT83" s="37" t="s">
        <v>68</v>
      </c>
      <c r="AU83" s="37" t="s">
        <v>69</v>
      </c>
      <c r="AV83" s="37" t="s">
        <v>70</v>
      </c>
      <c r="AW83" s="37" t="s">
        <v>71</v>
      </c>
      <c r="AX83" s="37" t="s">
        <v>72</v>
      </c>
      <c r="AY83" s="37" t="s">
        <v>17</v>
      </c>
      <c r="AZ83" s="37" t="s">
        <v>73</v>
      </c>
      <c r="BA83" s="37" t="s">
        <v>74</v>
      </c>
      <c r="BB83" s="37" t="s">
        <v>75</v>
      </c>
      <c r="BC83" s="37" t="s">
        <v>76</v>
      </c>
      <c r="BD83" s="37" t="s">
        <v>77</v>
      </c>
      <c r="BE83" s="37" t="s">
        <v>29</v>
      </c>
      <c r="BF83" s="37" t="s">
        <v>78</v>
      </c>
      <c r="BG83" s="37" t="s">
        <v>79</v>
      </c>
      <c r="BH83" s="37" t="s">
        <v>80</v>
      </c>
      <c r="BI83" s="37" t="s">
        <v>81</v>
      </c>
      <c r="BJ83" s="37" t="s">
        <v>82</v>
      </c>
      <c r="BK83" s="37" t="s">
        <v>83</v>
      </c>
      <c r="BL83" s="37" t="s">
        <v>84</v>
      </c>
      <c r="BM83" s="37" t="s">
        <v>85</v>
      </c>
      <c r="BN83" s="37" t="s">
        <v>22</v>
      </c>
      <c r="BO83" s="37" t="s">
        <v>7</v>
      </c>
      <c r="BP83" s="37" t="s">
        <v>86</v>
      </c>
      <c r="BQ83" s="37" t="s">
        <v>18</v>
      </c>
      <c r="BR83" s="37" t="s">
        <v>87</v>
      </c>
      <c r="BS83" s="37" t="s">
        <v>88</v>
      </c>
      <c r="BT83" s="37" t="s">
        <v>89</v>
      </c>
      <c r="BU83" s="37" t="s">
        <v>90</v>
      </c>
      <c r="BV83" s="37" t="s">
        <v>91</v>
      </c>
      <c r="BW83" s="37" t="s">
        <v>92</v>
      </c>
      <c r="BX83" s="37" t="s">
        <v>93</v>
      </c>
      <c r="BY83" s="37" t="s">
        <v>94</v>
      </c>
      <c r="BZ83" s="37" t="s">
        <v>95</v>
      </c>
      <c r="CA83" s="37" t="s">
        <v>96</v>
      </c>
      <c r="CB83" s="37" t="s">
        <v>97</v>
      </c>
      <c r="CC83" s="37" t="s">
        <v>98</v>
      </c>
      <c r="CD83" s="37" t="s">
        <v>99</v>
      </c>
      <c r="CE83" s="37" t="s">
        <v>100</v>
      </c>
      <c r="CF83" s="37" t="s">
        <v>26</v>
      </c>
      <c r="CG83" s="37" t="s">
        <v>101</v>
      </c>
      <c r="CH83" s="37" t="s">
        <v>102</v>
      </c>
      <c r="CI83" s="37" t="s">
        <v>103</v>
      </c>
      <c r="CJ83" s="37" t="s">
        <v>104</v>
      </c>
      <c r="CK83" s="37" t="s">
        <v>105</v>
      </c>
      <c r="CL83" s="37" t="s">
        <v>106</v>
      </c>
      <c r="CM83" s="37" t="s">
        <v>19</v>
      </c>
      <c r="CN83" s="37" t="s">
        <v>107</v>
      </c>
      <c r="CO83" s="37" t="s">
        <v>108</v>
      </c>
      <c r="CP83" s="37" t="s">
        <v>109</v>
      </c>
      <c r="CQ83" s="37" t="s">
        <v>110</v>
      </c>
      <c r="CR83" s="37" t="s">
        <v>111</v>
      </c>
      <c r="CS83" s="37" t="s">
        <v>112</v>
      </c>
      <c r="CT83" s="37" t="s">
        <v>113</v>
      </c>
      <c r="CU83" s="37" t="s">
        <v>114</v>
      </c>
      <c r="CV83" s="37" t="s">
        <v>115</v>
      </c>
      <c r="CW83" s="37" t="s">
        <v>116</v>
      </c>
      <c r="CX83" s="37" t="s">
        <v>117</v>
      </c>
      <c r="CY83" s="37" t="s">
        <v>118</v>
      </c>
      <c r="CZ83" s="37" t="s">
        <v>119</v>
      </c>
      <c r="DA83" s="37" t="s">
        <v>120</v>
      </c>
      <c r="DB83" s="37" t="s">
        <v>121</v>
      </c>
      <c r="DC83" s="37" t="s">
        <v>122</v>
      </c>
      <c r="DD83" s="37" t="s">
        <v>123</v>
      </c>
      <c r="DE83" s="37" t="s">
        <v>124</v>
      </c>
      <c r="DF83" s="37" t="s">
        <v>125</v>
      </c>
      <c r="DG83" s="37" t="s">
        <v>126</v>
      </c>
      <c r="DH83" s="37" t="s">
        <v>127</v>
      </c>
      <c r="DI83" s="37" t="s">
        <v>128</v>
      </c>
      <c r="DJ83" s="37" t="s">
        <v>27</v>
      </c>
      <c r="DK83" s="37" t="s">
        <v>25</v>
      </c>
      <c r="DL83" s="37" t="s">
        <v>129</v>
      </c>
      <c r="DM83" s="37" t="s">
        <v>130</v>
      </c>
      <c r="DN83" s="37" t="s">
        <v>8</v>
      </c>
      <c r="DO83" s="37" t="s">
        <v>131</v>
      </c>
      <c r="DP83" s="37" t="s">
        <v>28</v>
      </c>
      <c r="DQ83" s="37" t="s">
        <v>132</v>
      </c>
      <c r="DR83" s="37" t="s">
        <v>133</v>
      </c>
      <c r="DS83" s="37" t="s">
        <v>134</v>
      </c>
      <c r="DT83" s="37" t="s">
        <v>135</v>
      </c>
      <c r="DU83" s="37" t="s">
        <v>136</v>
      </c>
      <c r="DV83" s="37" t="s">
        <v>137</v>
      </c>
      <c r="DW83" s="37" t="s">
        <v>138</v>
      </c>
      <c r="DX83" s="37" t="s">
        <v>139</v>
      </c>
      <c r="DY83" s="37" t="s">
        <v>140</v>
      </c>
      <c r="DZ83" s="37" t="s">
        <v>141</v>
      </c>
      <c r="EA83" s="37" t="s">
        <v>142</v>
      </c>
      <c r="EB83" s="37" t="s">
        <v>143</v>
      </c>
      <c r="EC83" s="37" t="s">
        <v>144</v>
      </c>
      <c r="ED83" s="37" t="s">
        <v>145</v>
      </c>
      <c r="EE83" s="37" t="s">
        <v>146</v>
      </c>
      <c r="EF83" s="37" t="s">
        <v>147</v>
      </c>
      <c r="EG83" s="37" t="s">
        <v>148</v>
      </c>
      <c r="EH83" s="37" t="s">
        <v>149</v>
      </c>
      <c r="EI83" s="37" t="s">
        <v>150</v>
      </c>
      <c r="EJ83" s="37" t="s">
        <v>151</v>
      </c>
      <c r="EK83" s="37" t="s">
        <v>152</v>
      </c>
      <c r="EL83" s="37" t="s">
        <v>153</v>
      </c>
      <c r="EM83" s="37" t="s">
        <v>154</v>
      </c>
      <c r="EN83" s="37" t="s">
        <v>155</v>
      </c>
      <c r="EO83" s="37" t="s">
        <v>156</v>
      </c>
      <c r="EP83" s="37" t="s">
        <v>157</v>
      </c>
      <c r="EQ83" s="37" t="s">
        <v>158</v>
      </c>
      <c r="ER83" s="37" t="s">
        <v>23</v>
      </c>
      <c r="ES83" s="37" t="s">
        <v>159</v>
      </c>
      <c r="ET83" s="67" t="s">
        <v>160</v>
      </c>
      <c r="EV83" s="17" t="s">
        <v>169</v>
      </c>
      <c r="EW83" s="17" t="s">
        <v>185</v>
      </c>
      <c r="EX83" s="17" t="s">
        <v>170</v>
      </c>
      <c r="EY83" s="17" t="s">
        <v>170</v>
      </c>
      <c r="EZ83" s="17" t="s">
        <v>171</v>
      </c>
      <c r="FA83" s="17" t="s">
        <v>172</v>
      </c>
      <c r="FB83" s="68" t="s">
        <v>173</v>
      </c>
    </row>
    <row r="84" spans="1:162" x14ac:dyDescent="0.3">
      <c r="A84" s="37" t="s">
        <v>6</v>
      </c>
      <c r="B84" s="67">
        <v>0</v>
      </c>
      <c r="C84" s="67">
        <v>0</v>
      </c>
      <c r="D84" s="67">
        <v>0</v>
      </c>
      <c r="E84" s="67">
        <v>0</v>
      </c>
      <c r="F84" s="67">
        <v>0</v>
      </c>
      <c r="G84" s="67">
        <v>0</v>
      </c>
      <c r="H84" s="67">
        <v>0</v>
      </c>
      <c r="I84" s="67">
        <v>0</v>
      </c>
      <c r="J84" s="67">
        <v>0</v>
      </c>
      <c r="K84" s="67">
        <v>0</v>
      </c>
      <c r="L84" s="67">
        <v>0</v>
      </c>
      <c r="M84" s="67">
        <v>0</v>
      </c>
      <c r="N84" s="67">
        <v>0</v>
      </c>
      <c r="O84" s="67">
        <v>0</v>
      </c>
      <c r="P84" s="67">
        <v>0</v>
      </c>
      <c r="Q84" s="67">
        <v>0</v>
      </c>
      <c r="R84" s="67">
        <v>0</v>
      </c>
      <c r="S84" s="67">
        <v>0</v>
      </c>
      <c r="T84" s="67">
        <v>0</v>
      </c>
      <c r="U84" s="67">
        <v>0</v>
      </c>
      <c r="V84" s="67">
        <v>0</v>
      </c>
      <c r="W84" s="67">
        <v>0</v>
      </c>
      <c r="X84" s="67">
        <v>0</v>
      </c>
      <c r="Y84" s="67">
        <v>0</v>
      </c>
      <c r="Z84" s="67">
        <v>0</v>
      </c>
      <c r="AA84" s="67">
        <v>0</v>
      </c>
      <c r="AB84" s="67">
        <v>0</v>
      </c>
      <c r="AC84" s="67">
        <v>0</v>
      </c>
      <c r="AD84" s="67">
        <v>0</v>
      </c>
      <c r="AE84" s="67">
        <v>0</v>
      </c>
      <c r="AF84" s="67">
        <v>0</v>
      </c>
      <c r="AG84" s="67">
        <v>0</v>
      </c>
      <c r="AH84" s="67">
        <v>0</v>
      </c>
      <c r="AI84" s="67">
        <v>0</v>
      </c>
      <c r="AJ84" s="67">
        <v>0</v>
      </c>
      <c r="AK84" s="67">
        <v>0</v>
      </c>
      <c r="AL84" s="67">
        <v>0</v>
      </c>
      <c r="AM84" s="67">
        <v>0</v>
      </c>
      <c r="AN84" s="67">
        <v>0</v>
      </c>
      <c r="AO84" s="67">
        <v>0</v>
      </c>
      <c r="AP84" s="67">
        <v>0</v>
      </c>
      <c r="AQ84" s="67">
        <v>0</v>
      </c>
      <c r="AR84" s="67">
        <v>0</v>
      </c>
      <c r="AS84" s="67">
        <v>0</v>
      </c>
      <c r="AT84" s="67">
        <v>0</v>
      </c>
      <c r="AU84" s="67">
        <v>0</v>
      </c>
      <c r="AV84" s="67">
        <v>0</v>
      </c>
      <c r="AW84" s="67">
        <v>0</v>
      </c>
      <c r="AX84" s="67">
        <v>0</v>
      </c>
      <c r="AY84" s="67">
        <v>0</v>
      </c>
      <c r="AZ84" s="67">
        <v>0</v>
      </c>
      <c r="BA84" s="67">
        <v>0</v>
      </c>
      <c r="BB84" s="67">
        <v>0</v>
      </c>
      <c r="BC84" s="67">
        <v>0</v>
      </c>
      <c r="BD84" s="67">
        <v>0</v>
      </c>
      <c r="BE84" s="67">
        <v>0</v>
      </c>
      <c r="BF84" s="67">
        <v>0</v>
      </c>
      <c r="BG84" s="67">
        <v>0</v>
      </c>
      <c r="BH84" s="67">
        <v>0</v>
      </c>
      <c r="BI84" s="67">
        <v>0</v>
      </c>
      <c r="BJ84" s="67">
        <v>0</v>
      </c>
      <c r="BK84" s="67">
        <v>0</v>
      </c>
      <c r="BL84" s="67">
        <v>0</v>
      </c>
      <c r="BM84" s="67">
        <v>0</v>
      </c>
      <c r="BN84" s="67">
        <v>0</v>
      </c>
      <c r="BO84" s="67">
        <v>0</v>
      </c>
      <c r="BP84" s="67">
        <v>0</v>
      </c>
      <c r="BQ84" s="67">
        <v>0</v>
      </c>
      <c r="BR84" s="67">
        <v>0</v>
      </c>
      <c r="BS84" s="67">
        <v>0</v>
      </c>
      <c r="BT84" s="67">
        <v>0</v>
      </c>
      <c r="BU84" s="67">
        <v>0</v>
      </c>
      <c r="BV84" s="67">
        <v>0</v>
      </c>
      <c r="BW84" s="67">
        <v>0</v>
      </c>
      <c r="BX84" s="67">
        <v>0</v>
      </c>
      <c r="BY84" s="67">
        <v>0</v>
      </c>
      <c r="BZ84" s="67">
        <v>0</v>
      </c>
      <c r="CA84" s="67">
        <v>0</v>
      </c>
      <c r="CB84" s="67">
        <v>0</v>
      </c>
      <c r="CC84" s="67">
        <v>0</v>
      </c>
      <c r="CD84" s="67">
        <v>0</v>
      </c>
      <c r="CE84" s="67">
        <v>0</v>
      </c>
      <c r="CF84" s="67">
        <v>0</v>
      </c>
      <c r="CG84" s="67">
        <v>0</v>
      </c>
      <c r="CH84" s="67">
        <v>0</v>
      </c>
      <c r="CI84" s="67">
        <v>0</v>
      </c>
      <c r="CJ84" s="67">
        <v>0</v>
      </c>
      <c r="CK84" s="67">
        <v>0</v>
      </c>
      <c r="CL84" s="67">
        <v>0</v>
      </c>
      <c r="CM84" s="67">
        <v>0</v>
      </c>
      <c r="CN84" s="67">
        <v>0</v>
      </c>
      <c r="CO84" s="67">
        <v>0</v>
      </c>
      <c r="CP84" s="67">
        <v>0</v>
      </c>
      <c r="CQ84" s="67">
        <v>0</v>
      </c>
      <c r="CR84" s="67">
        <v>0</v>
      </c>
      <c r="CS84" s="67">
        <v>0</v>
      </c>
      <c r="CT84" s="67">
        <v>0</v>
      </c>
      <c r="CU84" s="67">
        <v>0</v>
      </c>
      <c r="CV84" s="67">
        <v>0</v>
      </c>
      <c r="CW84" s="67">
        <v>0</v>
      </c>
      <c r="CX84" s="67">
        <v>0</v>
      </c>
      <c r="CY84" s="67">
        <v>0</v>
      </c>
      <c r="CZ84" s="67">
        <v>0</v>
      </c>
      <c r="DA84" s="67">
        <v>0</v>
      </c>
      <c r="DB84" s="67">
        <v>0</v>
      </c>
      <c r="DC84" s="67">
        <v>0</v>
      </c>
      <c r="DD84" s="67">
        <v>0</v>
      </c>
      <c r="DE84" s="67">
        <v>0</v>
      </c>
      <c r="DF84" s="67">
        <v>0</v>
      </c>
      <c r="DG84" s="67">
        <v>0</v>
      </c>
      <c r="DH84" s="67">
        <v>0</v>
      </c>
      <c r="DI84" s="67">
        <v>0</v>
      </c>
      <c r="DJ84" s="67">
        <v>0</v>
      </c>
      <c r="DK84" s="67">
        <v>0</v>
      </c>
      <c r="DL84" s="67">
        <v>0</v>
      </c>
      <c r="DM84" s="67">
        <v>0</v>
      </c>
      <c r="DN84" s="67">
        <v>0</v>
      </c>
      <c r="DO84" s="67">
        <v>0</v>
      </c>
      <c r="DP84" s="67">
        <v>0</v>
      </c>
      <c r="DQ84" s="67">
        <v>0</v>
      </c>
      <c r="DR84" s="67">
        <v>0</v>
      </c>
      <c r="DS84" s="67">
        <v>0</v>
      </c>
      <c r="DT84" s="67">
        <v>0</v>
      </c>
      <c r="DU84" s="67">
        <v>0</v>
      </c>
      <c r="DV84" s="67">
        <v>0</v>
      </c>
      <c r="DW84" s="67">
        <v>0</v>
      </c>
      <c r="DX84" s="67">
        <v>0</v>
      </c>
      <c r="DY84" s="67">
        <v>0</v>
      </c>
      <c r="DZ84" s="67">
        <v>0</v>
      </c>
      <c r="EA84" s="67">
        <v>0</v>
      </c>
      <c r="EB84" s="67">
        <v>0</v>
      </c>
      <c r="EC84" s="67">
        <v>0</v>
      </c>
      <c r="ED84" s="67">
        <v>0</v>
      </c>
      <c r="EE84" s="67">
        <v>0</v>
      </c>
      <c r="EF84" s="67">
        <v>0</v>
      </c>
      <c r="EG84" s="67">
        <v>0</v>
      </c>
      <c r="EH84" s="67">
        <v>0</v>
      </c>
      <c r="EI84" s="67">
        <v>0</v>
      </c>
      <c r="EJ84" s="67">
        <v>0</v>
      </c>
      <c r="EK84" s="67">
        <v>0</v>
      </c>
      <c r="EL84" s="67">
        <v>0</v>
      </c>
      <c r="EM84" s="67">
        <v>0</v>
      </c>
      <c r="EN84" s="67">
        <v>0</v>
      </c>
      <c r="EO84" s="67">
        <v>0</v>
      </c>
      <c r="EP84" s="67">
        <v>0</v>
      </c>
      <c r="EQ84" s="67">
        <v>0</v>
      </c>
      <c r="ER84" s="67">
        <v>0</v>
      </c>
      <c r="ES84" s="67">
        <v>0</v>
      </c>
      <c r="ET84" s="36">
        <f>SUM(B84:ES84)</f>
        <v>0</v>
      </c>
      <c r="EV84" s="17">
        <v>0</v>
      </c>
      <c r="EW84" s="60">
        <f>CEILING(ET84*$EW$82,100)</f>
        <v>0</v>
      </c>
      <c r="EX84" s="68">
        <f>(EW84*EV84*$EX$82)*12</f>
        <v>0</v>
      </c>
      <c r="EY84" s="68">
        <f t="shared" ref="EY84:EY106" si="3">EV84*EX84</f>
        <v>0</v>
      </c>
      <c r="EZ84" s="69">
        <v>2.9</v>
      </c>
      <c r="FA84" s="17">
        <f t="shared" ref="FA84:FA106" si="4">3000*1000*EV84</f>
        <v>0</v>
      </c>
      <c r="FB84" s="68">
        <f t="shared" ref="FB84:FB106" si="5">EZ84*ET84</f>
        <v>0</v>
      </c>
      <c r="FD84" s="68"/>
      <c r="FE84" s="60"/>
    </row>
    <row r="85" spans="1:162" x14ac:dyDescent="0.3">
      <c r="A85" s="37" t="s">
        <v>15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7">
        <v>0</v>
      </c>
      <c r="M85" s="67">
        <v>0</v>
      </c>
      <c r="N85" s="67">
        <v>0</v>
      </c>
      <c r="O85" s="67">
        <v>0</v>
      </c>
      <c r="P85" s="67">
        <v>0</v>
      </c>
      <c r="Q85" s="67">
        <v>0</v>
      </c>
      <c r="R85" s="67">
        <v>0</v>
      </c>
      <c r="S85" s="67">
        <v>0</v>
      </c>
      <c r="T85" s="67">
        <v>0</v>
      </c>
      <c r="U85" s="67">
        <v>0</v>
      </c>
      <c r="V85" s="67">
        <v>0</v>
      </c>
      <c r="W85" s="67">
        <v>0</v>
      </c>
      <c r="X85" s="67">
        <v>0</v>
      </c>
      <c r="Y85" s="67">
        <v>0</v>
      </c>
      <c r="Z85" s="67">
        <v>0</v>
      </c>
      <c r="AA85" s="67">
        <v>0</v>
      </c>
      <c r="AB85" s="67">
        <v>0</v>
      </c>
      <c r="AC85" s="67">
        <v>0</v>
      </c>
      <c r="AD85" s="67">
        <v>0</v>
      </c>
      <c r="AE85" s="67">
        <v>0</v>
      </c>
      <c r="AF85" s="67">
        <v>0</v>
      </c>
      <c r="AG85" s="67">
        <v>0</v>
      </c>
      <c r="AH85" s="67">
        <v>0</v>
      </c>
      <c r="AI85" s="67">
        <v>0</v>
      </c>
      <c r="AJ85" s="67">
        <v>0</v>
      </c>
      <c r="AK85" s="67">
        <v>0</v>
      </c>
      <c r="AL85" s="67">
        <v>0</v>
      </c>
      <c r="AM85" s="67">
        <v>0</v>
      </c>
      <c r="AN85" s="67">
        <v>0</v>
      </c>
      <c r="AO85" s="67">
        <v>0</v>
      </c>
      <c r="AP85" s="67">
        <v>0</v>
      </c>
      <c r="AQ85" s="67">
        <v>0</v>
      </c>
      <c r="AR85" s="67">
        <v>0</v>
      </c>
      <c r="AS85" s="67">
        <v>0</v>
      </c>
      <c r="AT85" s="67">
        <v>0</v>
      </c>
      <c r="AU85" s="67">
        <v>0</v>
      </c>
      <c r="AV85" s="67">
        <v>0</v>
      </c>
      <c r="AW85" s="67">
        <v>0</v>
      </c>
      <c r="AX85" s="67">
        <v>0</v>
      </c>
      <c r="AY85" s="67">
        <v>0</v>
      </c>
      <c r="AZ85" s="67">
        <v>0</v>
      </c>
      <c r="BA85" s="67">
        <v>0</v>
      </c>
      <c r="BB85" s="67">
        <v>0</v>
      </c>
      <c r="BC85" s="67">
        <v>0</v>
      </c>
      <c r="BD85" s="67">
        <v>0</v>
      </c>
      <c r="BE85" s="67">
        <v>0</v>
      </c>
      <c r="BF85" s="67">
        <v>0</v>
      </c>
      <c r="BG85" s="67">
        <v>0</v>
      </c>
      <c r="BH85" s="67">
        <v>0</v>
      </c>
      <c r="BI85" s="67">
        <v>0</v>
      </c>
      <c r="BJ85" s="67">
        <v>0</v>
      </c>
      <c r="BK85" s="67">
        <v>0</v>
      </c>
      <c r="BL85" s="67">
        <v>0</v>
      </c>
      <c r="BM85" s="67">
        <v>0</v>
      </c>
      <c r="BN85" s="67">
        <v>0</v>
      </c>
      <c r="BO85" s="67">
        <v>0</v>
      </c>
      <c r="BP85" s="67">
        <v>0</v>
      </c>
      <c r="BQ85" s="67">
        <v>0</v>
      </c>
      <c r="BR85" s="67">
        <v>0</v>
      </c>
      <c r="BS85" s="67">
        <v>0</v>
      </c>
      <c r="BT85" s="67">
        <v>0</v>
      </c>
      <c r="BU85" s="67">
        <v>0</v>
      </c>
      <c r="BV85" s="67">
        <v>0</v>
      </c>
      <c r="BW85" s="67">
        <v>0</v>
      </c>
      <c r="BX85" s="67">
        <v>0</v>
      </c>
      <c r="BY85" s="67">
        <v>0</v>
      </c>
      <c r="BZ85" s="67">
        <v>0</v>
      </c>
      <c r="CA85" s="67">
        <v>0</v>
      </c>
      <c r="CB85" s="67">
        <v>0</v>
      </c>
      <c r="CC85" s="67">
        <v>0</v>
      </c>
      <c r="CD85" s="67">
        <v>0</v>
      </c>
      <c r="CE85" s="67">
        <v>0</v>
      </c>
      <c r="CF85" s="67">
        <v>0</v>
      </c>
      <c r="CG85" s="67">
        <v>0</v>
      </c>
      <c r="CH85" s="67">
        <v>0</v>
      </c>
      <c r="CI85" s="67">
        <v>0</v>
      </c>
      <c r="CJ85" s="67">
        <v>0</v>
      </c>
      <c r="CK85" s="67">
        <v>0</v>
      </c>
      <c r="CL85" s="67">
        <v>0</v>
      </c>
      <c r="CM85" s="67">
        <v>0</v>
      </c>
      <c r="CN85" s="67">
        <v>0</v>
      </c>
      <c r="CO85" s="67">
        <v>0</v>
      </c>
      <c r="CP85" s="67">
        <v>0</v>
      </c>
      <c r="CQ85" s="67">
        <v>0</v>
      </c>
      <c r="CR85" s="67">
        <v>0</v>
      </c>
      <c r="CS85" s="67">
        <v>0</v>
      </c>
      <c r="CT85" s="67">
        <v>0</v>
      </c>
      <c r="CU85" s="67">
        <v>0</v>
      </c>
      <c r="CV85" s="67">
        <v>0</v>
      </c>
      <c r="CW85" s="67">
        <v>0</v>
      </c>
      <c r="CX85" s="67">
        <v>0</v>
      </c>
      <c r="CY85" s="67">
        <v>0</v>
      </c>
      <c r="CZ85" s="67">
        <v>0</v>
      </c>
      <c r="DA85" s="67">
        <v>0</v>
      </c>
      <c r="DB85" s="67">
        <v>0</v>
      </c>
      <c r="DC85" s="67">
        <v>0</v>
      </c>
      <c r="DD85" s="67">
        <v>0</v>
      </c>
      <c r="DE85" s="67">
        <v>0</v>
      </c>
      <c r="DF85" s="67">
        <v>0</v>
      </c>
      <c r="DG85" s="67">
        <v>0</v>
      </c>
      <c r="DH85" s="67">
        <v>0</v>
      </c>
      <c r="DI85" s="67">
        <v>0</v>
      </c>
      <c r="DJ85" s="67">
        <v>0</v>
      </c>
      <c r="DK85" s="67">
        <v>0</v>
      </c>
      <c r="DL85" s="67">
        <v>0</v>
      </c>
      <c r="DM85" s="67">
        <v>0</v>
      </c>
      <c r="DN85" s="67">
        <v>0</v>
      </c>
      <c r="DO85" s="67">
        <v>0</v>
      </c>
      <c r="DP85" s="67">
        <v>0</v>
      </c>
      <c r="DQ85" s="67">
        <v>0</v>
      </c>
      <c r="DR85" s="67">
        <v>0</v>
      </c>
      <c r="DS85" s="67">
        <v>0</v>
      </c>
      <c r="DT85" s="67">
        <v>0</v>
      </c>
      <c r="DU85" s="67">
        <v>0</v>
      </c>
      <c r="DV85" s="67">
        <v>0</v>
      </c>
      <c r="DW85" s="67">
        <v>0</v>
      </c>
      <c r="DX85" s="67">
        <v>0</v>
      </c>
      <c r="DY85" s="67">
        <v>0</v>
      </c>
      <c r="DZ85" s="67">
        <v>0</v>
      </c>
      <c r="EA85" s="67">
        <v>0</v>
      </c>
      <c r="EB85" s="67">
        <v>0</v>
      </c>
      <c r="EC85" s="67">
        <v>0</v>
      </c>
      <c r="ED85" s="67">
        <v>0</v>
      </c>
      <c r="EE85" s="67">
        <v>0</v>
      </c>
      <c r="EF85" s="67">
        <v>0</v>
      </c>
      <c r="EG85" s="67">
        <v>0</v>
      </c>
      <c r="EH85" s="67">
        <v>0</v>
      </c>
      <c r="EI85" s="67">
        <v>0</v>
      </c>
      <c r="EJ85" s="67">
        <v>0</v>
      </c>
      <c r="EK85" s="67">
        <v>0</v>
      </c>
      <c r="EL85" s="67">
        <v>0</v>
      </c>
      <c r="EM85" s="67">
        <v>0</v>
      </c>
      <c r="EN85" s="67">
        <v>0</v>
      </c>
      <c r="EO85" s="67">
        <v>0</v>
      </c>
      <c r="EP85" s="67">
        <v>0</v>
      </c>
      <c r="EQ85" s="67">
        <v>0</v>
      </c>
      <c r="ER85" s="67">
        <v>0</v>
      </c>
      <c r="ES85" s="67">
        <v>0</v>
      </c>
      <c r="ET85" s="36">
        <f t="shared" ref="ET85:ET106" si="6">SUM(B85:ES85)</f>
        <v>0</v>
      </c>
      <c r="EV85" s="17">
        <v>0</v>
      </c>
      <c r="EW85" s="60">
        <f t="shared" ref="EW85:EW106" si="7">CEILING(ET85*$EW$82,100)</f>
        <v>0</v>
      </c>
      <c r="EX85" s="68">
        <f t="shared" ref="EX85:EX106" si="8">(EW85*EV85*$EX$82)*12</f>
        <v>0</v>
      </c>
      <c r="EY85" s="68">
        <f t="shared" si="3"/>
        <v>0</v>
      </c>
      <c r="EZ85" s="69">
        <v>3.15</v>
      </c>
      <c r="FA85" s="17">
        <f t="shared" si="4"/>
        <v>0</v>
      </c>
      <c r="FB85" s="68">
        <f t="shared" si="5"/>
        <v>0</v>
      </c>
      <c r="FD85" s="68"/>
    </row>
    <row r="86" spans="1:162" x14ac:dyDescent="0.3">
      <c r="A86" s="37" t="s">
        <v>4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7">
        <v>0</v>
      </c>
      <c r="M86" s="67">
        <v>0</v>
      </c>
      <c r="N86" s="67">
        <v>0</v>
      </c>
      <c r="O86" s="67">
        <v>0</v>
      </c>
      <c r="P86" s="67">
        <v>0</v>
      </c>
      <c r="Q86" s="67">
        <v>0</v>
      </c>
      <c r="R86" s="67">
        <v>0</v>
      </c>
      <c r="S86" s="67">
        <v>0</v>
      </c>
      <c r="T86" s="67">
        <v>0</v>
      </c>
      <c r="U86" s="67">
        <v>0</v>
      </c>
      <c r="V86" s="67">
        <v>0</v>
      </c>
      <c r="W86" s="67">
        <v>0</v>
      </c>
      <c r="X86" s="67">
        <v>0</v>
      </c>
      <c r="Y86" s="67">
        <v>0</v>
      </c>
      <c r="Z86" s="67">
        <v>0</v>
      </c>
      <c r="AA86" s="67">
        <v>0</v>
      </c>
      <c r="AB86" s="67">
        <v>0</v>
      </c>
      <c r="AC86" s="67">
        <v>0</v>
      </c>
      <c r="AD86" s="67">
        <v>0</v>
      </c>
      <c r="AE86" s="67">
        <v>0</v>
      </c>
      <c r="AF86" s="67">
        <v>0</v>
      </c>
      <c r="AG86" s="67">
        <v>0</v>
      </c>
      <c r="AH86" s="67">
        <v>0</v>
      </c>
      <c r="AI86" s="67">
        <v>0</v>
      </c>
      <c r="AJ86" s="67">
        <v>0</v>
      </c>
      <c r="AK86" s="67">
        <v>0</v>
      </c>
      <c r="AL86" s="67">
        <v>0</v>
      </c>
      <c r="AM86" s="67">
        <v>0</v>
      </c>
      <c r="AN86" s="67">
        <v>0</v>
      </c>
      <c r="AO86" s="67">
        <v>0</v>
      </c>
      <c r="AP86" s="67">
        <v>0</v>
      </c>
      <c r="AQ86" s="67">
        <v>0</v>
      </c>
      <c r="AR86" s="67">
        <v>0</v>
      </c>
      <c r="AS86" s="67">
        <v>0</v>
      </c>
      <c r="AT86" s="67">
        <v>0</v>
      </c>
      <c r="AU86" s="67">
        <v>0</v>
      </c>
      <c r="AV86" s="67">
        <v>0</v>
      </c>
      <c r="AW86" s="67">
        <v>0</v>
      </c>
      <c r="AX86" s="67">
        <v>0</v>
      </c>
      <c r="AY86" s="67">
        <v>0</v>
      </c>
      <c r="AZ86" s="67">
        <v>0</v>
      </c>
      <c r="BA86" s="67">
        <v>0</v>
      </c>
      <c r="BB86" s="67">
        <v>0</v>
      </c>
      <c r="BC86" s="67">
        <v>0</v>
      </c>
      <c r="BD86" s="67">
        <v>0</v>
      </c>
      <c r="BE86" s="67">
        <v>0</v>
      </c>
      <c r="BF86" s="67">
        <v>0</v>
      </c>
      <c r="BG86" s="67">
        <v>0</v>
      </c>
      <c r="BH86" s="67">
        <v>0</v>
      </c>
      <c r="BI86" s="67">
        <v>0</v>
      </c>
      <c r="BJ86" s="67">
        <v>0</v>
      </c>
      <c r="BK86" s="67">
        <v>0</v>
      </c>
      <c r="BL86" s="67">
        <v>0</v>
      </c>
      <c r="BM86" s="67">
        <v>0</v>
      </c>
      <c r="BN86" s="67">
        <v>0</v>
      </c>
      <c r="BO86" s="67">
        <v>0</v>
      </c>
      <c r="BP86" s="67">
        <v>0</v>
      </c>
      <c r="BQ86" s="67">
        <v>0</v>
      </c>
      <c r="BR86" s="67">
        <v>0</v>
      </c>
      <c r="BS86" s="67">
        <v>0</v>
      </c>
      <c r="BT86" s="67">
        <v>0</v>
      </c>
      <c r="BU86" s="67">
        <v>0</v>
      </c>
      <c r="BV86" s="67">
        <v>0</v>
      </c>
      <c r="BW86" s="67">
        <v>0</v>
      </c>
      <c r="BX86" s="67">
        <v>0</v>
      </c>
      <c r="BY86" s="67">
        <v>0</v>
      </c>
      <c r="BZ86" s="67">
        <v>0</v>
      </c>
      <c r="CA86" s="67">
        <v>0</v>
      </c>
      <c r="CB86" s="67">
        <v>0</v>
      </c>
      <c r="CC86" s="67">
        <v>0</v>
      </c>
      <c r="CD86" s="67">
        <v>0</v>
      </c>
      <c r="CE86" s="67">
        <v>0</v>
      </c>
      <c r="CF86" s="67">
        <v>0</v>
      </c>
      <c r="CG86" s="67">
        <v>0</v>
      </c>
      <c r="CH86" s="67">
        <v>0</v>
      </c>
      <c r="CI86" s="67">
        <v>0</v>
      </c>
      <c r="CJ86" s="67">
        <v>0</v>
      </c>
      <c r="CK86" s="67">
        <v>0</v>
      </c>
      <c r="CL86" s="67">
        <v>0</v>
      </c>
      <c r="CM86" s="67">
        <v>0</v>
      </c>
      <c r="CN86" s="67">
        <v>0</v>
      </c>
      <c r="CO86" s="67">
        <v>0</v>
      </c>
      <c r="CP86" s="67">
        <v>0</v>
      </c>
      <c r="CQ86" s="67">
        <v>0</v>
      </c>
      <c r="CR86" s="67">
        <v>0</v>
      </c>
      <c r="CS86" s="67">
        <v>0</v>
      </c>
      <c r="CT86" s="67">
        <v>0</v>
      </c>
      <c r="CU86" s="67">
        <v>0</v>
      </c>
      <c r="CV86" s="67">
        <v>0</v>
      </c>
      <c r="CW86" s="67">
        <v>0</v>
      </c>
      <c r="CX86" s="67">
        <v>0</v>
      </c>
      <c r="CY86" s="67">
        <v>0</v>
      </c>
      <c r="CZ86" s="67">
        <v>0</v>
      </c>
      <c r="DA86" s="67">
        <v>0</v>
      </c>
      <c r="DB86" s="67">
        <v>0</v>
      </c>
      <c r="DC86" s="67">
        <v>0</v>
      </c>
      <c r="DD86" s="67">
        <v>0</v>
      </c>
      <c r="DE86" s="67">
        <v>0</v>
      </c>
      <c r="DF86" s="67">
        <v>0</v>
      </c>
      <c r="DG86" s="67">
        <v>0</v>
      </c>
      <c r="DH86" s="67">
        <v>0</v>
      </c>
      <c r="DI86" s="67">
        <v>0</v>
      </c>
      <c r="DJ86" s="67">
        <v>0</v>
      </c>
      <c r="DK86" s="67">
        <v>0</v>
      </c>
      <c r="DL86" s="67">
        <v>0</v>
      </c>
      <c r="DM86" s="67">
        <v>0</v>
      </c>
      <c r="DN86" s="67">
        <v>0</v>
      </c>
      <c r="DO86" s="67">
        <v>0</v>
      </c>
      <c r="DP86" s="67">
        <v>0</v>
      </c>
      <c r="DQ86" s="67">
        <v>0</v>
      </c>
      <c r="DR86" s="67">
        <v>0</v>
      </c>
      <c r="DS86" s="67">
        <v>0</v>
      </c>
      <c r="DT86" s="67">
        <v>0</v>
      </c>
      <c r="DU86" s="67">
        <v>0</v>
      </c>
      <c r="DV86" s="67">
        <v>0</v>
      </c>
      <c r="DW86" s="67">
        <v>0</v>
      </c>
      <c r="DX86" s="67">
        <v>0</v>
      </c>
      <c r="DY86" s="67">
        <v>0</v>
      </c>
      <c r="DZ86" s="67">
        <v>0</v>
      </c>
      <c r="EA86" s="67">
        <v>0</v>
      </c>
      <c r="EB86" s="67">
        <v>0</v>
      </c>
      <c r="EC86" s="67">
        <v>0</v>
      </c>
      <c r="ED86" s="67">
        <v>0</v>
      </c>
      <c r="EE86" s="67">
        <v>0</v>
      </c>
      <c r="EF86" s="67">
        <v>0</v>
      </c>
      <c r="EG86" s="67">
        <v>0</v>
      </c>
      <c r="EH86" s="67">
        <v>0</v>
      </c>
      <c r="EI86" s="67">
        <v>0</v>
      </c>
      <c r="EJ86" s="67">
        <v>0</v>
      </c>
      <c r="EK86" s="67">
        <v>0</v>
      </c>
      <c r="EL86" s="67">
        <v>0</v>
      </c>
      <c r="EM86" s="67">
        <v>0</v>
      </c>
      <c r="EN86" s="67">
        <v>0</v>
      </c>
      <c r="EO86" s="67">
        <v>0</v>
      </c>
      <c r="EP86" s="67">
        <v>0</v>
      </c>
      <c r="EQ86" s="67">
        <v>0</v>
      </c>
      <c r="ER86" s="67">
        <v>0</v>
      </c>
      <c r="ES86" s="67">
        <v>0</v>
      </c>
      <c r="ET86" s="36">
        <f t="shared" si="6"/>
        <v>0</v>
      </c>
      <c r="EV86" s="17">
        <v>0</v>
      </c>
      <c r="EW86" s="60">
        <f t="shared" si="7"/>
        <v>0</v>
      </c>
      <c r="EX86" s="68">
        <f t="shared" si="8"/>
        <v>0</v>
      </c>
      <c r="EY86" s="68">
        <f t="shared" si="3"/>
        <v>0</v>
      </c>
      <c r="EZ86" s="69">
        <v>2.75</v>
      </c>
      <c r="FA86" s="17">
        <f t="shared" si="4"/>
        <v>0</v>
      </c>
      <c r="FB86" s="68">
        <f t="shared" si="5"/>
        <v>0</v>
      </c>
      <c r="FD86" s="68"/>
    </row>
    <row r="87" spans="1:162" x14ac:dyDescent="0.3">
      <c r="A87" s="37" t="s">
        <v>20</v>
      </c>
      <c r="B87" s="67">
        <v>0</v>
      </c>
      <c r="C87" s="67">
        <v>0</v>
      </c>
      <c r="D87" s="67">
        <v>0</v>
      </c>
      <c r="E87" s="67">
        <v>0</v>
      </c>
      <c r="F87" s="67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7">
        <v>0</v>
      </c>
      <c r="M87" s="67">
        <v>0</v>
      </c>
      <c r="N87" s="67">
        <v>50000</v>
      </c>
      <c r="O87" s="67">
        <v>0</v>
      </c>
      <c r="P87" s="67">
        <v>0</v>
      </c>
      <c r="Q87" s="67">
        <v>0</v>
      </c>
      <c r="R87" s="67">
        <v>0</v>
      </c>
      <c r="S87" s="67">
        <v>0</v>
      </c>
      <c r="T87" s="67">
        <v>0</v>
      </c>
      <c r="U87" s="67">
        <v>0</v>
      </c>
      <c r="V87" s="67">
        <v>0</v>
      </c>
      <c r="W87" s="67">
        <v>0</v>
      </c>
      <c r="X87" s="67">
        <v>0</v>
      </c>
      <c r="Y87" s="67">
        <v>0</v>
      </c>
      <c r="Z87" s="67">
        <v>0</v>
      </c>
      <c r="AA87" s="67">
        <v>0</v>
      </c>
      <c r="AB87" s="67">
        <v>0</v>
      </c>
      <c r="AC87" s="67">
        <v>0</v>
      </c>
      <c r="AD87" s="67">
        <v>0</v>
      </c>
      <c r="AE87" s="67">
        <v>0</v>
      </c>
      <c r="AF87" s="67">
        <v>0</v>
      </c>
      <c r="AG87" s="67">
        <v>221000</v>
      </c>
      <c r="AH87" s="67">
        <v>13000</v>
      </c>
      <c r="AI87" s="67">
        <v>0</v>
      </c>
      <c r="AJ87" s="67">
        <v>0</v>
      </c>
      <c r="AK87" s="67">
        <v>0</v>
      </c>
      <c r="AL87" s="67">
        <v>0</v>
      </c>
      <c r="AM87" s="67">
        <v>0</v>
      </c>
      <c r="AN87" s="67">
        <v>21000</v>
      </c>
      <c r="AO87" s="67">
        <v>0</v>
      </c>
      <c r="AP87" s="67">
        <v>0</v>
      </c>
      <c r="AQ87" s="67">
        <v>0</v>
      </c>
      <c r="AR87" s="67">
        <v>0</v>
      </c>
      <c r="AS87" s="67">
        <v>0</v>
      </c>
      <c r="AT87" s="67">
        <v>0</v>
      </c>
      <c r="AU87" s="67">
        <v>0</v>
      </c>
      <c r="AV87" s="67">
        <v>0</v>
      </c>
      <c r="AW87" s="67">
        <v>0</v>
      </c>
      <c r="AX87" s="67">
        <v>0</v>
      </c>
      <c r="AY87" s="67">
        <v>0</v>
      </c>
      <c r="AZ87" s="67">
        <v>0</v>
      </c>
      <c r="BA87" s="67">
        <v>0</v>
      </c>
      <c r="BB87" s="67">
        <v>0</v>
      </c>
      <c r="BC87" s="67">
        <v>0</v>
      </c>
      <c r="BD87" s="67">
        <v>0</v>
      </c>
      <c r="BE87" s="67">
        <v>0</v>
      </c>
      <c r="BF87" s="67">
        <v>0</v>
      </c>
      <c r="BG87" s="67">
        <v>0</v>
      </c>
      <c r="BH87" s="67">
        <v>0</v>
      </c>
      <c r="BI87" s="67">
        <v>0</v>
      </c>
      <c r="BJ87" s="67">
        <v>0</v>
      </c>
      <c r="BK87" s="67">
        <v>0</v>
      </c>
      <c r="BL87" s="67">
        <v>0</v>
      </c>
      <c r="BM87" s="67">
        <v>9000</v>
      </c>
      <c r="BN87" s="67">
        <v>0</v>
      </c>
      <c r="BO87" s="67">
        <v>0</v>
      </c>
      <c r="BP87" s="67">
        <v>0</v>
      </c>
      <c r="BQ87" s="67">
        <v>0</v>
      </c>
      <c r="BR87" s="67">
        <v>0</v>
      </c>
      <c r="BS87" s="67">
        <v>0</v>
      </c>
      <c r="BT87" s="67">
        <v>0</v>
      </c>
      <c r="BU87" s="67">
        <v>0</v>
      </c>
      <c r="BV87" s="67">
        <v>0</v>
      </c>
      <c r="BW87" s="67">
        <v>0</v>
      </c>
      <c r="BX87" s="67">
        <v>0</v>
      </c>
      <c r="BY87" s="67">
        <v>0</v>
      </c>
      <c r="BZ87" s="67">
        <v>0</v>
      </c>
      <c r="CA87" s="67">
        <v>0</v>
      </c>
      <c r="CB87" s="67">
        <v>0</v>
      </c>
      <c r="CC87" s="67">
        <v>0</v>
      </c>
      <c r="CD87" s="67">
        <v>0</v>
      </c>
      <c r="CE87" s="67">
        <v>0</v>
      </c>
      <c r="CF87" s="67">
        <v>0</v>
      </c>
      <c r="CG87" s="67">
        <v>0</v>
      </c>
      <c r="CH87" s="67">
        <v>0</v>
      </c>
      <c r="CI87" s="67">
        <v>0</v>
      </c>
      <c r="CJ87" s="67">
        <v>0</v>
      </c>
      <c r="CK87" s="67">
        <v>0</v>
      </c>
      <c r="CL87" s="67">
        <v>0</v>
      </c>
      <c r="CM87" s="67">
        <v>0</v>
      </c>
      <c r="CN87" s="67">
        <v>0</v>
      </c>
      <c r="CO87" s="67">
        <v>0</v>
      </c>
      <c r="CP87" s="67">
        <v>25000</v>
      </c>
      <c r="CQ87" s="67">
        <v>0</v>
      </c>
      <c r="CR87" s="67">
        <v>0</v>
      </c>
      <c r="CS87" s="67">
        <v>0</v>
      </c>
      <c r="CT87" s="67">
        <v>0</v>
      </c>
      <c r="CU87" s="67">
        <v>0</v>
      </c>
      <c r="CV87" s="67">
        <v>0</v>
      </c>
      <c r="CW87" s="67">
        <v>0</v>
      </c>
      <c r="CX87" s="67">
        <v>0</v>
      </c>
      <c r="CY87" s="67">
        <v>0</v>
      </c>
      <c r="CZ87" s="67">
        <v>0</v>
      </c>
      <c r="DA87" s="67">
        <v>0</v>
      </c>
      <c r="DB87" s="67">
        <v>0</v>
      </c>
      <c r="DC87" s="67">
        <v>0</v>
      </c>
      <c r="DD87" s="67">
        <v>0</v>
      </c>
      <c r="DE87" s="67">
        <v>0</v>
      </c>
      <c r="DF87" s="67">
        <v>0</v>
      </c>
      <c r="DG87" s="67">
        <v>0</v>
      </c>
      <c r="DH87" s="67">
        <v>0</v>
      </c>
      <c r="DI87" s="67">
        <v>0</v>
      </c>
      <c r="DJ87" s="67">
        <v>0</v>
      </c>
      <c r="DK87" s="67">
        <v>0</v>
      </c>
      <c r="DL87" s="67">
        <v>0</v>
      </c>
      <c r="DM87" s="67">
        <v>0</v>
      </c>
      <c r="DN87" s="67">
        <v>0</v>
      </c>
      <c r="DO87" s="67">
        <v>0</v>
      </c>
      <c r="DP87" s="67">
        <v>0</v>
      </c>
      <c r="DQ87" s="67">
        <v>0</v>
      </c>
      <c r="DR87" s="67">
        <v>0</v>
      </c>
      <c r="DS87" s="67">
        <v>0</v>
      </c>
      <c r="DT87" s="67">
        <v>0</v>
      </c>
      <c r="DU87" s="67">
        <v>0</v>
      </c>
      <c r="DV87" s="67">
        <v>0</v>
      </c>
      <c r="DW87" s="67">
        <v>0</v>
      </c>
      <c r="DX87" s="67">
        <v>0</v>
      </c>
      <c r="DY87" s="67">
        <v>0</v>
      </c>
      <c r="DZ87" s="67">
        <v>0</v>
      </c>
      <c r="EA87" s="67">
        <v>0</v>
      </c>
      <c r="EB87" s="67">
        <v>0</v>
      </c>
      <c r="EC87" s="67">
        <v>0</v>
      </c>
      <c r="ED87" s="67">
        <v>0</v>
      </c>
      <c r="EE87" s="67">
        <v>0</v>
      </c>
      <c r="EF87" s="67">
        <v>0</v>
      </c>
      <c r="EG87" s="67">
        <v>0</v>
      </c>
      <c r="EH87" s="67">
        <v>0</v>
      </c>
      <c r="EI87" s="67">
        <v>0</v>
      </c>
      <c r="EJ87" s="67">
        <v>0</v>
      </c>
      <c r="EK87" s="67">
        <v>0</v>
      </c>
      <c r="EL87" s="67">
        <v>0</v>
      </c>
      <c r="EM87" s="67">
        <v>0</v>
      </c>
      <c r="EN87" s="67">
        <v>0</v>
      </c>
      <c r="EO87" s="67">
        <v>0</v>
      </c>
      <c r="EP87" s="67">
        <v>0</v>
      </c>
      <c r="EQ87" s="67">
        <v>0</v>
      </c>
      <c r="ER87" s="67">
        <v>0</v>
      </c>
      <c r="ES87" s="67">
        <v>0</v>
      </c>
      <c r="ET87" s="36">
        <f t="shared" si="6"/>
        <v>339000</v>
      </c>
      <c r="EV87" s="17">
        <v>1</v>
      </c>
      <c r="EW87" s="60">
        <f>CEILING(ET87*$EW$82,100)</f>
        <v>1700</v>
      </c>
      <c r="EX87" s="68">
        <f>(EW87*EV87*$EX$82)*12</f>
        <v>1020000</v>
      </c>
      <c r="EY87" s="68">
        <f t="shared" si="3"/>
        <v>1020000</v>
      </c>
      <c r="EZ87" s="69">
        <v>2.25</v>
      </c>
      <c r="FA87" s="17">
        <f t="shared" si="4"/>
        <v>3000000</v>
      </c>
      <c r="FB87" s="68">
        <f>EZ87*ET87</f>
        <v>762750</v>
      </c>
      <c r="FD87" s="68"/>
      <c r="FE87" s="60"/>
      <c r="FF87" s="70"/>
    </row>
    <row r="88" spans="1:162" x14ac:dyDescent="0.3">
      <c r="A88" s="37" t="s">
        <v>24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7">
        <v>0</v>
      </c>
      <c r="M88" s="67">
        <v>0</v>
      </c>
      <c r="N88" s="67">
        <v>0</v>
      </c>
      <c r="O88" s="67">
        <v>0</v>
      </c>
      <c r="P88" s="67">
        <v>0</v>
      </c>
      <c r="Q88" s="67">
        <v>0</v>
      </c>
      <c r="R88" s="67">
        <v>0</v>
      </c>
      <c r="S88" s="67">
        <v>0</v>
      </c>
      <c r="T88" s="67">
        <v>0</v>
      </c>
      <c r="U88" s="67">
        <v>0</v>
      </c>
      <c r="V88" s="67">
        <v>0</v>
      </c>
      <c r="W88" s="67">
        <v>0</v>
      </c>
      <c r="X88" s="67">
        <v>0</v>
      </c>
      <c r="Y88" s="67">
        <v>0</v>
      </c>
      <c r="Z88" s="67">
        <v>0</v>
      </c>
      <c r="AA88" s="67">
        <v>0</v>
      </c>
      <c r="AB88" s="67">
        <v>0</v>
      </c>
      <c r="AC88" s="67">
        <v>0</v>
      </c>
      <c r="AD88" s="67">
        <v>13000</v>
      </c>
      <c r="AE88" s="67">
        <v>0</v>
      </c>
      <c r="AF88" s="67">
        <v>0</v>
      </c>
      <c r="AG88" s="67">
        <v>0</v>
      </c>
      <c r="AH88" s="67">
        <v>0</v>
      </c>
      <c r="AI88" s="67">
        <v>0</v>
      </c>
      <c r="AJ88" s="67">
        <v>0</v>
      </c>
      <c r="AK88" s="67">
        <v>0</v>
      </c>
      <c r="AL88" s="67">
        <v>0</v>
      </c>
      <c r="AM88" s="67">
        <v>0</v>
      </c>
      <c r="AN88" s="67">
        <v>0</v>
      </c>
      <c r="AO88" s="67">
        <v>0</v>
      </c>
      <c r="AP88" s="67">
        <v>0</v>
      </c>
      <c r="AQ88" s="67">
        <v>0</v>
      </c>
      <c r="AR88" s="67">
        <v>0</v>
      </c>
      <c r="AS88" s="67">
        <v>14000</v>
      </c>
      <c r="AT88" s="67">
        <v>0</v>
      </c>
      <c r="AU88" s="67">
        <v>0</v>
      </c>
      <c r="AV88" s="67">
        <v>0</v>
      </c>
      <c r="AW88" s="67">
        <v>0</v>
      </c>
      <c r="AX88" s="67">
        <v>0</v>
      </c>
      <c r="AY88" s="67">
        <v>0</v>
      </c>
      <c r="AZ88" s="67">
        <v>0</v>
      </c>
      <c r="BA88" s="67">
        <v>0</v>
      </c>
      <c r="BB88" s="67">
        <v>0</v>
      </c>
      <c r="BC88" s="67">
        <v>0</v>
      </c>
      <c r="BD88" s="67">
        <v>0</v>
      </c>
      <c r="BE88" s="67">
        <v>0</v>
      </c>
      <c r="BF88" s="67">
        <v>0</v>
      </c>
      <c r="BG88" s="67">
        <v>0</v>
      </c>
      <c r="BH88" s="67">
        <v>0</v>
      </c>
      <c r="BI88" s="67">
        <v>0</v>
      </c>
      <c r="BJ88" s="67">
        <v>0</v>
      </c>
      <c r="BK88" s="67">
        <v>0</v>
      </c>
      <c r="BL88" s="67">
        <v>0</v>
      </c>
      <c r="BM88" s="67">
        <v>0</v>
      </c>
      <c r="BN88" s="67">
        <v>0</v>
      </c>
      <c r="BO88" s="67">
        <v>0</v>
      </c>
      <c r="BP88" s="67">
        <v>0</v>
      </c>
      <c r="BQ88" s="67">
        <v>0</v>
      </c>
      <c r="BR88" s="67">
        <v>0</v>
      </c>
      <c r="BS88" s="67">
        <v>0</v>
      </c>
      <c r="BT88" s="67">
        <v>0</v>
      </c>
      <c r="BU88" s="67">
        <v>0</v>
      </c>
      <c r="BV88" s="67">
        <v>0</v>
      </c>
      <c r="BW88" s="67">
        <v>0</v>
      </c>
      <c r="BX88" s="67">
        <v>0</v>
      </c>
      <c r="BY88" s="67">
        <v>0</v>
      </c>
      <c r="BZ88" s="67">
        <v>6000</v>
      </c>
      <c r="CA88" s="67">
        <v>0</v>
      </c>
      <c r="CB88" s="67">
        <v>0</v>
      </c>
      <c r="CC88" s="67">
        <v>0</v>
      </c>
      <c r="CD88" s="67">
        <v>0</v>
      </c>
      <c r="CE88" s="67">
        <v>0</v>
      </c>
      <c r="CF88" s="67">
        <v>0</v>
      </c>
      <c r="CG88" s="67">
        <v>0</v>
      </c>
      <c r="CH88" s="67">
        <v>10000</v>
      </c>
      <c r="CI88" s="67">
        <v>0</v>
      </c>
      <c r="CJ88" s="67">
        <v>0</v>
      </c>
      <c r="CK88" s="67">
        <v>0</v>
      </c>
      <c r="CL88" s="67">
        <v>0</v>
      </c>
      <c r="CM88" s="67">
        <v>0</v>
      </c>
      <c r="CN88" s="67">
        <v>0</v>
      </c>
      <c r="CO88" s="67">
        <v>0</v>
      </c>
      <c r="CP88" s="67">
        <v>0</v>
      </c>
      <c r="CQ88" s="67">
        <v>0</v>
      </c>
      <c r="CR88" s="67">
        <v>0</v>
      </c>
      <c r="CS88" s="67">
        <v>0</v>
      </c>
      <c r="CT88" s="67">
        <v>0</v>
      </c>
      <c r="CU88" s="67">
        <v>0</v>
      </c>
      <c r="CV88" s="67">
        <v>0</v>
      </c>
      <c r="CW88" s="67">
        <v>0</v>
      </c>
      <c r="CX88" s="67">
        <v>0</v>
      </c>
      <c r="CY88" s="67">
        <v>0</v>
      </c>
      <c r="CZ88" s="67">
        <v>0</v>
      </c>
      <c r="DA88" s="67">
        <v>0</v>
      </c>
      <c r="DB88" s="67">
        <v>0</v>
      </c>
      <c r="DC88" s="67">
        <v>0</v>
      </c>
      <c r="DD88" s="67">
        <v>0</v>
      </c>
      <c r="DE88" s="67">
        <v>0</v>
      </c>
      <c r="DF88" s="67">
        <v>0</v>
      </c>
      <c r="DG88" s="67">
        <v>0</v>
      </c>
      <c r="DH88" s="67">
        <v>0</v>
      </c>
      <c r="DI88" s="67">
        <v>0</v>
      </c>
      <c r="DJ88" s="67">
        <v>0</v>
      </c>
      <c r="DK88" s="67">
        <v>0</v>
      </c>
      <c r="DL88" s="67">
        <v>0</v>
      </c>
      <c r="DM88" s="67">
        <v>0</v>
      </c>
      <c r="DN88" s="67">
        <v>0</v>
      </c>
      <c r="DO88" s="67">
        <v>0</v>
      </c>
      <c r="DP88" s="67">
        <v>0</v>
      </c>
      <c r="DQ88" s="67">
        <v>0</v>
      </c>
      <c r="DR88" s="67">
        <v>0</v>
      </c>
      <c r="DS88" s="67">
        <v>0</v>
      </c>
      <c r="DT88" s="67">
        <v>0</v>
      </c>
      <c r="DU88" s="67">
        <v>0</v>
      </c>
      <c r="DV88" s="67">
        <v>0</v>
      </c>
      <c r="DW88" s="67">
        <v>0</v>
      </c>
      <c r="DX88" s="67">
        <v>0</v>
      </c>
      <c r="DY88" s="67">
        <v>0</v>
      </c>
      <c r="DZ88" s="67">
        <v>0</v>
      </c>
      <c r="EA88" s="67">
        <v>0</v>
      </c>
      <c r="EB88" s="67">
        <v>0</v>
      </c>
      <c r="EC88" s="67">
        <v>0</v>
      </c>
      <c r="ED88" s="67">
        <v>0</v>
      </c>
      <c r="EE88" s="67">
        <v>0</v>
      </c>
      <c r="EF88" s="67">
        <v>0</v>
      </c>
      <c r="EG88" s="67">
        <v>0</v>
      </c>
      <c r="EH88" s="67">
        <v>0</v>
      </c>
      <c r="EI88" s="67">
        <v>0</v>
      </c>
      <c r="EJ88" s="67">
        <v>0</v>
      </c>
      <c r="EK88" s="67">
        <v>0</v>
      </c>
      <c r="EL88" s="67">
        <v>7000</v>
      </c>
      <c r="EM88" s="67">
        <v>13000</v>
      </c>
      <c r="EN88" s="67">
        <v>0</v>
      </c>
      <c r="EO88" s="67">
        <v>0</v>
      </c>
      <c r="EP88" s="67">
        <v>0</v>
      </c>
      <c r="EQ88" s="67">
        <v>0</v>
      </c>
      <c r="ER88" s="67">
        <v>0</v>
      </c>
      <c r="ES88" s="67">
        <v>0</v>
      </c>
      <c r="ET88" s="36">
        <f t="shared" si="6"/>
        <v>63000</v>
      </c>
      <c r="EV88" s="17">
        <v>1</v>
      </c>
      <c r="EW88" s="60">
        <f t="shared" si="7"/>
        <v>400</v>
      </c>
      <c r="EX88" s="68">
        <f t="shared" si="8"/>
        <v>240000</v>
      </c>
      <c r="EY88" s="68">
        <f t="shared" si="3"/>
        <v>240000</v>
      </c>
      <c r="EZ88" s="69">
        <v>3.75</v>
      </c>
      <c r="FA88" s="17">
        <f t="shared" si="4"/>
        <v>3000000</v>
      </c>
      <c r="FB88" s="68">
        <f t="shared" si="5"/>
        <v>236250</v>
      </c>
      <c r="FD88" s="68"/>
      <c r="FE88" s="60"/>
      <c r="FF88" s="70"/>
    </row>
    <row r="89" spans="1:162" x14ac:dyDescent="0.3">
      <c r="A89" s="37" t="s">
        <v>21</v>
      </c>
      <c r="B89" s="67">
        <v>0</v>
      </c>
      <c r="C89" s="67">
        <v>0</v>
      </c>
      <c r="D89" s="67">
        <v>0</v>
      </c>
      <c r="E89" s="67">
        <v>0</v>
      </c>
      <c r="F89" s="67">
        <v>0</v>
      </c>
      <c r="G89" s="67">
        <v>0</v>
      </c>
      <c r="H89" s="67">
        <v>0</v>
      </c>
      <c r="I89" s="67">
        <v>0</v>
      </c>
      <c r="J89" s="67">
        <v>0</v>
      </c>
      <c r="K89" s="67">
        <v>0</v>
      </c>
      <c r="L89" s="67">
        <v>0</v>
      </c>
      <c r="M89" s="67">
        <v>0</v>
      </c>
      <c r="N89" s="67">
        <v>0</v>
      </c>
      <c r="O89" s="67">
        <v>0</v>
      </c>
      <c r="P89" s="67">
        <v>0</v>
      </c>
      <c r="Q89" s="67">
        <v>0</v>
      </c>
      <c r="R89" s="67">
        <v>0</v>
      </c>
      <c r="S89" s="67">
        <v>0</v>
      </c>
      <c r="T89" s="67">
        <v>0</v>
      </c>
      <c r="U89" s="67">
        <v>22000</v>
      </c>
      <c r="V89" s="67">
        <v>0</v>
      </c>
      <c r="W89" s="67">
        <v>0</v>
      </c>
      <c r="X89" s="67">
        <v>0</v>
      </c>
      <c r="Y89" s="67">
        <v>0</v>
      </c>
      <c r="Z89" s="67">
        <v>0</v>
      </c>
      <c r="AA89" s="67">
        <v>0</v>
      </c>
      <c r="AB89" s="67">
        <v>0</v>
      </c>
      <c r="AC89" s="67">
        <v>0</v>
      </c>
      <c r="AD89" s="67">
        <v>0</v>
      </c>
      <c r="AE89" s="67">
        <v>0</v>
      </c>
      <c r="AF89" s="67">
        <v>0</v>
      </c>
      <c r="AG89" s="67">
        <v>0</v>
      </c>
      <c r="AH89" s="67">
        <v>0</v>
      </c>
      <c r="AI89" s="67">
        <v>17000</v>
      </c>
      <c r="AJ89" s="67">
        <v>77000</v>
      </c>
      <c r="AK89" s="67">
        <v>11000</v>
      </c>
      <c r="AL89" s="67">
        <v>0</v>
      </c>
      <c r="AM89" s="67">
        <v>0</v>
      </c>
      <c r="AN89" s="67">
        <v>0</v>
      </c>
      <c r="AO89" s="67">
        <v>0</v>
      </c>
      <c r="AP89" s="67">
        <v>0</v>
      </c>
      <c r="AQ89" s="67">
        <v>0</v>
      </c>
      <c r="AR89" s="67">
        <v>0</v>
      </c>
      <c r="AS89" s="67">
        <v>0</v>
      </c>
      <c r="AT89" s="67">
        <v>5000</v>
      </c>
      <c r="AU89" s="67">
        <v>0</v>
      </c>
      <c r="AV89" s="67">
        <v>0</v>
      </c>
      <c r="AW89" s="67">
        <v>0</v>
      </c>
      <c r="AX89" s="67">
        <v>0</v>
      </c>
      <c r="AY89" s="67">
        <v>0</v>
      </c>
      <c r="AZ89" s="67">
        <v>0</v>
      </c>
      <c r="BA89" s="67">
        <v>0</v>
      </c>
      <c r="BB89" s="67">
        <v>0</v>
      </c>
      <c r="BC89" s="67">
        <v>0</v>
      </c>
      <c r="BD89" s="67">
        <v>0</v>
      </c>
      <c r="BE89" s="67">
        <v>0</v>
      </c>
      <c r="BF89" s="67">
        <v>0</v>
      </c>
      <c r="BG89" s="67">
        <v>0</v>
      </c>
      <c r="BH89" s="67">
        <v>0</v>
      </c>
      <c r="BI89" s="67">
        <v>0</v>
      </c>
      <c r="BJ89" s="67">
        <v>0</v>
      </c>
      <c r="BK89" s="67">
        <v>0</v>
      </c>
      <c r="BL89" s="67">
        <v>0</v>
      </c>
      <c r="BM89" s="67">
        <v>0</v>
      </c>
      <c r="BN89" s="67">
        <v>0</v>
      </c>
      <c r="BO89" s="67">
        <v>0</v>
      </c>
      <c r="BP89" s="67">
        <v>0</v>
      </c>
      <c r="BQ89" s="67">
        <v>0</v>
      </c>
      <c r="BR89" s="67">
        <v>0</v>
      </c>
      <c r="BS89" s="67">
        <v>0</v>
      </c>
      <c r="BT89" s="67">
        <v>0</v>
      </c>
      <c r="BU89" s="67">
        <v>0</v>
      </c>
      <c r="BV89" s="67">
        <v>0</v>
      </c>
      <c r="BW89" s="67">
        <v>0</v>
      </c>
      <c r="BX89" s="67">
        <v>0</v>
      </c>
      <c r="BY89" s="67">
        <v>0</v>
      </c>
      <c r="BZ89" s="67">
        <v>0</v>
      </c>
      <c r="CA89" s="67">
        <v>0</v>
      </c>
      <c r="CB89" s="67">
        <v>0</v>
      </c>
      <c r="CC89" s="67">
        <v>0</v>
      </c>
      <c r="CD89" s="67">
        <v>0</v>
      </c>
      <c r="CE89" s="67">
        <v>0</v>
      </c>
      <c r="CF89" s="67">
        <v>0</v>
      </c>
      <c r="CG89" s="67">
        <v>0</v>
      </c>
      <c r="CH89" s="67">
        <v>0</v>
      </c>
      <c r="CI89" s="67">
        <v>0</v>
      </c>
      <c r="CJ89" s="67">
        <v>16000</v>
      </c>
      <c r="CK89" s="67">
        <v>0</v>
      </c>
      <c r="CL89" s="67">
        <v>0</v>
      </c>
      <c r="CM89" s="67">
        <v>0</v>
      </c>
      <c r="CN89" s="67">
        <v>0</v>
      </c>
      <c r="CO89" s="67">
        <v>19000</v>
      </c>
      <c r="CP89" s="67">
        <v>0</v>
      </c>
      <c r="CQ89" s="67">
        <v>0</v>
      </c>
      <c r="CR89" s="67">
        <v>0</v>
      </c>
      <c r="CS89" s="67">
        <v>0</v>
      </c>
      <c r="CT89" s="67">
        <v>0</v>
      </c>
      <c r="CU89" s="67">
        <v>0</v>
      </c>
      <c r="CV89" s="67">
        <v>0</v>
      </c>
      <c r="CW89" s="67">
        <v>0</v>
      </c>
      <c r="CX89" s="67">
        <v>0</v>
      </c>
      <c r="CY89" s="67">
        <v>0</v>
      </c>
      <c r="CZ89" s="67">
        <v>0</v>
      </c>
      <c r="DA89" s="67">
        <v>7000</v>
      </c>
      <c r="DB89" s="67">
        <v>0</v>
      </c>
      <c r="DC89" s="67">
        <v>67000</v>
      </c>
      <c r="DD89" s="67">
        <v>0</v>
      </c>
      <c r="DE89" s="67">
        <v>0</v>
      </c>
      <c r="DF89" s="67">
        <v>0</v>
      </c>
      <c r="DG89" s="67">
        <v>0</v>
      </c>
      <c r="DH89" s="67">
        <v>0</v>
      </c>
      <c r="DI89" s="67">
        <v>0</v>
      </c>
      <c r="DJ89" s="67">
        <v>0</v>
      </c>
      <c r="DK89" s="67">
        <v>0</v>
      </c>
      <c r="DL89" s="67">
        <v>0</v>
      </c>
      <c r="DM89" s="67">
        <v>0</v>
      </c>
      <c r="DN89" s="67">
        <v>0</v>
      </c>
      <c r="DO89" s="67">
        <v>0</v>
      </c>
      <c r="DP89" s="67">
        <v>0</v>
      </c>
      <c r="DQ89" s="67">
        <v>0</v>
      </c>
      <c r="DR89" s="67">
        <v>0</v>
      </c>
      <c r="DS89" s="67">
        <v>0</v>
      </c>
      <c r="DT89" s="67">
        <v>0</v>
      </c>
      <c r="DU89" s="67">
        <v>1000</v>
      </c>
      <c r="DV89" s="67">
        <v>0</v>
      </c>
      <c r="DW89" s="67">
        <v>0</v>
      </c>
      <c r="DX89" s="67">
        <v>0</v>
      </c>
      <c r="DY89" s="67">
        <v>0</v>
      </c>
      <c r="DZ89" s="67">
        <v>0</v>
      </c>
      <c r="EA89" s="67">
        <v>19000</v>
      </c>
      <c r="EB89" s="67">
        <v>0</v>
      </c>
      <c r="EC89" s="67">
        <v>0</v>
      </c>
      <c r="ED89" s="67">
        <v>0</v>
      </c>
      <c r="EE89" s="67">
        <v>0</v>
      </c>
      <c r="EF89" s="67">
        <v>0</v>
      </c>
      <c r="EG89" s="67">
        <v>0</v>
      </c>
      <c r="EH89" s="67">
        <v>0</v>
      </c>
      <c r="EI89" s="67">
        <v>0</v>
      </c>
      <c r="EJ89" s="67">
        <v>0</v>
      </c>
      <c r="EK89" s="67">
        <v>9000</v>
      </c>
      <c r="EL89" s="67">
        <v>0</v>
      </c>
      <c r="EM89" s="67">
        <v>0</v>
      </c>
      <c r="EN89" s="67">
        <v>0</v>
      </c>
      <c r="EO89" s="67">
        <v>0</v>
      </c>
      <c r="EP89" s="67">
        <v>0</v>
      </c>
      <c r="EQ89" s="67">
        <v>18000</v>
      </c>
      <c r="ER89" s="67">
        <v>0</v>
      </c>
      <c r="ES89" s="67">
        <v>9000</v>
      </c>
      <c r="ET89" s="36">
        <f t="shared" si="6"/>
        <v>297000</v>
      </c>
      <c r="EV89" s="17">
        <v>1</v>
      </c>
      <c r="EW89" s="60">
        <f t="shared" si="7"/>
        <v>1500</v>
      </c>
      <c r="EX89" s="68">
        <f t="shared" si="8"/>
        <v>900000</v>
      </c>
      <c r="EY89" s="68">
        <f t="shared" si="3"/>
        <v>900000</v>
      </c>
      <c r="EZ89" s="69">
        <v>1.75</v>
      </c>
      <c r="FA89" s="17">
        <f t="shared" si="4"/>
        <v>3000000</v>
      </c>
      <c r="FB89" s="68">
        <f t="shared" si="5"/>
        <v>519750</v>
      </c>
      <c r="FD89" s="68"/>
      <c r="FE89" s="60"/>
      <c r="FF89" s="70"/>
    </row>
    <row r="90" spans="1:162" x14ac:dyDescent="0.3">
      <c r="A90" s="37" t="s">
        <v>5</v>
      </c>
      <c r="B90" s="67">
        <v>0</v>
      </c>
      <c r="C90" s="67">
        <v>0</v>
      </c>
      <c r="D90" s="67">
        <v>0</v>
      </c>
      <c r="E90" s="67">
        <v>0</v>
      </c>
      <c r="F90" s="67">
        <v>0</v>
      </c>
      <c r="G90" s="67">
        <v>0</v>
      </c>
      <c r="H90" s="67">
        <v>0</v>
      </c>
      <c r="I90" s="67">
        <v>0</v>
      </c>
      <c r="J90" s="67">
        <v>0</v>
      </c>
      <c r="K90" s="67">
        <v>0</v>
      </c>
      <c r="L90" s="67">
        <v>11000</v>
      </c>
      <c r="M90" s="67">
        <v>0</v>
      </c>
      <c r="N90" s="67">
        <v>0</v>
      </c>
      <c r="O90" s="67">
        <v>0</v>
      </c>
      <c r="P90" s="67">
        <v>0</v>
      </c>
      <c r="Q90" s="67">
        <v>0</v>
      </c>
      <c r="R90" s="67">
        <v>0</v>
      </c>
      <c r="S90" s="67">
        <v>0</v>
      </c>
      <c r="T90" s="67">
        <v>0</v>
      </c>
      <c r="U90" s="67">
        <v>0</v>
      </c>
      <c r="V90" s="67">
        <v>0</v>
      </c>
      <c r="W90" s="67">
        <v>0</v>
      </c>
      <c r="X90" s="67">
        <v>0</v>
      </c>
      <c r="Y90" s="67">
        <v>0</v>
      </c>
      <c r="Z90" s="67">
        <v>8000</v>
      </c>
      <c r="AA90" s="67">
        <v>0</v>
      </c>
      <c r="AB90" s="67">
        <v>0</v>
      </c>
      <c r="AC90" s="67">
        <v>0</v>
      </c>
      <c r="AD90" s="67">
        <v>0</v>
      </c>
      <c r="AE90" s="67">
        <v>0</v>
      </c>
      <c r="AF90" s="67">
        <v>0</v>
      </c>
      <c r="AG90" s="67">
        <v>0</v>
      </c>
      <c r="AH90" s="67">
        <v>0</v>
      </c>
      <c r="AI90" s="67">
        <v>0</v>
      </c>
      <c r="AJ90" s="67">
        <v>0</v>
      </c>
      <c r="AK90" s="67">
        <v>0</v>
      </c>
      <c r="AL90" s="67">
        <v>12000</v>
      </c>
      <c r="AM90" s="67">
        <v>0</v>
      </c>
      <c r="AN90" s="67">
        <v>0</v>
      </c>
      <c r="AO90" s="67">
        <v>0</v>
      </c>
      <c r="AP90" s="67">
        <v>0</v>
      </c>
      <c r="AQ90" s="67">
        <v>0</v>
      </c>
      <c r="AR90" s="67">
        <v>0</v>
      </c>
      <c r="AS90" s="67">
        <v>0</v>
      </c>
      <c r="AT90" s="67">
        <v>0</v>
      </c>
      <c r="AU90" s="67">
        <v>0</v>
      </c>
      <c r="AV90" s="67">
        <v>0</v>
      </c>
      <c r="AW90" s="67">
        <v>0</v>
      </c>
      <c r="AX90" s="67">
        <v>0</v>
      </c>
      <c r="AY90" s="67">
        <v>0</v>
      </c>
      <c r="AZ90" s="67">
        <v>0</v>
      </c>
      <c r="BA90" s="67">
        <v>0</v>
      </c>
      <c r="BB90" s="67">
        <v>0</v>
      </c>
      <c r="BC90" s="67">
        <v>0</v>
      </c>
      <c r="BD90" s="67">
        <v>0</v>
      </c>
      <c r="BE90" s="67">
        <v>0</v>
      </c>
      <c r="BF90" s="67">
        <v>0</v>
      </c>
      <c r="BG90" s="67">
        <v>0</v>
      </c>
      <c r="BH90" s="67">
        <v>0</v>
      </c>
      <c r="BI90" s="67">
        <v>0</v>
      </c>
      <c r="BJ90" s="67">
        <v>0</v>
      </c>
      <c r="BK90" s="67">
        <v>0</v>
      </c>
      <c r="BL90" s="67">
        <v>0</v>
      </c>
      <c r="BM90" s="67">
        <v>0</v>
      </c>
      <c r="BN90" s="67">
        <v>0</v>
      </c>
      <c r="BO90" s="67">
        <v>0</v>
      </c>
      <c r="BP90" s="67">
        <v>0</v>
      </c>
      <c r="BQ90" s="67">
        <v>0</v>
      </c>
      <c r="BR90" s="67">
        <v>0</v>
      </c>
      <c r="BS90" s="67">
        <v>0</v>
      </c>
      <c r="BT90" s="67">
        <v>0</v>
      </c>
      <c r="BU90" s="67">
        <v>0</v>
      </c>
      <c r="BV90" s="67">
        <v>0</v>
      </c>
      <c r="BW90" s="67">
        <v>0</v>
      </c>
      <c r="BX90" s="67">
        <v>0</v>
      </c>
      <c r="BY90" s="67">
        <v>0</v>
      </c>
      <c r="BZ90" s="67">
        <v>0</v>
      </c>
      <c r="CA90" s="67">
        <v>0</v>
      </c>
      <c r="CB90" s="67">
        <v>0</v>
      </c>
      <c r="CC90" s="67">
        <v>0</v>
      </c>
      <c r="CD90" s="67">
        <v>0</v>
      </c>
      <c r="CE90" s="67">
        <v>0</v>
      </c>
      <c r="CF90" s="67">
        <v>18000</v>
      </c>
      <c r="CG90" s="67">
        <v>0</v>
      </c>
      <c r="CH90" s="67">
        <v>0</v>
      </c>
      <c r="CI90" s="67">
        <v>0</v>
      </c>
      <c r="CJ90" s="67">
        <v>0</v>
      </c>
      <c r="CK90" s="67">
        <v>0</v>
      </c>
      <c r="CL90" s="67">
        <v>0</v>
      </c>
      <c r="CM90" s="67">
        <v>0</v>
      </c>
      <c r="CN90" s="67">
        <v>0</v>
      </c>
      <c r="CO90" s="67">
        <v>0</v>
      </c>
      <c r="CP90" s="67">
        <v>0</v>
      </c>
      <c r="CQ90" s="67">
        <v>0</v>
      </c>
      <c r="CR90" s="67">
        <v>0</v>
      </c>
      <c r="CS90" s="67">
        <v>0</v>
      </c>
      <c r="CT90" s="67">
        <v>12000</v>
      </c>
      <c r="CU90" s="67">
        <v>0</v>
      </c>
      <c r="CV90" s="67">
        <v>0</v>
      </c>
      <c r="CW90" s="67">
        <v>0</v>
      </c>
      <c r="CX90" s="67">
        <v>0</v>
      </c>
      <c r="CY90" s="67">
        <v>0</v>
      </c>
      <c r="CZ90" s="67">
        <v>0</v>
      </c>
      <c r="DA90" s="67">
        <v>0</v>
      </c>
      <c r="DB90" s="67">
        <v>0</v>
      </c>
      <c r="DC90" s="67">
        <v>0</v>
      </c>
      <c r="DD90" s="67">
        <v>0</v>
      </c>
      <c r="DE90" s="67">
        <v>0</v>
      </c>
      <c r="DF90" s="67">
        <v>0</v>
      </c>
      <c r="DG90" s="67">
        <v>0</v>
      </c>
      <c r="DH90" s="67">
        <v>0</v>
      </c>
      <c r="DI90" s="67">
        <v>0</v>
      </c>
      <c r="DJ90" s="67">
        <v>0</v>
      </c>
      <c r="DK90" s="67">
        <v>0</v>
      </c>
      <c r="DL90" s="67">
        <v>0</v>
      </c>
      <c r="DM90" s="67">
        <v>0</v>
      </c>
      <c r="DN90" s="67">
        <v>0</v>
      </c>
      <c r="DO90" s="67">
        <v>0</v>
      </c>
      <c r="DP90" s="67">
        <v>0</v>
      </c>
      <c r="DQ90" s="67">
        <v>0</v>
      </c>
      <c r="DR90" s="67">
        <v>0</v>
      </c>
      <c r="DS90" s="67">
        <v>0</v>
      </c>
      <c r="DT90" s="67">
        <v>0</v>
      </c>
      <c r="DU90" s="67">
        <v>0</v>
      </c>
      <c r="DV90" s="67">
        <v>0</v>
      </c>
      <c r="DW90" s="67">
        <v>0</v>
      </c>
      <c r="DX90" s="67">
        <v>0</v>
      </c>
      <c r="DY90" s="67">
        <v>0</v>
      </c>
      <c r="DZ90" s="67">
        <v>0</v>
      </c>
      <c r="EA90" s="67">
        <v>0</v>
      </c>
      <c r="EB90" s="67">
        <v>0</v>
      </c>
      <c r="EC90" s="67">
        <v>0</v>
      </c>
      <c r="ED90" s="67">
        <v>0</v>
      </c>
      <c r="EE90" s="67">
        <v>0</v>
      </c>
      <c r="EF90" s="67">
        <v>0</v>
      </c>
      <c r="EG90" s="67">
        <v>0</v>
      </c>
      <c r="EH90" s="67">
        <v>0</v>
      </c>
      <c r="EI90" s="67">
        <v>0</v>
      </c>
      <c r="EJ90" s="67">
        <v>0</v>
      </c>
      <c r="EK90" s="67">
        <v>0</v>
      </c>
      <c r="EL90" s="67">
        <v>0</v>
      </c>
      <c r="EM90" s="67">
        <v>0</v>
      </c>
      <c r="EN90" s="67">
        <v>0</v>
      </c>
      <c r="EO90" s="67">
        <v>0</v>
      </c>
      <c r="EP90" s="67">
        <v>0</v>
      </c>
      <c r="EQ90" s="67">
        <v>0</v>
      </c>
      <c r="ER90" s="67">
        <v>0</v>
      </c>
      <c r="ES90" s="67">
        <v>0</v>
      </c>
      <c r="ET90" s="36">
        <f t="shared" si="6"/>
        <v>61000</v>
      </c>
      <c r="EV90" s="17">
        <v>1</v>
      </c>
      <c r="EW90" s="60">
        <f t="shared" si="7"/>
        <v>400</v>
      </c>
      <c r="EX90" s="68">
        <f t="shared" si="8"/>
        <v>240000</v>
      </c>
      <c r="EY90" s="68">
        <f t="shared" si="3"/>
        <v>240000</v>
      </c>
      <c r="EZ90" s="69">
        <v>3.5</v>
      </c>
      <c r="FA90" s="17">
        <f t="shared" si="4"/>
        <v>3000000</v>
      </c>
      <c r="FB90" s="68">
        <f t="shared" si="5"/>
        <v>213500</v>
      </c>
      <c r="FD90" s="68"/>
    </row>
    <row r="91" spans="1:162" x14ac:dyDescent="0.3">
      <c r="A91" s="37" t="s">
        <v>16</v>
      </c>
      <c r="B91" s="67">
        <v>0</v>
      </c>
      <c r="C91" s="67">
        <v>0</v>
      </c>
      <c r="D91" s="67">
        <v>0</v>
      </c>
      <c r="E91" s="67">
        <v>0</v>
      </c>
      <c r="F91" s="67">
        <v>0</v>
      </c>
      <c r="G91" s="67">
        <v>0</v>
      </c>
      <c r="H91" s="67">
        <v>0</v>
      </c>
      <c r="I91" s="67">
        <v>0</v>
      </c>
      <c r="J91" s="67">
        <v>0</v>
      </c>
      <c r="K91" s="67">
        <v>0</v>
      </c>
      <c r="L91" s="67">
        <v>0</v>
      </c>
      <c r="M91" s="67">
        <v>0</v>
      </c>
      <c r="N91" s="67">
        <v>0</v>
      </c>
      <c r="O91" s="67">
        <v>0</v>
      </c>
      <c r="P91" s="67">
        <v>0</v>
      </c>
      <c r="Q91" s="67">
        <v>0</v>
      </c>
      <c r="R91" s="67">
        <v>0</v>
      </c>
      <c r="S91" s="67">
        <v>0</v>
      </c>
      <c r="T91" s="67">
        <v>0</v>
      </c>
      <c r="U91" s="67">
        <v>0</v>
      </c>
      <c r="V91" s="67">
        <v>0</v>
      </c>
      <c r="W91" s="67">
        <v>0</v>
      </c>
      <c r="X91" s="67">
        <v>0</v>
      </c>
      <c r="Y91" s="67">
        <v>0</v>
      </c>
      <c r="Z91" s="67">
        <v>0</v>
      </c>
      <c r="AA91" s="67">
        <v>0</v>
      </c>
      <c r="AB91" s="67">
        <v>0</v>
      </c>
      <c r="AC91" s="67">
        <v>0</v>
      </c>
      <c r="AD91" s="67">
        <v>0</v>
      </c>
      <c r="AE91" s="67">
        <v>0</v>
      </c>
      <c r="AF91" s="67">
        <v>0</v>
      </c>
      <c r="AG91" s="67">
        <v>0</v>
      </c>
      <c r="AH91" s="67">
        <v>0</v>
      </c>
      <c r="AI91" s="67">
        <v>0</v>
      </c>
      <c r="AJ91" s="67">
        <v>0</v>
      </c>
      <c r="AK91" s="67">
        <v>0</v>
      </c>
      <c r="AL91" s="67">
        <v>0</v>
      </c>
      <c r="AM91" s="67">
        <v>0</v>
      </c>
      <c r="AN91" s="67">
        <v>0</v>
      </c>
      <c r="AO91" s="67">
        <v>0</v>
      </c>
      <c r="AP91" s="67">
        <v>0</v>
      </c>
      <c r="AQ91" s="67">
        <v>0</v>
      </c>
      <c r="AR91" s="67">
        <v>0</v>
      </c>
      <c r="AS91" s="67">
        <v>0</v>
      </c>
      <c r="AT91" s="67">
        <v>0</v>
      </c>
      <c r="AU91" s="67">
        <v>0</v>
      </c>
      <c r="AV91" s="67">
        <v>0</v>
      </c>
      <c r="AW91" s="67">
        <v>0</v>
      </c>
      <c r="AX91" s="67">
        <v>0</v>
      </c>
      <c r="AY91" s="67">
        <v>0</v>
      </c>
      <c r="AZ91" s="67">
        <v>0</v>
      </c>
      <c r="BA91" s="67">
        <v>0</v>
      </c>
      <c r="BB91" s="67">
        <v>0</v>
      </c>
      <c r="BC91" s="67">
        <v>0</v>
      </c>
      <c r="BD91" s="67">
        <v>0</v>
      </c>
      <c r="BE91" s="67">
        <v>0</v>
      </c>
      <c r="BF91" s="67">
        <v>0</v>
      </c>
      <c r="BG91" s="67">
        <v>0</v>
      </c>
      <c r="BH91" s="67">
        <v>0</v>
      </c>
      <c r="BI91" s="67">
        <v>0</v>
      </c>
      <c r="BJ91" s="67">
        <v>0</v>
      </c>
      <c r="BK91" s="67">
        <v>0</v>
      </c>
      <c r="BL91" s="67">
        <v>0</v>
      </c>
      <c r="BM91" s="67">
        <v>0</v>
      </c>
      <c r="BN91" s="67">
        <v>0</v>
      </c>
      <c r="BO91" s="67">
        <v>0</v>
      </c>
      <c r="BP91" s="67">
        <v>0</v>
      </c>
      <c r="BQ91" s="67">
        <v>0</v>
      </c>
      <c r="BR91" s="67">
        <v>0</v>
      </c>
      <c r="BS91" s="67">
        <v>0</v>
      </c>
      <c r="BT91" s="67">
        <v>0</v>
      </c>
      <c r="BU91" s="67">
        <v>0</v>
      </c>
      <c r="BV91" s="67">
        <v>0</v>
      </c>
      <c r="BW91" s="67">
        <v>0</v>
      </c>
      <c r="BX91" s="67">
        <v>0</v>
      </c>
      <c r="BY91" s="67">
        <v>0</v>
      </c>
      <c r="BZ91" s="67">
        <v>0</v>
      </c>
      <c r="CA91" s="67">
        <v>0</v>
      </c>
      <c r="CB91" s="67">
        <v>0</v>
      </c>
      <c r="CC91" s="67">
        <v>0</v>
      </c>
      <c r="CD91" s="67">
        <v>0</v>
      </c>
      <c r="CE91" s="67">
        <v>0</v>
      </c>
      <c r="CF91" s="67">
        <v>0</v>
      </c>
      <c r="CG91" s="67">
        <v>0</v>
      </c>
      <c r="CH91" s="67">
        <v>0</v>
      </c>
      <c r="CI91" s="67">
        <v>0</v>
      </c>
      <c r="CJ91" s="67">
        <v>0</v>
      </c>
      <c r="CK91" s="67">
        <v>0</v>
      </c>
      <c r="CL91" s="67">
        <v>0</v>
      </c>
      <c r="CM91" s="67">
        <v>0</v>
      </c>
      <c r="CN91" s="67">
        <v>0</v>
      </c>
      <c r="CO91" s="67">
        <v>0</v>
      </c>
      <c r="CP91" s="67">
        <v>0</v>
      </c>
      <c r="CQ91" s="67">
        <v>0</v>
      </c>
      <c r="CR91" s="67">
        <v>0</v>
      </c>
      <c r="CS91" s="67">
        <v>0</v>
      </c>
      <c r="CT91" s="67">
        <v>0</v>
      </c>
      <c r="CU91" s="67">
        <v>0</v>
      </c>
      <c r="CV91" s="67">
        <v>0</v>
      </c>
      <c r="CW91" s="67">
        <v>0</v>
      </c>
      <c r="CX91" s="67">
        <v>0</v>
      </c>
      <c r="CY91" s="67">
        <v>0</v>
      </c>
      <c r="CZ91" s="67">
        <v>0</v>
      </c>
      <c r="DA91" s="67">
        <v>0</v>
      </c>
      <c r="DB91" s="67">
        <v>0</v>
      </c>
      <c r="DC91" s="67">
        <v>0</v>
      </c>
      <c r="DD91" s="67">
        <v>0</v>
      </c>
      <c r="DE91" s="67">
        <v>0</v>
      </c>
      <c r="DF91" s="67">
        <v>0</v>
      </c>
      <c r="DG91" s="67">
        <v>0</v>
      </c>
      <c r="DH91" s="67">
        <v>0</v>
      </c>
      <c r="DI91" s="67">
        <v>0</v>
      </c>
      <c r="DJ91" s="67">
        <v>0</v>
      </c>
      <c r="DK91" s="67">
        <v>0</v>
      </c>
      <c r="DL91" s="67">
        <v>0</v>
      </c>
      <c r="DM91" s="67">
        <v>0</v>
      </c>
      <c r="DN91" s="67">
        <v>0</v>
      </c>
      <c r="DO91" s="67">
        <v>0</v>
      </c>
      <c r="DP91" s="67">
        <v>0</v>
      </c>
      <c r="DQ91" s="67">
        <v>0</v>
      </c>
      <c r="DR91" s="67">
        <v>0</v>
      </c>
      <c r="DS91" s="67">
        <v>0</v>
      </c>
      <c r="DT91" s="67">
        <v>0</v>
      </c>
      <c r="DU91" s="67">
        <v>0</v>
      </c>
      <c r="DV91" s="67">
        <v>0</v>
      </c>
      <c r="DW91" s="67">
        <v>0</v>
      </c>
      <c r="DX91" s="67">
        <v>0</v>
      </c>
      <c r="DY91" s="67">
        <v>0</v>
      </c>
      <c r="DZ91" s="67">
        <v>0</v>
      </c>
      <c r="EA91" s="67">
        <v>0</v>
      </c>
      <c r="EB91" s="67">
        <v>0</v>
      </c>
      <c r="EC91" s="67">
        <v>0</v>
      </c>
      <c r="ED91" s="67">
        <v>0</v>
      </c>
      <c r="EE91" s="67">
        <v>0</v>
      </c>
      <c r="EF91" s="67">
        <v>0</v>
      </c>
      <c r="EG91" s="67">
        <v>0</v>
      </c>
      <c r="EH91" s="67">
        <v>0</v>
      </c>
      <c r="EI91" s="67">
        <v>0</v>
      </c>
      <c r="EJ91" s="67">
        <v>0</v>
      </c>
      <c r="EK91" s="67">
        <v>0</v>
      </c>
      <c r="EL91" s="67">
        <v>0</v>
      </c>
      <c r="EM91" s="67">
        <v>0</v>
      </c>
      <c r="EN91" s="67">
        <v>0</v>
      </c>
      <c r="EO91" s="67">
        <v>0</v>
      </c>
      <c r="EP91" s="67">
        <v>0</v>
      </c>
      <c r="EQ91" s="67">
        <v>0</v>
      </c>
      <c r="ER91" s="67">
        <v>0</v>
      </c>
      <c r="ES91" s="67">
        <v>0</v>
      </c>
      <c r="ET91" s="36">
        <f t="shared" si="6"/>
        <v>0</v>
      </c>
      <c r="EV91" s="17">
        <v>0</v>
      </c>
      <c r="EW91" s="60">
        <f t="shared" si="7"/>
        <v>0</v>
      </c>
      <c r="EX91" s="68">
        <f t="shared" si="8"/>
        <v>0</v>
      </c>
      <c r="EY91" s="68">
        <f t="shared" si="3"/>
        <v>0</v>
      </c>
      <c r="EZ91" s="69">
        <v>4</v>
      </c>
      <c r="FA91" s="17">
        <f t="shared" si="4"/>
        <v>0</v>
      </c>
      <c r="FB91" s="68">
        <f t="shared" si="5"/>
        <v>0</v>
      </c>
      <c r="FD91" s="68"/>
    </row>
    <row r="92" spans="1:162" x14ac:dyDescent="0.3">
      <c r="A92" s="37" t="s">
        <v>17</v>
      </c>
      <c r="B92" s="67">
        <v>0</v>
      </c>
      <c r="C92" s="67">
        <v>0</v>
      </c>
      <c r="D92" s="67">
        <v>0</v>
      </c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7">
        <v>0</v>
      </c>
      <c r="M92" s="67">
        <v>0</v>
      </c>
      <c r="N92" s="67">
        <v>0</v>
      </c>
      <c r="O92" s="67">
        <v>0</v>
      </c>
      <c r="P92" s="67">
        <v>0</v>
      </c>
      <c r="Q92" s="67">
        <v>0</v>
      </c>
      <c r="R92" s="67">
        <v>0</v>
      </c>
      <c r="S92" s="67">
        <v>0</v>
      </c>
      <c r="T92" s="67">
        <v>0</v>
      </c>
      <c r="U92" s="67">
        <v>0</v>
      </c>
      <c r="V92" s="67">
        <v>0</v>
      </c>
      <c r="W92" s="67">
        <v>0</v>
      </c>
      <c r="X92" s="67">
        <v>0</v>
      </c>
      <c r="Y92" s="67">
        <v>0</v>
      </c>
      <c r="Z92" s="67">
        <v>0</v>
      </c>
      <c r="AA92" s="67">
        <v>0</v>
      </c>
      <c r="AB92" s="67">
        <v>0</v>
      </c>
      <c r="AC92" s="67">
        <v>0</v>
      </c>
      <c r="AD92" s="67">
        <v>0</v>
      </c>
      <c r="AE92" s="67">
        <v>0</v>
      </c>
      <c r="AF92" s="67">
        <v>0</v>
      </c>
      <c r="AG92" s="67">
        <v>0</v>
      </c>
      <c r="AH92" s="67">
        <v>0</v>
      </c>
      <c r="AI92" s="67">
        <v>0</v>
      </c>
      <c r="AJ92" s="67">
        <v>0</v>
      </c>
      <c r="AK92" s="67">
        <v>0</v>
      </c>
      <c r="AL92" s="67">
        <v>0</v>
      </c>
      <c r="AM92" s="67">
        <v>0</v>
      </c>
      <c r="AN92" s="67">
        <v>0</v>
      </c>
      <c r="AO92" s="67">
        <v>0</v>
      </c>
      <c r="AP92" s="67">
        <v>0</v>
      </c>
      <c r="AQ92" s="67">
        <v>0</v>
      </c>
      <c r="AR92" s="67">
        <v>0</v>
      </c>
      <c r="AS92" s="67">
        <v>0</v>
      </c>
      <c r="AT92" s="67">
        <v>0</v>
      </c>
      <c r="AU92" s="67">
        <v>0</v>
      </c>
      <c r="AV92" s="67">
        <v>0</v>
      </c>
      <c r="AW92" s="67">
        <v>0</v>
      </c>
      <c r="AX92" s="67">
        <v>0</v>
      </c>
      <c r="AY92" s="67">
        <v>0</v>
      </c>
      <c r="AZ92" s="67">
        <v>0</v>
      </c>
      <c r="BA92" s="67">
        <v>0</v>
      </c>
      <c r="BB92" s="67">
        <v>0</v>
      </c>
      <c r="BC92" s="67">
        <v>0</v>
      </c>
      <c r="BD92" s="67">
        <v>0</v>
      </c>
      <c r="BE92" s="67">
        <v>0</v>
      </c>
      <c r="BF92" s="67">
        <v>0</v>
      </c>
      <c r="BG92" s="67">
        <v>0</v>
      </c>
      <c r="BH92" s="67">
        <v>0</v>
      </c>
      <c r="BI92" s="67">
        <v>0</v>
      </c>
      <c r="BJ92" s="67">
        <v>0</v>
      </c>
      <c r="BK92" s="67">
        <v>0</v>
      </c>
      <c r="BL92" s="67">
        <v>0</v>
      </c>
      <c r="BM92" s="67">
        <v>0</v>
      </c>
      <c r="BN92" s="67">
        <v>0</v>
      </c>
      <c r="BO92" s="67">
        <v>0</v>
      </c>
      <c r="BP92" s="67">
        <v>0</v>
      </c>
      <c r="BQ92" s="67">
        <v>0</v>
      </c>
      <c r="BR92" s="67">
        <v>0</v>
      </c>
      <c r="BS92" s="67">
        <v>0</v>
      </c>
      <c r="BT92" s="67">
        <v>0</v>
      </c>
      <c r="BU92" s="67">
        <v>0</v>
      </c>
      <c r="BV92" s="67">
        <v>0</v>
      </c>
      <c r="BW92" s="67">
        <v>0</v>
      </c>
      <c r="BX92" s="67">
        <v>0</v>
      </c>
      <c r="BY92" s="67">
        <v>0</v>
      </c>
      <c r="BZ92" s="67">
        <v>0</v>
      </c>
      <c r="CA92" s="67">
        <v>0</v>
      </c>
      <c r="CB92" s="67">
        <v>0</v>
      </c>
      <c r="CC92" s="67">
        <v>0</v>
      </c>
      <c r="CD92" s="67">
        <v>0</v>
      </c>
      <c r="CE92" s="67">
        <v>0</v>
      </c>
      <c r="CF92" s="67">
        <v>0</v>
      </c>
      <c r="CG92" s="67">
        <v>0</v>
      </c>
      <c r="CH92" s="67">
        <v>0</v>
      </c>
      <c r="CI92" s="67">
        <v>0</v>
      </c>
      <c r="CJ92" s="67">
        <v>0</v>
      </c>
      <c r="CK92" s="67">
        <v>0</v>
      </c>
      <c r="CL92" s="67">
        <v>0</v>
      </c>
      <c r="CM92" s="67">
        <v>0</v>
      </c>
      <c r="CN92" s="67">
        <v>0</v>
      </c>
      <c r="CO92" s="67">
        <v>0</v>
      </c>
      <c r="CP92" s="67">
        <v>0</v>
      </c>
      <c r="CQ92" s="67">
        <v>0</v>
      </c>
      <c r="CR92" s="67">
        <v>0</v>
      </c>
      <c r="CS92" s="67">
        <v>0</v>
      </c>
      <c r="CT92" s="67">
        <v>0</v>
      </c>
      <c r="CU92" s="67">
        <v>0</v>
      </c>
      <c r="CV92" s="67">
        <v>0</v>
      </c>
      <c r="CW92" s="67">
        <v>0</v>
      </c>
      <c r="CX92" s="67">
        <v>0</v>
      </c>
      <c r="CY92" s="67">
        <v>0</v>
      </c>
      <c r="CZ92" s="67">
        <v>0</v>
      </c>
      <c r="DA92" s="67">
        <v>0</v>
      </c>
      <c r="DB92" s="67">
        <v>0</v>
      </c>
      <c r="DC92" s="67">
        <v>0</v>
      </c>
      <c r="DD92" s="67">
        <v>0</v>
      </c>
      <c r="DE92" s="67">
        <v>0</v>
      </c>
      <c r="DF92" s="67">
        <v>0</v>
      </c>
      <c r="DG92" s="67">
        <v>0</v>
      </c>
      <c r="DH92" s="67">
        <v>0</v>
      </c>
      <c r="DI92" s="67">
        <v>0</v>
      </c>
      <c r="DJ92" s="67">
        <v>0</v>
      </c>
      <c r="DK92" s="67">
        <v>0</v>
      </c>
      <c r="DL92" s="67">
        <v>0</v>
      </c>
      <c r="DM92" s="67">
        <v>0</v>
      </c>
      <c r="DN92" s="67">
        <v>0</v>
      </c>
      <c r="DO92" s="67">
        <v>0</v>
      </c>
      <c r="DP92" s="67">
        <v>0</v>
      </c>
      <c r="DQ92" s="67">
        <v>0</v>
      </c>
      <c r="DR92" s="67">
        <v>0</v>
      </c>
      <c r="DS92" s="67">
        <v>0</v>
      </c>
      <c r="DT92" s="67">
        <v>0</v>
      </c>
      <c r="DU92" s="67">
        <v>0</v>
      </c>
      <c r="DV92" s="67">
        <v>0</v>
      </c>
      <c r="DW92" s="67">
        <v>0</v>
      </c>
      <c r="DX92" s="67">
        <v>0</v>
      </c>
      <c r="DY92" s="67">
        <v>0</v>
      </c>
      <c r="DZ92" s="67">
        <v>0</v>
      </c>
      <c r="EA92" s="67">
        <v>0</v>
      </c>
      <c r="EB92" s="67">
        <v>0</v>
      </c>
      <c r="EC92" s="67">
        <v>0</v>
      </c>
      <c r="ED92" s="67">
        <v>0</v>
      </c>
      <c r="EE92" s="67">
        <v>0</v>
      </c>
      <c r="EF92" s="67">
        <v>0</v>
      </c>
      <c r="EG92" s="67">
        <v>0</v>
      </c>
      <c r="EH92" s="67">
        <v>0</v>
      </c>
      <c r="EI92" s="67">
        <v>0</v>
      </c>
      <c r="EJ92" s="67">
        <v>0</v>
      </c>
      <c r="EK92" s="67">
        <v>0</v>
      </c>
      <c r="EL92" s="67">
        <v>0</v>
      </c>
      <c r="EM92" s="67">
        <v>0</v>
      </c>
      <c r="EN92" s="67">
        <v>0</v>
      </c>
      <c r="EO92" s="67">
        <v>0</v>
      </c>
      <c r="EP92" s="67">
        <v>0</v>
      </c>
      <c r="EQ92" s="67">
        <v>0</v>
      </c>
      <c r="ER92" s="67">
        <v>0</v>
      </c>
      <c r="ES92" s="67">
        <v>0</v>
      </c>
      <c r="ET92" s="36">
        <f t="shared" si="6"/>
        <v>0</v>
      </c>
      <c r="EV92" s="17">
        <v>0</v>
      </c>
      <c r="EW92" s="60">
        <f t="shared" si="7"/>
        <v>0</v>
      </c>
      <c r="EX92" s="68">
        <f t="shared" si="8"/>
        <v>0</v>
      </c>
      <c r="EY92" s="68">
        <f t="shared" si="3"/>
        <v>0</v>
      </c>
      <c r="EZ92" s="69">
        <v>2.75</v>
      </c>
      <c r="FA92" s="17">
        <f t="shared" si="4"/>
        <v>0</v>
      </c>
      <c r="FB92" s="68">
        <f t="shared" si="5"/>
        <v>0</v>
      </c>
      <c r="FD92" s="68"/>
      <c r="FE92" s="60"/>
    </row>
    <row r="93" spans="1:162" x14ac:dyDescent="0.3">
      <c r="A93" s="37" t="s">
        <v>29</v>
      </c>
      <c r="B93" s="67">
        <v>0</v>
      </c>
      <c r="C93" s="67">
        <v>0</v>
      </c>
      <c r="D93" s="67">
        <v>0</v>
      </c>
      <c r="E93" s="67">
        <v>0</v>
      </c>
      <c r="F93" s="67">
        <v>0</v>
      </c>
      <c r="G93" s="67">
        <v>0</v>
      </c>
      <c r="H93" s="67">
        <v>0</v>
      </c>
      <c r="I93" s="67">
        <v>0</v>
      </c>
      <c r="J93" s="67">
        <v>0</v>
      </c>
      <c r="K93" s="67">
        <v>0</v>
      </c>
      <c r="L93" s="67">
        <v>0</v>
      </c>
      <c r="M93" s="67">
        <v>0</v>
      </c>
      <c r="N93" s="67">
        <v>0</v>
      </c>
      <c r="O93" s="67">
        <v>0</v>
      </c>
      <c r="P93" s="67">
        <v>0</v>
      </c>
      <c r="Q93" s="67">
        <v>27000</v>
      </c>
      <c r="R93" s="67">
        <v>0</v>
      </c>
      <c r="S93" s="67">
        <v>0</v>
      </c>
      <c r="T93" s="67">
        <v>0</v>
      </c>
      <c r="U93" s="67">
        <v>0</v>
      </c>
      <c r="V93" s="67">
        <v>0</v>
      </c>
      <c r="W93" s="67">
        <v>0</v>
      </c>
      <c r="X93" s="67">
        <v>0</v>
      </c>
      <c r="Y93" s="67">
        <v>0</v>
      </c>
      <c r="Z93" s="67">
        <v>0</v>
      </c>
      <c r="AA93" s="67">
        <v>0</v>
      </c>
      <c r="AB93" s="67">
        <v>12000</v>
      </c>
      <c r="AC93" s="67">
        <v>0</v>
      </c>
      <c r="AD93" s="67">
        <v>0</v>
      </c>
      <c r="AE93" s="67">
        <v>0</v>
      </c>
      <c r="AF93" s="67">
        <v>0</v>
      </c>
      <c r="AG93" s="67">
        <v>0</v>
      </c>
      <c r="AH93" s="67">
        <v>0</v>
      </c>
      <c r="AI93" s="67">
        <v>0</v>
      </c>
      <c r="AJ93" s="67">
        <v>0</v>
      </c>
      <c r="AK93" s="67">
        <v>0</v>
      </c>
      <c r="AL93" s="67">
        <v>0</v>
      </c>
      <c r="AM93" s="67">
        <v>0</v>
      </c>
      <c r="AN93" s="67">
        <v>0</v>
      </c>
      <c r="AO93" s="67">
        <v>0</v>
      </c>
      <c r="AP93" s="67">
        <v>0</v>
      </c>
      <c r="AQ93" s="67">
        <v>0</v>
      </c>
      <c r="AR93" s="67">
        <v>0</v>
      </c>
      <c r="AS93" s="67">
        <v>0</v>
      </c>
      <c r="AT93" s="67">
        <v>0</v>
      </c>
      <c r="AU93" s="67">
        <v>0</v>
      </c>
      <c r="AV93" s="67">
        <v>0</v>
      </c>
      <c r="AW93" s="67">
        <v>0</v>
      </c>
      <c r="AX93" s="67">
        <v>0</v>
      </c>
      <c r="AY93" s="67">
        <v>0</v>
      </c>
      <c r="AZ93" s="67">
        <v>0</v>
      </c>
      <c r="BA93" s="67">
        <v>0</v>
      </c>
      <c r="BB93" s="67">
        <v>0</v>
      </c>
      <c r="BC93" s="67">
        <v>0</v>
      </c>
      <c r="BD93" s="67">
        <v>0</v>
      </c>
      <c r="BE93" s="67">
        <v>34000</v>
      </c>
      <c r="BF93" s="67">
        <v>0</v>
      </c>
      <c r="BG93" s="67">
        <v>0</v>
      </c>
      <c r="BH93" s="67">
        <v>0</v>
      </c>
      <c r="BI93" s="67">
        <v>0</v>
      </c>
      <c r="BJ93" s="67">
        <v>0</v>
      </c>
      <c r="BK93" s="67">
        <v>0</v>
      </c>
      <c r="BL93" s="67">
        <v>0</v>
      </c>
      <c r="BM93" s="67">
        <v>0</v>
      </c>
      <c r="BN93" s="67">
        <v>0</v>
      </c>
      <c r="BO93" s="67">
        <v>0</v>
      </c>
      <c r="BP93" s="67">
        <v>0</v>
      </c>
      <c r="BQ93" s="67">
        <v>0</v>
      </c>
      <c r="BR93" s="67">
        <v>0</v>
      </c>
      <c r="BS93" s="67">
        <v>0</v>
      </c>
      <c r="BT93" s="67">
        <v>0</v>
      </c>
      <c r="BU93" s="67">
        <v>0</v>
      </c>
      <c r="BV93" s="67">
        <v>0</v>
      </c>
      <c r="BW93" s="67">
        <v>9000</v>
      </c>
      <c r="BX93" s="67">
        <v>0</v>
      </c>
      <c r="BY93" s="67">
        <v>0</v>
      </c>
      <c r="BZ93" s="67">
        <v>0</v>
      </c>
      <c r="CA93" s="67">
        <v>0</v>
      </c>
      <c r="CB93" s="67">
        <v>0</v>
      </c>
      <c r="CC93" s="67">
        <v>0</v>
      </c>
      <c r="CD93" s="67">
        <v>0</v>
      </c>
      <c r="CE93" s="67">
        <v>0</v>
      </c>
      <c r="CF93" s="67">
        <v>0</v>
      </c>
      <c r="CG93" s="67">
        <v>0</v>
      </c>
      <c r="CH93" s="67">
        <v>0</v>
      </c>
      <c r="CI93" s="67">
        <v>0</v>
      </c>
      <c r="CJ93" s="67">
        <v>0</v>
      </c>
      <c r="CK93" s="67">
        <v>0</v>
      </c>
      <c r="CL93" s="67">
        <v>0</v>
      </c>
      <c r="CM93" s="67">
        <v>0</v>
      </c>
      <c r="CN93" s="67">
        <v>0</v>
      </c>
      <c r="CO93" s="67">
        <v>0</v>
      </c>
      <c r="CP93" s="67">
        <v>0</v>
      </c>
      <c r="CQ93" s="67">
        <v>0</v>
      </c>
      <c r="CR93" s="67">
        <v>0</v>
      </c>
      <c r="CS93" s="67">
        <v>0</v>
      </c>
      <c r="CT93" s="67">
        <v>0</v>
      </c>
      <c r="CU93" s="67">
        <v>0</v>
      </c>
      <c r="CV93" s="67">
        <v>0</v>
      </c>
      <c r="CW93" s="67">
        <v>0</v>
      </c>
      <c r="CX93" s="67">
        <v>0</v>
      </c>
      <c r="CY93" s="67">
        <v>0</v>
      </c>
      <c r="CZ93" s="67">
        <v>0</v>
      </c>
      <c r="DA93" s="67">
        <v>0</v>
      </c>
      <c r="DB93" s="67">
        <v>10000</v>
      </c>
      <c r="DC93" s="67">
        <v>0</v>
      </c>
      <c r="DD93" s="67">
        <v>0</v>
      </c>
      <c r="DE93" s="67">
        <v>0</v>
      </c>
      <c r="DF93" s="67">
        <v>0</v>
      </c>
      <c r="DG93" s="67">
        <v>0</v>
      </c>
      <c r="DH93" s="67">
        <v>0</v>
      </c>
      <c r="DI93" s="67">
        <v>0</v>
      </c>
      <c r="DJ93" s="67">
        <v>0</v>
      </c>
      <c r="DK93" s="67">
        <v>0</v>
      </c>
      <c r="DL93" s="67">
        <v>0</v>
      </c>
      <c r="DM93" s="67">
        <v>0</v>
      </c>
      <c r="DN93" s="67">
        <v>0</v>
      </c>
      <c r="DO93" s="67">
        <v>0</v>
      </c>
      <c r="DP93" s="67">
        <v>0</v>
      </c>
      <c r="DQ93" s="67">
        <v>0</v>
      </c>
      <c r="DR93" s="67">
        <v>0</v>
      </c>
      <c r="DS93" s="67">
        <v>0</v>
      </c>
      <c r="DT93" s="67">
        <v>0</v>
      </c>
      <c r="DU93" s="67">
        <v>0</v>
      </c>
      <c r="DV93" s="67">
        <v>0</v>
      </c>
      <c r="DW93" s="67">
        <v>0</v>
      </c>
      <c r="DX93" s="67">
        <v>0</v>
      </c>
      <c r="DY93" s="67">
        <v>0</v>
      </c>
      <c r="DZ93" s="67">
        <v>0</v>
      </c>
      <c r="EA93" s="67">
        <v>0</v>
      </c>
      <c r="EB93" s="67">
        <v>0</v>
      </c>
      <c r="EC93" s="67">
        <v>0</v>
      </c>
      <c r="ED93" s="67">
        <v>0</v>
      </c>
      <c r="EE93" s="67">
        <v>0</v>
      </c>
      <c r="EF93" s="67">
        <v>0</v>
      </c>
      <c r="EG93" s="67">
        <v>0</v>
      </c>
      <c r="EH93" s="67">
        <v>0</v>
      </c>
      <c r="EI93" s="67">
        <v>0</v>
      </c>
      <c r="EJ93" s="67">
        <v>0</v>
      </c>
      <c r="EK93" s="67">
        <v>0</v>
      </c>
      <c r="EL93" s="67">
        <v>0</v>
      </c>
      <c r="EM93" s="67">
        <v>0</v>
      </c>
      <c r="EN93" s="67">
        <v>0</v>
      </c>
      <c r="EO93" s="67">
        <v>0</v>
      </c>
      <c r="EP93" s="67">
        <v>0</v>
      </c>
      <c r="EQ93" s="67">
        <v>0</v>
      </c>
      <c r="ER93" s="67">
        <v>0</v>
      </c>
      <c r="ES93" s="67">
        <v>0</v>
      </c>
      <c r="ET93" s="36">
        <f t="shared" si="6"/>
        <v>92000</v>
      </c>
      <c r="EV93" s="17">
        <v>1</v>
      </c>
      <c r="EW93" s="60">
        <f t="shared" si="7"/>
        <v>500</v>
      </c>
      <c r="EX93" s="68">
        <f t="shared" si="8"/>
        <v>300000</v>
      </c>
      <c r="EY93" s="68">
        <f t="shared" si="3"/>
        <v>300000</v>
      </c>
      <c r="EZ93" s="69">
        <v>1</v>
      </c>
      <c r="FA93" s="17">
        <f t="shared" si="4"/>
        <v>3000000</v>
      </c>
      <c r="FB93" s="68">
        <f t="shared" si="5"/>
        <v>92000</v>
      </c>
      <c r="FD93" s="68"/>
      <c r="FE93" s="60"/>
    </row>
    <row r="94" spans="1:162" x14ac:dyDescent="0.3">
      <c r="A94" s="37" t="s">
        <v>22</v>
      </c>
      <c r="B94" s="67">
        <v>0</v>
      </c>
      <c r="C94" s="67">
        <v>0</v>
      </c>
      <c r="D94" s="67">
        <v>0</v>
      </c>
      <c r="E94" s="67">
        <v>0</v>
      </c>
      <c r="F94" s="67">
        <v>0</v>
      </c>
      <c r="G94" s="67">
        <v>0</v>
      </c>
      <c r="H94" s="67">
        <v>0</v>
      </c>
      <c r="I94" s="67">
        <v>0</v>
      </c>
      <c r="J94" s="67">
        <v>0</v>
      </c>
      <c r="K94" s="67">
        <v>0</v>
      </c>
      <c r="L94" s="67">
        <v>0</v>
      </c>
      <c r="M94" s="67">
        <v>0</v>
      </c>
      <c r="N94" s="67">
        <v>0</v>
      </c>
      <c r="O94" s="67">
        <v>0</v>
      </c>
      <c r="P94" s="67">
        <v>0</v>
      </c>
      <c r="Q94" s="67">
        <v>0</v>
      </c>
      <c r="R94" s="67">
        <v>0</v>
      </c>
      <c r="S94" s="67">
        <v>0</v>
      </c>
      <c r="T94" s="67">
        <v>0</v>
      </c>
      <c r="U94" s="67">
        <v>0</v>
      </c>
      <c r="V94" s="67">
        <v>0</v>
      </c>
      <c r="W94" s="67">
        <v>0</v>
      </c>
      <c r="X94" s="67">
        <v>0</v>
      </c>
      <c r="Y94" s="67">
        <v>0</v>
      </c>
      <c r="Z94" s="67">
        <v>0</v>
      </c>
      <c r="AA94" s="67">
        <v>0</v>
      </c>
      <c r="AB94" s="67">
        <v>0</v>
      </c>
      <c r="AC94" s="67">
        <v>0</v>
      </c>
      <c r="AD94" s="67">
        <v>0</v>
      </c>
      <c r="AE94" s="67">
        <v>0</v>
      </c>
      <c r="AF94" s="67">
        <v>0</v>
      </c>
      <c r="AG94" s="67">
        <v>0</v>
      </c>
      <c r="AH94" s="67">
        <v>0</v>
      </c>
      <c r="AI94" s="67">
        <v>0</v>
      </c>
      <c r="AJ94" s="67">
        <v>0</v>
      </c>
      <c r="AK94" s="67">
        <v>0</v>
      </c>
      <c r="AL94" s="67">
        <v>0</v>
      </c>
      <c r="AM94" s="67">
        <v>0</v>
      </c>
      <c r="AN94" s="67">
        <v>0</v>
      </c>
      <c r="AO94" s="67">
        <v>0</v>
      </c>
      <c r="AP94" s="67">
        <v>0</v>
      </c>
      <c r="AQ94" s="67">
        <v>0</v>
      </c>
      <c r="AR94" s="67">
        <v>0</v>
      </c>
      <c r="AS94" s="67">
        <v>0</v>
      </c>
      <c r="AT94" s="67">
        <v>0</v>
      </c>
      <c r="AU94" s="67">
        <v>0</v>
      </c>
      <c r="AV94" s="67">
        <v>0</v>
      </c>
      <c r="AW94" s="67">
        <v>0</v>
      </c>
      <c r="AX94" s="67">
        <v>0</v>
      </c>
      <c r="AY94" s="67">
        <v>0</v>
      </c>
      <c r="AZ94" s="67">
        <v>38000</v>
      </c>
      <c r="BA94" s="67">
        <v>0</v>
      </c>
      <c r="BB94" s="67">
        <v>2000</v>
      </c>
      <c r="BC94" s="67">
        <v>59000</v>
      </c>
      <c r="BD94" s="67">
        <v>0</v>
      </c>
      <c r="BE94" s="67">
        <v>0</v>
      </c>
      <c r="BF94" s="67">
        <v>0</v>
      </c>
      <c r="BG94" s="67">
        <v>0</v>
      </c>
      <c r="BH94" s="67">
        <v>0</v>
      </c>
      <c r="BI94" s="67">
        <v>0</v>
      </c>
      <c r="BJ94" s="67">
        <v>0</v>
      </c>
      <c r="BK94" s="67">
        <v>0</v>
      </c>
      <c r="BL94" s="67">
        <v>0</v>
      </c>
      <c r="BM94" s="67">
        <v>0</v>
      </c>
      <c r="BN94" s="67">
        <v>360000</v>
      </c>
      <c r="BO94" s="67">
        <v>0</v>
      </c>
      <c r="BP94" s="67">
        <v>0</v>
      </c>
      <c r="BQ94" s="67">
        <v>0</v>
      </c>
      <c r="BR94" s="67">
        <v>0</v>
      </c>
      <c r="BS94" s="67">
        <v>0</v>
      </c>
      <c r="BT94" s="67">
        <v>0</v>
      </c>
      <c r="BU94" s="67">
        <v>0</v>
      </c>
      <c r="BV94" s="67">
        <v>0</v>
      </c>
      <c r="BW94" s="67">
        <v>0</v>
      </c>
      <c r="BX94" s="67">
        <v>0</v>
      </c>
      <c r="BY94" s="67">
        <v>0</v>
      </c>
      <c r="BZ94" s="67">
        <v>0</v>
      </c>
      <c r="CA94" s="67">
        <v>0</v>
      </c>
      <c r="CB94" s="67">
        <v>27000</v>
      </c>
      <c r="CC94" s="67">
        <v>0</v>
      </c>
      <c r="CD94" s="67">
        <v>0</v>
      </c>
      <c r="CE94" s="67">
        <v>0</v>
      </c>
      <c r="CF94" s="67">
        <v>0</v>
      </c>
      <c r="CG94" s="67">
        <v>0</v>
      </c>
      <c r="CH94" s="67">
        <v>0</v>
      </c>
      <c r="CI94" s="67">
        <v>0</v>
      </c>
      <c r="CJ94" s="67">
        <v>0</v>
      </c>
      <c r="CK94" s="67">
        <v>0</v>
      </c>
      <c r="CL94" s="67">
        <v>0</v>
      </c>
      <c r="CM94" s="67">
        <v>0</v>
      </c>
      <c r="CN94" s="67">
        <v>0</v>
      </c>
      <c r="CO94" s="67">
        <v>0</v>
      </c>
      <c r="CP94" s="67">
        <v>0</v>
      </c>
      <c r="CQ94" s="67">
        <v>0</v>
      </c>
      <c r="CR94" s="67">
        <v>0</v>
      </c>
      <c r="CS94" s="67">
        <v>0</v>
      </c>
      <c r="CT94" s="67">
        <v>0</v>
      </c>
      <c r="CU94" s="67">
        <v>0</v>
      </c>
      <c r="CV94" s="67">
        <v>0</v>
      </c>
      <c r="CW94" s="67">
        <v>0</v>
      </c>
      <c r="CX94" s="67">
        <v>0</v>
      </c>
      <c r="CY94" s="67">
        <v>0</v>
      </c>
      <c r="CZ94" s="67">
        <v>0</v>
      </c>
      <c r="DA94" s="67">
        <v>0</v>
      </c>
      <c r="DB94" s="67">
        <v>0</v>
      </c>
      <c r="DC94" s="67">
        <v>0</v>
      </c>
      <c r="DD94" s="67">
        <v>0</v>
      </c>
      <c r="DE94" s="67">
        <v>0</v>
      </c>
      <c r="DF94" s="67">
        <v>0</v>
      </c>
      <c r="DG94" s="67">
        <v>0</v>
      </c>
      <c r="DH94" s="67">
        <v>0</v>
      </c>
      <c r="DI94" s="67">
        <v>0</v>
      </c>
      <c r="DJ94" s="67">
        <v>0</v>
      </c>
      <c r="DK94" s="67">
        <v>0</v>
      </c>
      <c r="DL94" s="67">
        <v>0</v>
      </c>
      <c r="DM94" s="67">
        <v>0</v>
      </c>
      <c r="DN94" s="67">
        <v>0</v>
      </c>
      <c r="DO94" s="67">
        <v>0</v>
      </c>
      <c r="DP94" s="67">
        <v>0</v>
      </c>
      <c r="DQ94" s="67">
        <v>0</v>
      </c>
      <c r="DR94" s="67">
        <v>0</v>
      </c>
      <c r="DS94" s="67">
        <v>0</v>
      </c>
      <c r="DT94" s="67">
        <v>0</v>
      </c>
      <c r="DU94" s="67">
        <v>0</v>
      </c>
      <c r="DV94" s="67">
        <v>0</v>
      </c>
      <c r="DW94" s="67">
        <v>0</v>
      </c>
      <c r="DX94" s="67">
        <v>0</v>
      </c>
      <c r="DY94" s="67">
        <v>0</v>
      </c>
      <c r="DZ94" s="67">
        <v>0</v>
      </c>
      <c r="EA94" s="67">
        <v>0</v>
      </c>
      <c r="EB94" s="67">
        <v>0</v>
      </c>
      <c r="EC94" s="67">
        <v>0</v>
      </c>
      <c r="ED94" s="67">
        <v>0</v>
      </c>
      <c r="EE94" s="67">
        <v>0</v>
      </c>
      <c r="EF94" s="67">
        <v>0</v>
      </c>
      <c r="EG94" s="67">
        <v>0</v>
      </c>
      <c r="EH94" s="67">
        <v>0</v>
      </c>
      <c r="EI94" s="67">
        <v>0</v>
      </c>
      <c r="EJ94" s="67">
        <v>37000</v>
      </c>
      <c r="EK94" s="67">
        <v>0</v>
      </c>
      <c r="EL94" s="67">
        <v>0</v>
      </c>
      <c r="EM94" s="67">
        <v>0</v>
      </c>
      <c r="EN94" s="67">
        <v>0</v>
      </c>
      <c r="EO94" s="67">
        <v>0</v>
      </c>
      <c r="EP94" s="67">
        <v>0</v>
      </c>
      <c r="EQ94" s="67">
        <v>0</v>
      </c>
      <c r="ER94" s="67">
        <v>16000</v>
      </c>
      <c r="ES94" s="67">
        <v>0</v>
      </c>
      <c r="ET94" s="36">
        <f t="shared" si="6"/>
        <v>539000</v>
      </c>
      <c r="EV94" s="17">
        <v>1</v>
      </c>
      <c r="EW94" s="60">
        <f t="shared" si="7"/>
        <v>2700</v>
      </c>
      <c r="EX94" s="68">
        <f t="shared" si="8"/>
        <v>1620000</v>
      </c>
      <c r="EY94" s="68">
        <f t="shared" si="3"/>
        <v>1620000</v>
      </c>
      <c r="EZ94" s="69">
        <v>3</v>
      </c>
      <c r="FA94" s="17">
        <f t="shared" si="4"/>
        <v>3000000</v>
      </c>
      <c r="FB94" s="68">
        <f t="shared" si="5"/>
        <v>1617000</v>
      </c>
      <c r="FD94" s="68"/>
      <c r="FE94" s="60"/>
    </row>
    <row r="95" spans="1:162" x14ac:dyDescent="0.3">
      <c r="A95" s="37" t="s">
        <v>7</v>
      </c>
      <c r="B95" s="67">
        <v>0</v>
      </c>
      <c r="C95" s="67">
        <v>0</v>
      </c>
      <c r="D95" s="67">
        <v>0</v>
      </c>
      <c r="E95" s="67">
        <v>0</v>
      </c>
      <c r="F95" s="67">
        <v>0</v>
      </c>
      <c r="G95" s="67">
        <v>0</v>
      </c>
      <c r="H95" s="67">
        <v>0</v>
      </c>
      <c r="I95" s="67">
        <v>0</v>
      </c>
      <c r="J95" s="67">
        <v>0</v>
      </c>
      <c r="K95" s="67">
        <v>0</v>
      </c>
      <c r="L95" s="67">
        <v>0</v>
      </c>
      <c r="M95" s="67">
        <v>0</v>
      </c>
      <c r="N95" s="67">
        <v>0</v>
      </c>
      <c r="O95" s="67">
        <v>0</v>
      </c>
      <c r="P95" s="67">
        <v>0</v>
      </c>
      <c r="Q95" s="67">
        <v>0</v>
      </c>
      <c r="R95" s="67">
        <v>0</v>
      </c>
      <c r="S95" s="67">
        <v>0</v>
      </c>
      <c r="T95" s="67">
        <v>0</v>
      </c>
      <c r="U95" s="67">
        <v>0</v>
      </c>
      <c r="V95" s="67">
        <v>0</v>
      </c>
      <c r="W95" s="67">
        <v>0</v>
      </c>
      <c r="X95" s="67">
        <v>0</v>
      </c>
      <c r="Y95" s="67">
        <v>0</v>
      </c>
      <c r="Z95" s="67">
        <v>0</v>
      </c>
      <c r="AA95" s="67">
        <v>0</v>
      </c>
      <c r="AB95" s="67">
        <v>0</v>
      </c>
      <c r="AC95" s="67">
        <v>0</v>
      </c>
      <c r="AD95" s="67">
        <v>0</v>
      </c>
      <c r="AE95" s="67">
        <v>0</v>
      </c>
      <c r="AF95" s="67">
        <v>0</v>
      </c>
      <c r="AG95" s="67">
        <v>0</v>
      </c>
      <c r="AH95" s="67">
        <v>0</v>
      </c>
      <c r="AI95" s="67">
        <v>0</v>
      </c>
      <c r="AJ95" s="67">
        <v>0</v>
      </c>
      <c r="AK95" s="67">
        <v>0</v>
      </c>
      <c r="AL95" s="67">
        <v>0</v>
      </c>
      <c r="AM95" s="67">
        <v>0</v>
      </c>
      <c r="AN95" s="67">
        <v>0</v>
      </c>
      <c r="AO95" s="67">
        <v>0</v>
      </c>
      <c r="AP95" s="67">
        <v>0</v>
      </c>
      <c r="AQ95" s="67">
        <v>0</v>
      </c>
      <c r="AR95" s="67">
        <v>0</v>
      </c>
      <c r="AS95" s="67">
        <v>0</v>
      </c>
      <c r="AT95" s="67">
        <v>0</v>
      </c>
      <c r="AU95" s="67">
        <v>0</v>
      </c>
      <c r="AV95" s="67">
        <v>0</v>
      </c>
      <c r="AW95" s="67">
        <v>0</v>
      </c>
      <c r="AX95" s="67">
        <v>0</v>
      </c>
      <c r="AY95" s="67">
        <v>0</v>
      </c>
      <c r="AZ95" s="67">
        <v>0</v>
      </c>
      <c r="BA95" s="67">
        <v>0</v>
      </c>
      <c r="BB95" s="67">
        <v>0</v>
      </c>
      <c r="BC95" s="67">
        <v>0</v>
      </c>
      <c r="BD95" s="67">
        <v>0</v>
      </c>
      <c r="BE95" s="67">
        <v>0</v>
      </c>
      <c r="BF95" s="67">
        <v>0</v>
      </c>
      <c r="BG95" s="67">
        <v>0</v>
      </c>
      <c r="BH95" s="67">
        <v>0</v>
      </c>
      <c r="BI95" s="67">
        <v>0</v>
      </c>
      <c r="BJ95" s="67">
        <v>0</v>
      </c>
      <c r="BK95" s="67">
        <v>0</v>
      </c>
      <c r="BL95" s="67">
        <v>0</v>
      </c>
      <c r="BM95" s="67">
        <v>0</v>
      </c>
      <c r="BN95" s="67">
        <v>0</v>
      </c>
      <c r="BO95" s="67">
        <v>0</v>
      </c>
      <c r="BP95" s="67">
        <v>0</v>
      </c>
      <c r="BQ95" s="67">
        <v>0</v>
      </c>
      <c r="BR95" s="67">
        <v>0</v>
      </c>
      <c r="BS95" s="67">
        <v>0</v>
      </c>
      <c r="BT95" s="67">
        <v>0</v>
      </c>
      <c r="BU95" s="67">
        <v>0</v>
      </c>
      <c r="BV95" s="67">
        <v>0</v>
      </c>
      <c r="BW95" s="67">
        <v>0</v>
      </c>
      <c r="BX95" s="67">
        <v>0</v>
      </c>
      <c r="BY95" s="67">
        <v>0</v>
      </c>
      <c r="BZ95" s="67">
        <v>0</v>
      </c>
      <c r="CA95" s="67">
        <v>0</v>
      </c>
      <c r="CB95" s="67">
        <v>0</v>
      </c>
      <c r="CC95" s="67">
        <v>0</v>
      </c>
      <c r="CD95" s="67">
        <v>0</v>
      </c>
      <c r="CE95" s="67">
        <v>0</v>
      </c>
      <c r="CF95" s="67">
        <v>0</v>
      </c>
      <c r="CG95" s="67">
        <v>0</v>
      </c>
      <c r="CH95" s="67">
        <v>0</v>
      </c>
      <c r="CI95" s="67">
        <v>0</v>
      </c>
      <c r="CJ95" s="67">
        <v>0</v>
      </c>
      <c r="CK95" s="67">
        <v>0</v>
      </c>
      <c r="CL95" s="67">
        <v>0</v>
      </c>
      <c r="CM95" s="67">
        <v>0</v>
      </c>
      <c r="CN95" s="67">
        <v>0</v>
      </c>
      <c r="CO95" s="67">
        <v>0</v>
      </c>
      <c r="CP95" s="67">
        <v>0</v>
      </c>
      <c r="CQ95" s="67">
        <v>0</v>
      </c>
      <c r="CR95" s="67">
        <v>0</v>
      </c>
      <c r="CS95" s="67">
        <v>0</v>
      </c>
      <c r="CT95" s="67">
        <v>0</v>
      </c>
      <c r="CU95" s="67">
        <v>0</v>
      </c>
      <c r="CV95" s="67">
        <v>0</v>
      </c>
      <c r="CW95" s="67">
        <v>0</v>
      </c>
      <c r="CX95" s="67">
        <v>0</v>
      </c>
      <c r="CY95" s="67">
        <v>0</v>
      </c>
      <c r="CZ95" s="67">
        <v>0</v>
      </c>
      <c r="DA95" s="67">
        <v>0</v>
      </c>
      <c r="DB95" s="67">
        <v>0</v>
      </c>
      <c r="DC95" s="67">
        <v>0</v>
      </c>
      <c r="DD95" s="67">
        <v>0</v>
      </c>
      <c r="DE95" s="67">
        <v>0</v>
      </c>
      <c r="DF95" s="67">
        <v>0</v>
      </c>
      <c r="DG95" s="67">
        <v>0</v>
      </c>
      <c r="DH95" s="67">
        <v>0</v>
      </c>
      <c r="DI95" s="67">
        <v>0</v>
      </c>
      <c r="DJ95" s="67">
        <v>0</v>
      </c>
      <c r="DK95" s="67">
        <v>0</v>
      </c>
      <c r="DL95" s="67">
        <v>0</v>
      </c>
      <c r="DM95" s="67">
        <v>0</v>
      </c>
      <c r="DN95" s="67">
        <v>0</v>
      </c>
      <c r="DO95" s="67">
        <v>0</v>
      </c>
      <c r="DP95" s="67">
        <v>0</v>
      </c>
      <c r="DQ95" s="67">
        <v>0</v>
      </c>
      <c r="DR95" s="67">
        <v>0</v>
      </c>
      <c r="DS95" s="67">
        <v>0</v>
      </c>
      <c r="DT95" s="67">
        <v>0</v>
      </c>
      <c r="DU95" s="67">
        <v>0</v>
      </c>
      <c r="DV95" s="67">
        <v>0</v>
      </c>
      <c r="DW95" s="67">
        <v>0</v>
      </c>
      <c r="DX95" s="67">
        <v>0</v>
      </c>
      <c r="DY95" s="67">
        <v>0</v>
      </c>
      <c r="DZ95" s="67">
        <v>0</v>
      </c>
      <c r="EA95" s="67">
        <v>0</v>
      </c>
      <c r="EB95" s="67">
        <v>0</v>
      </c>
      <c r="EC95" s="67">
        <v>0</v>
      </c>
      <c r="ED95" s="67">
        <v>0</v>
      </c>
      <c r="EE95" s="67">
        <v>0</v>
      </c>
      <c r="EF95" s="67">
        <v>0</v>
      </c>
      <c r="EG95" s="67">
        <v>0</v>
      </c>
      <c r="EH95" s="67">
        <v>0</v>
      </c>
      <c r="EI95" s="67">
        <v>0</v>
      </c>
      <c r="EJ95" s="67">
        <v>0</v>
      </c>
      <c r="EK95" s="67">
        <v>0</v>
      </c>
      <c r="EL95" s="67">
        <v>0</v>
      </c>
      <c r="EM95" s="67">
        <v>0</v>
      </c>
      <c r="EN95" s="67">
        <v>0</v>
      </c>
      <c r="EO95" s="67">
        <v>0</v>
      </c>
      <c r="EP95" s="67">
        <v>0</v>
      </c>
      <c r="EQ95" s="67">
        <v>0</v>
      </c>
      <c r="ER95" s="67">
        <v>0</v>
      </c>
      <c r="ES95" s="67">
        <v>0</v>
      </c>
      <c r="ET95" s="36">
        <f t="shared" si="6"/>
        <v>0</v>
      </c>
      <c r="EV95" s="17">
        <v>0</v>
      </c>
      <c r="EW95" s="60">
        <f t="shared" si="7"/>
        <v>0</v>
      </c>
      <c r="EX95" s="68">
        <f t="shared" si="8"/>
        <v>0</v>
      </c>
      <c r="EY95" s="68">
        <f t="shared" si="3"/>
        <v>0</v>
      </c>
      <c r="EZ95" s="69">
        <v>4</v>
      </c>
      <c r="FA95" s="17">
        <f t="shared" si="4"/>
        <v>0</v>
      </c>
      <c r="FB95" s="68">
        <f t="shared" si="5"/>
        <v>0</v>
      </c>
      <c r="FD95" s="68"/>
    </row>
    <row r="96" spans="1:162" x14ac:dyDescent="0.3">
      <c r="A96" s="37" t="s">
        <v>18</v>
      </c>
      <c r="B96" s="67">
        <v>0</v>
      </c>
      <c r="C96" s="67">
        <v>18000</v>
      </c>
      <c r="D96" s="67">
        <v>0</v>
      </c>
      <c r="E96" s="67">
        <v>0</v>
      </c>
      <c r="F96" s="67">
        <v>0</v>
      </c>
      <c r="G96" s="67">
        <v>0</v>
      </c>
      <c r="H96" s="67">
        <v>0</v>
      </c>
      <c r="I96" s="67">
        <v>0</v>
      </c>
      <c r="J96" s="67">
        <v>5000</v>
      </c>
      <c r="K96" s="67">
        <v>0</v>
      </c>
      <c r="L96" s="67">
        <v>0</v>
      </c>
      <c r="M96" s="67">
        <v>0</v>
      </c>
      <c r="N96" s="67">
        <v>0</v>
      </c>
      <c r="O96" s="67">
        <v>0</v>
      </c>
      <c r="P96" s="67">
        <v>0</v>
      </c>
      <c r="Q96" s="67">
        <v>0</v>
      </c>
      <c r="R96" s="67">
        <v>0</v>
      </c>
      <c r="S96" s="67">
        <v>0</v>
      </c>
      <c r="T96" s="67">
        <v>0</v>
      </c>
      <c r="U96" s="67">
        <v>0</v>
      </c>
      <c r="V96" s="67">
        <v>0</v>
      </c>
      <c r="W96" s="67">
        <v>0</v>
      </c>
      <c r="X96" s="67">
        <v>11000</v>
      </c>
      <c r="Y96" s="67">
        <v>0</v>
      </c>
      <c r="Z96" s="67">
        <v>0</v>
      </c>
      <c r="AA96" s="67">
        <v>14000</v>
      </c>
      <c r="AB96" s="67">
        <v>0</v>
      </c>
      <c r="AC96" s="67">
        <v>0</v>
      </c>
      <c r="AD96" s="67">
        <v>0</v>
      </c>
      <c r="AE96" s="67">
        <v>0</v>
      </c>
      <c r="AF96" s="67">
        <v>0</v>
      </c>
      <c r="AG96" s="67">
        <v>0</v>
      </c>
      <c r="AH96" s="67">
        <v>0</v>
      </c>
      <c r="AI96" s="67">
        <v>0</v>
      </c>
      <c r="AJ96" s="67">
        <v>0</v>
      </c>
      <c r="AK96" s="67">
        <v>0</v>
      </c>
      <c r="AL96" s="67">
        <v>0</v>
      </c>
      <c r="AM96" s="67">
        <v>0</v>
      </c>
      <c r="AN96" s="67">
        <v>0</v>
      </c>
      <c r="AO96" s="67">
        <v>0</v>
      </c>
      <c r="AP96" s="67">
        <v>0</v>
      </c>
      <c r="AQ96" s="67">
        <v>0</v>
      </c>
      <c r="AR96" s="67">
        <v>0</v>
      </c>
      <c r="AS96" s="67">
        <v>0</v>
      </c>
      <c r="AT96" s="67">
        <v>0</v>
      </c>
      <c r="AU96" s="67">
        <v>0</v>
      </c>
      <c r="AV96" s="67">
        <v>0</v>
      </c>
      <c r="AW96" s="67">
        <v>0</v>
      </c>
      <c r="AX96" s="67">
        <v>0</v>
      </c>
      <c r="AY96" s="67">
        <v>0</v>
      </c>
      <c r="AZ96" s="67">
        <v>0</v>
      </c>
      <c r="BA96" s="67">
        <v>0</v>
      </c>
      <c r="BB96" s="67">
        <v>0</v>
      </c>
      <c r="BC96" s="67">
        <v>0</v>
      </c>
      <c r="BD96" s="67">
        <v>0</v>
      </c>
      <c r="BE96" s="67">
        <v>0</v>
      </c>
      <c r="BF96" s="67">
        <v>0</v>
      </c>
      <c r="BG96" s="67">
        <v>0</v>
      </c>
      <c r="BH96" s="67">
        <v>0</v>
      </c>
      <c r="BI96" s="67">
        <v>0</v>
      </c>
      <c r="BJ96" s="67">
        <v>19000</v>
      </c>
      <c r="BK96" s="67">
        <v>0</v>
      </c>
      <c r="BL96" s="67">
        <v>0</v>
      </c>
      <c r="BM96" s="67">
        <v>0</v>
      </c>
      <c r="BN96" s="67">
        <v>0</v>
      </c>
      <c r="BO96" s="67">
        <v>14000</v>
      </c>
      <c r="BP96" s="67">
        <v>0</v>
      </c>
      <c r="BQ96" s="67">
        <v>47000</v>
      </c>
      <c r="BR96" s="67">
        <v>0</v>
      </c>
      <c r="BS96" s="67">
        <v>7900</v>
      </c>
      <c r="BT96" s="67">
        <v>0</v>
      </c>
      <c r="BU96" s="67">
        <v>0</v>
      </c>
      <c r="BV96" s="67">
        <v>42000</v>
      </c>
      <c r="BW96" s="67">
        <v>0</v>
      </c>
      <c r="BX96" s="67">
        <v>12000</v>
      </c>
      <c r="BY96" s="67">
        <v>0</v>
      </c>
      <c r="BZ96" s="67">
        <v>0</v>
      </c>
      <c r="CA96" s="67">
        <v>0</v>
      </c>
      <c r="CB96" s="67">
        <v>0</v>
      </c>
      <c r="CC96" s="67">
        <v>0</v>
      </c>
      <c r="CD96" s="67">
        <v>0</v>
      </c>
      <c r="CE96" s="67">
        <v>0</v>
      </c>
      <c r="CF96" s="67">
        <v>0</v>
      </c>
      <c r="CG96" s="67">
        <v>5000</v>
      </c>
      <c r="CH96" s="67">
        <v>0</v>
      </c>
      <c r="CI96" s="67">
        <v>0</v>
      </c>
      <c r="CJ96" s="67">
        <v>0</v>
      </c>
      <c r="CK96" s="67">
        <v>9000</v>
      </c>
      <c r="CL96" s="67">
        <v>0</v>
      </c>
      <c r="CM96" s="67">
        <v>0</v>
      </c>
      <c r="CN96" s="67">
        <v>0</v>
      </c>
      <c r="CO96" s="67">
        <v>0</v>
      </c>
      <c r="CP96" s="67">
        <v>0</v>
      </c>
      <c r="CQ96" s="67">
        <v>0</v>
      </c>
      <c r="CR96" s="67">
        <v>0</v>
      </c>
      <c r="CS96" s="67">
        <v>45000</v>
      </c>
      <c r="CT96" s="67">
        <v>0</v>
      </c>
      <c r="CU96" s="67">
        <v>0</v>
      </c>
      <c r="CV96" s="67">
        <v>0</v>
      </c>
      <c r="CW96" s="67">
        <v>0</v>
      </c>
      <c r="CX96" s="67">
        <v>0</v>
      </c>
      <c r="CY96" s="67">
        <v>0</v>
      </c>
      <c r="CZ96" s="67">
        <v>0</v>
      </c>
      <c r="DA96" s="67">
        <v>0</v>
      </c>
      <c r="DB96" s="67">
        <v>0</v>
      </c>
      <c r="DC96" s="67">
        <v>0</v>
      </c>
      <c r="DD96" s="67">
        <v>0</v>
      </c>
      <c r="DE96" s="67">
        <v>0</v>
      </c>
      <c r="DF96" s="67">
        <v>0</v>
      </c>
      <c r="DG96" s="67">
        <v>5000</v>
      </c>
      <c r="DH96" s="67">
        <v>1000</v>
      </c>
      <c r="DI96" s="67">
        <v>0</v>
      </c>
      <c r="DJ96" s="67">
        <v>0</v>
      </c>
      <c r="DK96" s="67">
        <v>0</v>
      </c>
      <c r="DL96" s="67">
        <v>0</v>
      </c>
      <c r="DM96" s="67">
        <v>0</v>
      </c>
      <c r="DN96" s="67">
        <v>0</v>
      </c>
      <c r="DO96" s="67">
        <v>10000</v>
      </c>
      <c r="DP96" s="67">
        <v>0</v>
      </c>
      <c r="DQ96" s="67">
        <v>0</v>
      </c>
      <c r="DR96" s="67">
        <v>0</v>
      </c>
      <c r="DS96" s="67">
        <v>0</v>
      </c>
      <c r="DT96" s="67">
        <v>0</v>
      </c>
      <c r="DU96" s="67">
        <v>0</v>
      </c>
      <c r="DV96" s="67">
        <v>0</v>
      </c>
      <c r="DW96" s="67">
        <v>0</v>
      </c>
      <c r="DX96" s="67">
        <v>0</v>
      </c>
      <c r="DY96" s="67">
        <v>0</v>
      </c>
      <c r="DZ96" s="67">
        <v>0</v>
      </c>
      <c r="EA96" s="67">
        <v>0</v>
      </c>
      <c r="EB96" s="67">
        <v>0</v>
      </c>
      <c r="EC96" s="67">
        <v>0</v>
      </c>
      <c r="ED96" s="67">
        <v>0</v>
      </c>
      <c r="EE96" s="67">
        <v>0</v>
      </c>
      <c r="EF96" s="67">
        <v>0</v>
      </c>
      <c r="EG96" s="67">
        <v>0</v>
      </c>
      <c r="EH96" s="67">
        <v>0</v>
      </c>
      <c r="EI96" s="67">
        <v>0</v>
      </c>
      <c r="EJ96" s="67">
        <v>0</v>
      </c>
      <c r="EK96" s="67">
        <v>0</v>
      </c>
      <c r="EL96" s="67">
        <v>0</v>
      </c>
      <c r="EM96" s="67">
        <v>0</v>
      </c>
      <c r="EN96" s="67">
        <v>8000</v>
      </c>
      <c r="EO96" s="67">
        <v>5000</v>
      </c>
      <c r="EP96" s="67">
        <v>0</v>
      </c>
      <c r="EQ96" s="67">
        <v>0</v>
      </c>
      <c r="ER96" s="67">
        <v>0</v>
      </c>
      <c r="ES96" s="67">
        <v>0</v>
      </c>
      <c r="ET96" s="36">
        <f t="shared" si="6"/>
        <v>277900</v>
      </c>
      <c r="EV96" s="17">
        <v>1</v>
      </c>
      <c r="EW96" s="60">
        <f t="shared" si="7"/>
        <v>1400</v>
      </c>
      <c r="EX96" s="68">
        <f t="shared" si="8"/>
        <v>840000</v>
      </c>
      <c r="EY96" s="68">
        <f t="shared" si="3"/>
        <v>840000</v>
      </c>
      <c r="EZ96" s="69">
        <v>1.75</v>
      </c>
      <c r="FA96" s="17">
        <f t="shared" si="4"/>
        <v>3000000</v>
      </c>
      <c r="FB96" s="68">
        <f t="shared" si="5"/>
        <v>486325</v>
      </c>
      <c r="FD96" s="68"/>
      <c r="FE96" s="60"/>
    </row>
    <row r="97" spans="1:161" x14ac:dyDescent="0.3">
      <c r="A97" s="37" t="s">
        <v>26</v>
      </c>
      <c r="B97" s="67">
        <v>0</v>
      </c>
      <c r="C97" s="67">
        <v>0</v>
      </c>
      <c r="D97" s="67">
        <v>0</v>
      </c>
      <c r="E97" s="67">
        <v>0</v>
      </c>
      <c r="F97" s="67">
        <v>0</v>
      </c>
      <c r="G97" s="67">
        <v>0</v>
      </c>
      <c r="H97" s="67">
        <v>0</v>
      </c>
      <c r="I97" s="67">
        <v>0</v>
      </c>
      <c r="J97" s="67">
        <v>0</v>
      </c>
      <c r="K97" s="67">
        <v>0</v>
      </c>
      <c r="L97" s="67">
        <v>0</v>
      </c>
      <c r="M97" s="67">
        <v>0</v>
      </c>
      <c r="N97" s="67">
        <v>0</v>
      </c>
      <c r="O97" s="67">
        <v>0</v>
      </c>
      <c r="P97" s="67">
        <v>0</v>
      </c>
      <c r="Q97" s="67">
        <v>0</v>
      </c>
      <c r="R97" s="67">
        <v>0</v>
      </c>
      <c r="S97" s="67">
        <v>0</v>
      </c>
      <c r="T97" s="67">
        <v>0</v>
      </c>
      <c r="U97" s="67">
        <v>0</v>
      </c>
      <c r="V97" s="67">
        <v>0</v>
      </c>
      <c r="W97" s="67">
        <v>0</v>
      </c>
      <c r="X97" s="67">
        <v>0</v>
      </c>
      <c r="Y97" s="67">
        <v>0</v>
      </c>
      <c r="Z97" s="67">
        <v>0</v>
      </c>
      <c r="AA97" s="67">
        <v>0</v>
      </c>
      <c r="AB97" s="67">
        <v>0</v>
      </c>
      <c r="AC97" s="67">
        <v>0</v>
      </c>
      <c r="AD97" s="67">
        <v>0</v>
      </c>
      <c r="AE97" s="67">
        <v>0</v>
      </c>
      <c r="AF97" s="67">
        <v>0</v>
      </c>
      <c r="AG97" s="67">
        <v>0</v>
      </c>
      <c r="AH97" s="67">
        <v>0</v>
      </c>
      <c r="AI97" s="67">
        <v>0</v>
      </c>
      <c r="AJ97" s="67">
        <v>0</v>
      </c>
      <c r="AK97" s="67">
        <v>0</v>
      </c>
      <c r="AL97" s="67">
        <v>0</v>
      </c>
      <c r="AM97" s="67">
        <v>0</v>
      </c>
      <c r="AN97" s="67">
        <v>0</v>
      </c>
      <c r="AO97" s="67">
        <v>0</v>
      </c>
      <c r="AP97" s="67">
        <v>0</v>
      </c>
      <c r="AQ97" s="67">
        <v>0</v>
      </c>
      <c r="AR97" s="67">
        <v>0</v>
      </c>
      <c r="AS97" s="67">
        <v>0</v>
      </c>
      <c r="AT97" s="67">
        <v>0</v>
      </c>
      <c r="AU97" s="67">
        <v>0</v>
      </c>
      <c r="AV97" s="67">
        <v>0</v>
      </c>
      <c r="AW97" s="67">
        <v>0</v>
      </c>
      <c r="AX97" s="67">
        <v>0</v>
      </c>
      <c r="AY97" s="67">
        <v>0</v>
      </c>
      <c r="AZ97" s="67">
        <v>0</v>
      </c>
      <c r="BA97" s="67">
        <v>0</v>
      </c>
      <c r="BB97" s="67">
        <v>0</v>
      </c>
      <c r="BC97" s="67">
        <v>0</v>
      </c>
      <c r="BD97" s="67">
        <v>0</v>
      </c>
      <c r="BE97" s="67">
        <v>0</v>
      </c>
      <c r="BF97" s="67">
        <v>0</v>
      </c>
      <c r="BG97" s="67">
        <v>0</v>
      </c>
      <c r="BH97" s="67">
        <v>0</v>
      </c>
      <c r="BI97" s="67">
        <v>0</v>
      </c>
      <c r="BJ97" s="67">
        <v>0</v>
      </c>
      <c r="BK97" s="67">
        <v>0</v>
      </c>
      <c r="BL97" s="67">
        <v>0</v>
      </c>
      <c r="BM97" s="67">
        <v>0</v>
      </c>
      <c r="BN97" s="67">
        <v>0</v>
      </c>
      <c r="BO97" s="67">
        <v>0</v>
      </c>
      <c r="BP97" s="67">
        <v>0</v>
      </c>
      <c r="BQ97" s="67">
        <v>0</v>
      </c>
      <c r="BR97" s="67">
        <v>0</v>
      </c>
      <c r="BS97" s="67">
        <v>0</v>
      </c>
      <c r="BT97" s="67">
        <v>0</v>
      </c>
      <c r="BU97" s="67">
        <v>0</v>
      </c>
      <c r="BV97" s="67">
        <v>0</v>
      </c>
      <c r="BW97" s="67">
        <v>0</v>
      </c>
      <c r="BX97" s="67">
        <v>0</v>
      </c>
      <c r="BY97" s="67">
        <v>0</v>
      </c>
      <c r="BZ97" s="67">
        <v>0</v>
      </c>
      <c r="CA97" s="67">
        <v>0</v>
      </c>
      <c r="CB97" s="67">
        <v>0</v>
      </c>
      <c r="CC97" s="67">
        <v>0</v>
      </c>
      <c r="CD97" s="67">
        <v>0</v>
      </c>
      <c r="CE97" s="67">
        <v>0</v>
      </c>
      <c r="CF97" s="67">
        <v>0</v>
      </c>
      <c r="CG97" s="67">
        <v>0</v>
      </c>
      <c r="CH97" s="67">
        <v>0</v>
      </c>
      <c r="CI97" s="67">
        <v>0</v>
      </c>
      <c r="CJ97" s="67">
        <v>0</v>
      </c>
      <c r="CK97" s="67">
        <v>0</v>
      </c>
      <c r="CL97" s="67">
        <v>0</v>
      </c>
      <c r="CM97" s="67">
        <v>0</v>
      </c>
      <c r="CN97" s="67">
        <v>0</v>
      </c>
      <c r="CO97" s="67">
        <v>0</v>
      </c>
      <c r="CP97" s="67">
        <v>0</v>
      </c>
      <c r="CQ97" s="67">
        <v>0</v>
      </c>
      <c r="CR97" s="67">
        <v>0</v>
      </c>
      <c r="CS97" s="67">
        <v>0</v>
      </c>
      <c r="CT97" s="67">
        <v>0</v>
      </c>
      <c r="CU97" s="67">
        <v>0</v>
      </c>
      <c r="CV97" s="67">
        <v>0</v>
      </c>
      <c r="CW97" s="67">
        <v>0</v>
      </c>
      <c r="CX97" s="67">
        <v>0</v>
      </c>
      <c r="CY97" s="67">
        <v>0</v>
      </c>
      <c r="CZ97" s="67">
        <v>0</v>
      </c>
      <c r="DA97" s="67">
        <v>0</v>
      </c>
      <c r="DB97" s="67">
        <v>0</v>
      </c>
      <c r="DC97" s="67">
        <v>0</v>
      </c>
      <c r="DD97" s="67">
        <v>0</v>
      </c>
      <c r="DE97" s="67">
        <v>0</v>
      </c>
      <c r="DF97" s="67">
        <v>0</v>
      </c>
      <c r="DG97" s="67">
        <v>0</v>
      </c>
      <c r="DH97" s="67">
        <v>0</v>
      </c>
      <c r="DI97" s="67">
        <v>0</v>
      </c>
      <c r="DJ97" s="67">
        <v>0</v>
      </c>
      <c r="DK97" s="67">
        <v>0</v>
      </c>
      <c r="DL97" s="67">
        <v>0</v>
      </c>
      <c r="DM97" s="67">
        <v>0</v>
      </c>
      <c r="DN97" s="67">
        <v>0</v>
      </c>
      <c r="DO97" s="67">
        <v>0</v>
      </c>
      <c r="DP97" s="67">
        <v>0</v>
      </c>
      <c r="DQ97" s="67">
        <v>0</v>
      </c>
      <c r="DR97" s="67">
        <v>0</v>
      </c>
      <c r="DS97" s="67">
        <v>0</v>
      </c>
      <c r="DT97" s="67">
        <v>0</v>
      </c>
      <c r="DU97" s="67">
        <v>0</v>
      </c>
      <c r="DV97" s="67">
        <v>0</v>
      </c>
      <c r="DW97" s="67">
        <v>0</v>
      </c>
      <c r="DX97" s="67">
        <v>0</v>
      </c>
      <c r="DY97" s="67">
        <v>0</v>
      </c>
      <c r="DZ97" s="67">
        <v>0</v>
      </c>
      <c r="EA97" s="67">
        <v>0</v>
      </c>
      <c r="EB97" s="67">
        <v>0</v>
      </c>
      <c r="EC97" s="67">
        <v>0</v>
      </c>
      <c r="ED97" s="67">
        <v>0</v>
      </c>
      <c r="EE97" s="67">
        <v>0</v>
      </c>
      <c r="EF97" s="67">
        <v>0</v>
      </c>
      <c r="EG97" s="67">
        <v>0</v>
      </c>
      <c r="EH97" s="67">
        <v>0</v>
      </c>
      <c r="EI97" s="67">
        <v>0</v>
      </c>
      <c r="EJ97" s="67">
        <v>0</v>
      </c>
      <c r="EK97" s="67">
        <v>0</v>
      </c>
      <c r="EL97" s="67">
        <v>0</v>
      </c>
      <c r="EM97" s="67">
        <v>0</v>
      </c>
      <c r="EN97" s="67">
        <v>0</v>
      </c>
      <c r="EO97" s="67">
        <v>0</v>
      </c>
      <c r="EP97" s="67">
        <v>0</v>
      </c>
      <c r="EQ97" s="67">
        <v>0</v>
      </c>
      <c r="ER97" s="67">
        <v>0</v>
      </c>
      <c r="ES97" s="67">
        <v>0</v>
      </c>
      <c r="ET97" s="36">
        <f t="shared" si="6"/>
        <v>0</v>
      </c>
      <c r="EV97" s="17">
        <v>0</v>
      </c>
      <c r="EW97" s="60">
        <f t="shared" si="7"/>
        <v>0</v>
      </c>
      <c r="EX97" s="68">
        <f t="shared" si="8"/>
        <v>0</v>
      </c>
      <c r="EY97" s="68">
        <f t="shared" si="3"/>
        <v>0</v>
      </c>
      <c r="EZ97" s="69">
        <v>4</v>
      </c>
      <c r="FA97" s="17">
        <f t="shared" si="4"/>
        <v>0</v>
      </c>
      <c r="FB97" s="68">
        <f t="shared" si="5"/>
        <v>0</v>
      </c>
      <c r="FD97" s="68"/>
    </row>
    <row r="98" spans="1:161" x14ac:dyDescent="0.3">
      <c r="A98" s="37" t="s">
        <v>19</v>
      </c>
      <c r="B98" s="67">
        <v>0</v>
      </c>
      <c r="C98" s="67">
        <v>0</v>
      </c>
      <c r="D98" s="67">
        <v>0</v>
      </c>
      <c r="E98" s="67">
        <v>0</v>
      </c>
      <c r="F98" s="67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23000</v>
      </c>
      <c r="N98" s="67">
        <v>0</v>
      </c>
      <c r="O98" s="67">
        <v>0</v>
      </c>
      <c r="P98" s="67">
        <v>0</v>
      </c>
      <c r="Q98" s="67">
        <v>0</v>
      </c>
      <c r="R98" s="67">
        <v>8000</v>
      </c>
      <c r="S98" s="67">
        <v>0</v>
      </c>
      <c r="T98" s="67">
        <v>0</v>
      </c>
      <c r="U98" s="67">
        <v>0</v>
      </c>
      <c r="V98" s="67">
        <v>0</v>
      </c>
      <c r="W98" s="67">
        <v>0</v>
      </c>
      <c r="X98" s="67">
        <v>0</v>
      </c>
      <c r="Y98" s="67">
        <v>0</v>
      </c>
      <c r="Z98" s="67">
        <v>0</v>
      </c>
      <c r="AA98" s="67">
        <v>0</v>
      </c>
      <c r="AB98" s="67">
        <v>0</v>
      </c>
      <c r="AC98" s="67">
        <v>0</v>
      </c>
      <c r="AD98" s="67">
        <v>0</v>
      </c>
      <c r="AE98" s="67">
        <v>0</v>
      </c>
      <c r="AF98" s="67">
        <v>0</v>
      </c>
      <c r="AG98" s="67">
        <v>0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16000</v>
      </c>
      <c r="AR98" s="67">
        <v>0</v>
      </c>
      <c r="AS98" s="67">
        <v>0</v>
      </c>
      <c r="AT98" s="67">
        <v>0</v>
      </c>
      <c r="AU98" s="67">
        <v>0</v>
      </c>
      <c r="AV98" s="67">
        <v>9000</v>
      </c>
      <c r="AW98" s="67">
        <v>0</v>
      </c>
      <c r="AX98" s="67">
        <v>0</v>
      </c>
      <c r="AY98" s="67">
        <v>0</v>
      </c>
      <c r="AZ98" s="67">
        <v>0</v>
      </c>
      <c r="BA98" s="67">
        <v>0</v>
      </c>
      <c r="BB98" s="67">
        <v>0</v>
      </c>
      <c r="BC98" s="67">
        <v>0</v>
      </c>
      <c r="BD98" s="67">
        <v>0</v>
      </c>
      <c r="BE98" s="67">
        <v>0</v>
      </c>
      <c r="BF98" s="67">
        <v>0</v>
      </c>
      <c r="BG98" s="67">
        <v>0</v>
      </c>
      <c r="BH98" s="67">
        <v>0</v>
      </c>
      <c r="BI98" s="67">
        <v>0</v>
      </c>
      <c r="BJ98" s="67">
        <v>0</v>
      </c>
      <c r="BK98" s="67">
        <v>0</v>
      </c>
      <c r="BL98" s="67">
        <v>0</v>
      </c>
      <c r="BM98" s="67">
        <v>0</v>
      </c>
      <c r="BN98" s="67">
        <v>0</v>
      </c>
      <c r="BO98" s="67">
        <v>0</v>
      </c>
      <c r="BP98" s="67">
        <v>0</v>
      </c>
      <c r="BQ98" s="67">
        <v>0</v>
      </c>
      <c r="BR98" s="67">
        <v>0</v>
      </c>
      <c r="BS98" s="67">
        <v>0</v>
      </c>
      <c r="BT98" s="67">
        <v>0</v>
      </c>
      <c r="BU98" s="67">
        <v>0</v>
      </c>
      <c r="BV98" s="67">
        <v>0</v>
      </c>
      <c r="BW98" s="67">
        <v>0</v>
      </c>
      <c r="BX98" s="67">
        <v>0</v>
      </c>
      <c r="BY98" s="67">
        <v>0</v>
      </c>
      <c r="BZ98" s="67">
        <v>0</v>
      </c>
      <c r="CA98" s="67">
        <v>0</v>
      </c>
      <c r="CB98" s="67">
        <v>0</v>
      </c>
      <c r="CC98" s="67">
        <v>0</v>
      </c>
      <c r="CD98" s="67">
        <v>0</v>
      </c>
      <c r="CE98" s="67">
        <v>0</v>
      </c>
      <c r="CF98" s="67">
        <v>0</v>
      </c>
      <c r="CG98" s="67">
        <v>0</v>
      </c>
      <c r="CH98" s="67">
        <v>0</v>
      </c>
      <c r="CI98" s="67">
        <v>0</v>
      </c>
      <c r="CJ98" s="67">
        <v>0</v>
      </c>
      <c r="CK98" s="67">
        <v>0</v>
      </c>
      <c r="CL98" s="67">
        <v>0</v>
      </c>
      <c r="CM98" s="67">
        <v>12000</v>
      </c>
      <c r="CN98" s="67">
        <v>0</v>
      </c>
      <c r="CO98" s="67">
        <v>0</v>
      </c>
      <c r="CP98" s="67">
        <v>0</v>
      </c>
      <c r="CQ98" s="67">
        <v>0</v>
      </c>
      <c r="CR98" s="67">
        <v>0</v>
      </c>
      <c r="CS98" s="67">
        <v>0</v>
      </c>
      <c r="CT98" s="67">
        <v>0</v>
      </c>
      <c r="CU98" s="67">
        <v>0</v>
      </c>
      <c r="CV98" s="67">
        <v>0</v>
      </c>
      <c r="CW98" s="67">
        <v>0</v>
      </c>
      <c r="CX98" s="67">
        <v>0</v>
      </c>
      <c r="CY98" s="67">
        <v>0</v>
      </c>
      <c r="CZ98" s="67">
        <v>0</v>
      </c>
      <c r="DA98" s="67">
        <v>0</v>
      </c>
      <c r="DB98" s="67">
        <v>0</v>
      </c>
      <c r="DC98" s="67">
        <v>0</v>
      </c>
      <c r="DD98" s="67">
        <v>0</v>
      </c>
      <c r="DE98" s="67">
        <v>0</v>
      </c>
      <c r="DF98" s="67">
        <v>0</v>
      </c>
      <c r="DG98" s="67">
        <v>0</v>
      </c>
      <c r="DH98" s="67">
        <v>0</v>
      </c>
      <c r="DI98" s="67">
        <v>0</v>
      </c>
      <c r="DJ98" s="67">
        <v>0</v>
      </c>
      <c r="DK98" s="67">
        <v>0</v>
      </c>
      <c r="DL98" s="67">
        <v>0</v>
      </c>
      <c r="DM98" s="67">
        <v>0</v>
      </c>
      <c r="DN98" s="67">
        <v>0</v>
      </c>
      <c r="DO98" s="67">
        <v>0</v>
      </c>
      <c r="DP98" s="67">
        <v>0</v>
      </c>
      <c r="DQ98" s="67">
        <v>0</v>
      </c>
      <c r="DR98" s="67">
        <v>0</v>
      </c>
      <c r="DS98" s="67">
        <v>0</v>
      </c>
      <c r="DT98" s="67">
        <v>0</v>
      </c>
      <c r="DU98" s="67">
        <v>0</v>
      </c>
      <c r="DV98" s="67">
        <v>0</v>
      </c>
      <c r="DW98" s="67">
        <v>0</v>
      </c>
      <c r="DX98" s="67">
        <v>0</v>
      </c>
      <c r="DY98" s="67">
        <v>0</v>
      </c>
      <c r="DZ98" s="67">
        <v>0</v>
      </c>
      <c r="EA98" s="67">
        <v>0</v>
      </c>
      <c r="EB98" s="67">
        <v>0</v>
      </c>
      <c r="EC98" s="67">
        <v>0</v>
      </c>
      <c r="ED98" s="67">
        <v>20000</v>
      </c>
      <c r="EE98" s="67">
        <v>0</v>
      </c>
      <c r="EF98" s="67">
        <v>0</v>
      </c>
      <c r="EG98" s="67">
        <v>0</v>
      </c>
      <c r="EH98" s="67">
        <v>0</v>
      </c>
      <c r="EI98" s="67">
        <v>0</v>
      </c>
      <c r="EJ98" s="67">
        <v>0</v>
      </c>
      <c r="EK98" s="67">
        <v>0</v>
      </c>
      <c r="EL98" s="67">
        <v>0</v>
      </c>
      <c r="EM98" s="67">
        <v>0</v>
      </c>
      <c r="EN98" s="67">
        <v>0</v>
      </c>
      <c r="EO98" s="67">
        <v>0</v>
      </c>
      <c r="EP98" s="67">
        <v>0</v>
      </c>
      <c r="EQ98" s="67">
        <v>0</v>
      </c>
      <c r="ER98" s="67">
        <v>0</v>
      </c>
      <c r="ES98" s="67">
        <v>0</v>
      </c>
      <c r="ET98" s="36">
        <f t="shared" si="6"/>
        <v>88000</v>
      </c>
      <c r="EV98" s="17">
        <v>1</v>
      </c>
      <c r="EW98" s="60">
        <f t="shared" si="7"/>
        <v>500</v>
      </c>
      <c r="EX98" s="68">
        <f t="shared" si="8"/>
        <v>300000</v>
      </c>
      <c r="EY98" s="68">
        <f t="shared" si="3"/>
        <v>300000</v>
      </c>
      <c r="EZ98" s="69">
        <v>2.5</v>
      </c>
      <c r="FA98" s="17">
        <f t="shared" si="4"/>
        <v>3000000</v>
      </c>
      <c r="FB98" s="68">
        <f t="shared" si="5"/>
        <v>220000</v>
      </c>
      <c r="FD98" s="68"/>
      <c r="FE98" s="60"/>
    </row>
    <row r="99" spans="1:161" x14ac:dyDescent="0.3">
      <c r="A99" s="37" t="s">
        <v>12</v>
      </c>
      <c r="B99" s="67">
        <v>0</v>
      </c>
      <c r="C99" s="67">
        <v>0</v>
      </c>
      <c r="D99" s="67">
        <v>0</v>
      </c>
      <c r="E99" s="67">
        <v>0</v>
      </c>
      <c r="F99" s="67">
        <v>0</v>
      </c>
      <c r="G99" s="67">
        <v>0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7">
        <v>0</v>
      </c>
      <c r="O99" s="67">
        <v>0</v>
      </c>
      <c r="P99" s="67">
        <v>0</v>
      </c>
      <c r="Q99" s="67">
        <v>0</v>
      </c>
      <c r="R99" s="67">
        <v>0</v>
      </c>
      <c r="S99" s="67">
        <v>0</v>
      </c>
      <c r="T99" s="67">
        <v>0</v>
      </c>
      <c r="U99" s="67">
        <v>0</v>
      </c>
      <c r="V99" s="67">
        <v>0</v>
      </c>
      <c r="W99" s="67">
        <v>0</v>
      </c>
      <c r="X99" s="67">
        <v>0</v>
      </c>
      <c r="Y99" s="67">
        <v>0</v>
      </c>
      <c r="Z99" s="67">
        <v>0</v>
      </c>
      <c r="AA99" s="67">
        <v>0</v>
      </c>
      <c r="AB99" s="67">
        <v>0</v>
      </c>
      <c r="AC99" s="67">
        <v>0</v>
      </c>
      <c r="AD99" s="67">
        <v>0</v>
      </c>
      <c r="AE99" s="67">
        <v>0</v>
      </c>
      <c r="AF99" s="67">
        <v>0</v>
      </c>
      <c r="AG99" s="67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7">
        <v>0</v>
      </c>
      <c r="AS99" s="67">
        <v>0</v>
      </c>
      <c r="AT99" s="67">
        <v>0</v>
      </c>
      <c r="AU99" s="67">
        <v>0</v>
      </c>
      <c r="AV99" s="67">
        <v>0</v>
      </c>
      <c r="AW99" s="67">
        <v>0</v>
      </c>
      <c r="AX99" s="67">
        <v>0</v>
      </c>
      <c r="AY99" s="67">
        <v>0</v>
      </c>
      <c r="AZ99" s="67">
        <v>0</v>
      </c>
      <c r="BA99" s="67">
        <v>0</v>
      </c>
      <c r="BB99" s="67">
        <v>0</v>
      </c>
      <c r="BC99" s="67">
        <v>0</v>
      </c>
      <c r="BD99" s="67">
        <v>0</v>
      </c>
      <c r="BE99" s="67">
        <v>0</v>
      </c>
      <c r="BF99" s="67">
        <v>0</v>
      </c>
      <c r="BG99" s="67">
        <v>0</v>
      </c>
      <c r="BH99" s="67">
        <v>0</v>
      </c>
      <c r="BI99" s="67">
        <v>0</v>
      </c>
      <c r="BJ99" s="67">
        <v>0</v>
      </c>
      <c r="BK99" s="67">
        <v>0</v>
      </c>
      <c r="BL99" s="67">
        <v>0</v>
      </c>
      <c r="BM99" s="67">
        <v>0</v>
      </c>
      <c r="BN99" s="67">
        <v>0</v>
      </c>
      <c r="BO99" s="67">
        <v>0</v>
      </c>
      <c r="BP99" s="67">
        <v>0</v>
      </c>
      <c r="BQ99" s="67">
        <v>0</v>
      </c>
      <c r="BR99" s="67">
        <v>0</v>
      </c>
      <c r="BS99" s="67">
        <v>0</v>
      </c>
      <c r="BT99" s="67">
        <v>0</v>
      </c>
      <c r="BU99" s="67">
        <v>0</v>
      </c>
      <c r="BV99" s="67">
        <v>0</v>
      </c>
      <c r="BW99" s="67">
        <v>0</v>
      </c>
      <c r="BX99" s="67">
        <v>0</v>
      </c>
      <c r="BY99" s="67">
        <v>0</v>
      </c>
      <c r="BZ99" s="67">
        <v>0</v>
      </c>
      <c r="CA99" s="67">
        <v>0</v>
      </c>
      <c r="CB99" s="67">
        <v>0</v>
      </c>
      <c r="CC99" s="67">
        <v>0</v>
      </c>
      <c r="CD99" s="67">
        <v>0</v>
      </c>
      <c r="CE99" s="67">
        <v>0</v>
      </c>
      <c r="CF99" s="67">
        <v>0</v>
      </c>
      <c r="CG99" s="67">
        <v>0</v>
      </c>
      <c r="CH99" s="67">
        <v>0</v>
      </c>
      <c r="CI99" s="67">
        <v>0</v>
      </c>
      <c r="CJ99" s="67">
        <v>0</v>
      </c>
      <c r="CK99" s="67">
        <v>0</v>
      </c>
      <c r="CL99" s="67">
        <v>0</v>
      </c>
      <c r="CM99" s="67">
        <v>0</v>
      </c>
      <c r="CN99" s="67">
        <v>0</v>
      </c>
      <c r="CO99" s="67">
        <v>0</v>
      </c>
      <c r="CP99" s="67">
        <v>0</v>
      </c>
      <c r="CQ99" s="67">
        <v>0</v>
      </c>
      <c r="CR99" s="67">
        <v>0</v>
      </c>
      <c r="CS99" s="67">
        <v>0</v>
      </c>
      <c r="CT99" s="67">
        <v>0</v>
      </c>
      <c r="CU99" s="67">
        <v>0</v>
      </c>
      <c r="CV99" s="67">
        <v>0</v>
      </c>
      <c r="CW99" s="67">
        <v>0</v>
      </c>
      <c r="CX99" s="67">
        <v>0</v>
      </c>
      <c r="CY99" s="67">
        <v>0</v>
      </c>
      <c r="CZ99" s="67">
        <v>0</v>
      </c>
      <c r="DA99" s="67">
        <v>0</v>
      </c>
      <c r="DB99" s="67">
        <v>0</v>
      </c>
      <c r="DC99" s="67">
        <v>0</v>
      </c>
      <c r="DD99" s="67">
        <v>0</v>
      </c>
      <c r="DE99" s="67">
        <v>0</v>
      </c>
      <c r="DF99" s="67">
        <v>0</v>
      </c>
      <c r="DG99" s="67">
        <v>0</v>
      </c>
      <c r="DH99" s="67">
        <v>0</v>
      </c>
      <c r="DI99" s="67">
        <v>0</v>
      </c>
      <c r="DJ99" s="67">
        <v>0</v>
      </c>
      <c r="DK99" s="67">
        <v>0</v>
      </c>
      <c r="DL99" s="67">
        <v>0</v>
      </c>
      <c r="DM99" s="67">
        <v>0</v>
      </c>
      <c r="DN99" s="67">
        <v>0</v>
      </c>
      <c r="DO99" s="67">
        <v>0</v>
      </c>
      <c r="DP99" s="67">
        <v>0</v>
      </c>
      <c r="DQ99" s="67">
        <v>0</v>
      </c>
      <c r="DR99" s="67">
        <v>0</v>
      </c>
      <c r="DS99" s="67">
        <v>0</v>
      </c>
      <c r="DT99" s="67">
        <v>0</v>
      </c>
      <c r="DU99" s="67">
        <v>0</v>
      </c>
      <c r="DV99" s="67">
        <v>0</v>
      </c>
      <c r="DW99" s="67">
        <v>0</v>
      </c>
      <c r="DX99" s="67">
        <v>0</v>
      </c>
      <c r="DY99" s="67">
        <v>0</v>
      </c>
      <c r="DZ99" s="67">
        <v>0</v>
      </c>
      <c r="EA99" s="67">
        <v>0</v>
      </c>
      <c r="EB99" s="67">
        <v>0</v>
      </c>
      <c r="EC99" s="67">
        <v>0</v>
      </c>
      <c r="ED99" s="67">
        <v>0</v>
      </c>
      <c r="EE99" s="67">
        <v>0</v>
      </c>
      <c r="EF99" s="67">
        <v>0</v>
      </c>
      <c r="EG99" s="67">
        <v>0</v>
      </c>
      <c r="EH99" s="67">
        <v>0</v>
      </c>
      <c r="EI99" s="67">
        <v>0</v>
      </c>
      <c r="EJ99" s="67">
        <v>0</v>
      </c>
      <c r="EK99" s="67">
        <v>0</v>
      </c>
      <c r="EL99" s="67">
        <v>0</v>
      </c>
      <c r="EM99" s="67">
        <v>0</v>
      </c>
      <c r="EN99" s="67">
        <v>0</v>
      </c>
      <c r="EO99" s="67">
        <v>0</v>
      </c>
      <c r="EP99" s="67">
        <v>0</v>
      </c>
      <c r="EQ99" s="67">
        <v>0</v>
      </c>
      <c r="ER99" s="67">
        <v>0</v>
      </c>
      <c r="ES99" s="67">
        <v>0</v>
      </c>
      <c r="ET99" s="36">
        <f t="shared" si="6"/>
        <v>0</v>
      </c>
      <c r="EV99" s="17">
        <v>0</v>
      </c>
      <c r="EW99" s="60">
        <f t="shared" si="7"/>
        <v>0</v>
      </c>
      <c r="EX99" s="68">
        <f t="shared" si="8"/>
        <v>0</v>
      </c>
      <c r="EY99" s="68">
        <f t="shared" si="3"/>
        <v>0</v>
      </c>
      <c r="EZ99" s="69">
        <v>2.75</v>
      </c>
      <c r="FA99" s="17">
        <f t="shared" si="4"/>
        <v>0</v>
      </c>
      <c r="FB99" s="68">
        <f t="shared" si="5"/>
        <v>0</v>
      </c>
      <c r="FD99" s="68"/>
    </row>
    <row r="100" spans="1:161" x14ac:dyDescent="0.3">
      <c r="A100" s="37" t="s">
        <v>27</v>
      </c>
      <c r="B100" s="67">
        <v>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7">
        <v>0</v>
      </c>
      <c r="O100" s="67">
        <v>0</v>
      </c>
      <c r="P100" s="67">
        <v>0</v>
      </c>
      <c r="Q100" s="67">
        <v>0</v>
      </c>
      <c r="R100" s="67">
        <v>0</v>
      </c>
      <c r="S100" s="67">
        <v>30000</v>
      </c>
      <c r="T100" s="67">
        <v>0</v>
      </c>
      <c r="U100" s="67">
        <v>0</v>
      </c>
      <c r="V100" s="67">
        <v>21000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7">
        <v>8000</v>
      </c>
      <c r="AD100" s="67">
        <v>0</v>
      </c>
      <c r="AE100" s="67">
        <v>0</v>
      </c>
      <c r="AF100" s="67">
        <v>23000</v>
      </c>
      <c r="AG100" s="67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17000</v>
      </c>
      <c r="AN100" s="67">
        <v>0</v>
      </c>
      <c r="AO100" s="67">
        <v>0</v>
      </c>
      <c r="AP100" s="67">
        <v>5000</v>
      </c>
      <c r="AQ100" s="67">
        <v>0</v>
      </c>
      <c r="AR100" s="67">
        <v>10000</v>
      </c>
      <c r="AS100" s="67">
        <v>0</v>
      </c>
      <c r="AT100" s="67">
        <v>0</v>
      </c>
      <c r="AU100" s="67">
        <v>0</v>
      </c>
      <c r="AV100" s="67">
        <v>0</v>
      </c>
      <c r="AW100" s="67">
        <v>0</v>
      </c>
      <c r="AX100" s="67">
        <v>13000</v>
      </c>
      <c r="AY100" s="67">
        <v>0</v>
      </c>
      <c r="AZ100" s="67">
        <v>0</v>
      </c>
      <c r="BA100" s="67">
        <v>0</v>
      </c>
      <c r="BB100" s="67">
        <v>0</v>
      </c>
      <c r="BC100" s="67">
        <v>0</v>
      </c>
      <c r="BD100" s="67">
        <v>0</v>
      </c>
      <c r="BE100" s="67">
        <v>0</v>
      </c>
      <c r="BF100" s="67">
        <v>0</v>
      </c>
      <c r="BG100" s="67">
        <v>9000</v>
      </c>
      <c r="BH100" s="67">
        <v>0</v>
      </c>
      <c r="BI100" s="67">
        <v>0</v>
      </c>
      <c r="BJ100" s="67">
        <v>0</v>
      </c>
      <c r="BK100" s="67">
        <v>0</v>
      </c>
      <c r="BL100" s="67">
        <v>0</v>
      </c>
      <c r="BM100" s="67">
        <v>0</v>
      </c>
      <c r="BN100" s="67">
        <v>0</v>
      </c>
      <c r="BO100" s="67">
        <v>0</v>
      </c>
      <c r="BP100" s="67">
        <v>0</v>
      </c>
      <c r="BQ100" s="67">
        <v>0</v>
      </c>
      <c r="BR100" s="67">
        <v>0</v>
      </c>
      <c r="BS100" s="67">
        <v>0</v>
      </c>
      <c r="BT100" s="67">
        <v>0</v>
      </c>
      <c r="BU100" s="67">
        <v>0</v>
      </c>
      <c r="BV100" s="67">
        <v>0</v>
      </c>
      <c r="BW100" s="67">
        <v>0</v>
      </c>
      <c r="BX100" s="67">
        <v>0</v>
      </c>
      <c r="BY100" s="67">
        <v>0</v>
      </c>
      <c r="BZ100" s="67">
        <v>0</v>
      </c>
      <c r="CA100" s="67">
        <v>0</v>
      </c>
      <c r="CB100" s="67">
        <v>0</v>
      </c>
      <c r="CC100" s="67">
        <v>0</v>
      </c>
      <c r="CD100" s="67">
        <v>0</v>
      </c>
      <c r="CE100" s="67">
        <v>0</v>
      </c>
      <c r="CF100" s="67">
        <v>0</v>
      </c>
      <c r="CG100" s="67">
        <v>0</v>
      </c>
      <c r="CH100" s="67">
        <v>0</v>
      </c>
      <c r="CI100" s="67">
        <v>0</v>
      </c>
      <c r="CJ100" s="67">
        <v>0</v>
      </c>
      <c r="CK100" s="67">
        <v>0</v>
      </c>
      <c r="CL100" s="67">
        <v>0</v>
      </c>
      <c r="CM100" s="67">
        <v>0</v>
      </c>
      <c r="CN100" s="67">
        <v>0</v>
      </c>
      <c r="CO100" s="67">
        <v>0</v>
      </c>
      <c r="CP100" s="67">
        <v>0</v>
      </c>
      <c r="CQ100" s="67">
        <v>0</v>
      </c>
      <c r="CR100" s="67">
        <v>0</v>
      </c>
      <c r="CS100" s="67">
        <v>0</v>
      </c>
      <c r="CT100" s="67">
        <v>0</v>
      </c>
      <c r="CU100" s="67">
        <v>0</v>
      </c>
      <c r="CV100" s="67">
        <v>0</v>
      </c>
      <c r="CW100" s="67">
        <v>16000</v>
      </c>
      <c r="CX100" s="67">
        <v>0</v>
      </c>
      <c r="CY100" s="67">
        <v>0</v>
      </c>
      <c r="CZ100" s="67">
        <v>44000</v>
      </c>
      <c r="DA100" s="67">
        <v>0</v>
      </c>
      <c r="DB100" s="67">
        <v>0</v>
      </c>
      <c r="DC100" s="67">
        <v>0</v>
      </c>
      <c r="DD100" s="67">
        <v>0</v>
      </c>
      <c r="DE100" s="67">
        <v>0</v>
      </c>
      <c r="DF100" s="67">
        <v>0</v>
      </c>
      <c r="DG100" s="67">
        <v>0</v>
      </c>
      <c r="DH100" s="67">
        <v>0</v>
      </c>
      <c r="DI100" s="67">
        <v>0</v>
      </c>
      <c r="DJ100" s="67">
        <v>54000</v>
      </c>
      <c r="DK100" s="67">
        <v>0</v>
      </c>
      <c r="DL100" s="67">
        <v>15000</v>
      </c>
      <c r="DM100" s="67">
        <v>3000</v>
      </c>
      <c r="DN100" s="67">
        <v>0</v>
      </c>
      <c r="DO100" s="67">
        <v>0</v>
      </c>
      <c r="DP100" s="67">
        <v>12000</v>
      </c>
      <c r="DQ100" s="67">
        <v>0</v>
      </c>
      <c r="DR100" s="67">
        <v>0</v>
      </c>
      <c r="DS100" s="67">
        <v>0</v>
      </c>
      <c r="DT100" s="67">
        <v>9000</v>
      </c>
      <c r="DU100" s="67">
        <v>0</v>
      </c>
      <c r="DV100" s="67">
        <v>50000</v>
      </c>
      <c r="DW100" s="67">
        <v>0</v>
      </c>
      <c r="DX100" s="67">
        <v>0</v>
      </c>
      <c r="DY100" s="67">
        <v>0</v>
      </c>
      <c r="DZ100" s="67">
        <v>0</v>
      </c>
      <c r="EA100" s="67">
        <v>0</v>
      </c>
      <c r="EB100" s="67">
        <v>552.59455000000003</v>
      </c>
      <c r="EC100" s="67">
        <v>14000</v>
      </c>
      <c r="ED100" s="67">
        <v>0</v>
      </c>
      <c r="EE100" s="67">
        <v>0</v>
      </c>
      <c r="EF100" s="67">
        <v>0</v>
      </c>
      <c r="EG100" s="67">
        <v>0</v>
      </c>
      <c r="EH100" s="67">
        <v>0</v>
      </c>
      <c r="EI100" s="67">
        <v>0</v>
      </c>
      <c r="EJ100" s="67">
        <v>0</v>
      </c>
      <c r="EK100" s="67">
        <v>0</v>
      </c>
      <c r="EL100" s="67">
        <v>0</v>
      </c>
      <c r="EM100" s="67">
        <v>0</v>
      </c>
      <c r="EN100" s="67">
        <v>0</v>
      </c>
      <c r="EO100" s="67">
        <v>0</v>
      </c>
      <c r="EP100" s="67">
        <v>0</v>
      </c>
      <c r="EQ100" s="67">
        <v>0</v>
      </c>
      <c r="ER100" s="67">
        <v>0</v>
      </c>
      <c r="ES100" s="67">
        <v>0</v>
      </c>
      <c r="ET100" s="36">
        <f t="shared" si="6"/>
        <v>353552.59454999998</v>
      </c>
      <c r="EV100" s="17">
        <v>1</v>
      </c>
      <c r="EW100" s="60">
        <f t="shared" si="7"/>
        <v>1800</v>
      </c>
      <c r="EX100" s="68">
        <f t="shared" si="8"/>
        <v>1080000</v>
      </c>
      <c r="EY100" s="68">
        <f t="shared" si="3"/>
        <v>1080000</v>
      </c>
      <c r="EZ100" s="69">
        <v>3</v>
      </c>
      <c r="FA100" s="17">
        <f t="shared" si="4"/>
        <v>3000000</v>
      </c>
      <c r="FB100" s="68">
        <f t="shared" si="5"/>
        <v>1060657.7836499999</v>
      </c>
      <c r="FD100" s="68"/>
      <c r="FE100" s="60"/>
    </row>
    <row r="101" spans="1:161" x14ac:dyDescent="0.3">
      <c r="A101" s="37" t="s">
        <v>25</v>
      </c>
      <c r="B101" s="67">
        <v>0</v>
      </c>
      <c r="C101" s="67">
        <v>0</v>
      </c>
      <c r="D101" s="67">
        <v>7000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6000</v>
      </c>
      <c r="L101" s="67">
        <v>0</v>
      </c>
      <c r="M101" s="67">
        <v>0</v>
      </c>
      <c r="N101" s="67">
        <v>0</v>
      </c>
      <c r="O101" s="67">
        <v>24000</v>
      </c>
      <c r="P101" s="67">
        <v>0</v>
      </c>
      <c r="Q101" s="67">
        <v>0</v>
      </c>
      <c r="R101" s="67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7">
        <v>0</v>
      </c>
      <c r="AD101" s="67">
        <v>0</v>
      </c>
      <c r="AE101" s="67">
        <v>0</v>
      </c>
      <c r="AF101" s="67">
        <v>0</v>
      </c>
      <c r="AG101" s="67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7">
        <v>0</v>
      </c>
      <c r="AS101" s="67">
        <v>0</v>
      </c>
      <c r="AT101" s="67">
        <v>0</v>
      </c>
      <c r="AU101" s="67">
        <v>0</v>
      </c>
      <c r="AV101" s="67">
        <v>0</v>
      </c>
      <c r="AW101" s="67">
        <v>0</v>
      </c>
      <c r="AX101" s="67">
        <v>0</v>
      </c>
      <c r="AY101" s="67">
        <v>0</v>
      </c>
      <c r="AZ101" s="67">
        <v>0</v>
      </c>
      <c r="BA101" s="67">
        <v>0</v>
      </c>
      <c r="BB101" s="67">
        <v>0</v>
      </c>
      <c r="BC101" s="67">
        <v>0</v>
      </c>
      <c r="BD101" s="67">
        <v>0</v>
      </c>
      <c r="BE101" s="67">
        <v>0</v>
      </c>
      <c r="BF101" s="67">
        <v>0</v>
      </c>
      <c r="BG101" s="67">
        <v>0</v>
      </c>
      <c r="BH101" s="67">
        <v>0</v>
      </c>
      <c r="BI101" s="67">
        <v>0</v>
      </c>
      <c r="BJ101" s="67">
        <v>0</v>
      </c>
      <c r="BK101" s="67">
        <v>0</v>
      </c>
      <c r="BL101" s="67">
        <v>0</v>
      </c>
      <c r="BM101" s="67">
        <v>0</v>
      </c>
      <c r="BN101" s="67">
        <v>0</v>
      </c>
      <c r="BO101" s="67">
        <v>0</v>
      </c>
      <c r="BP101" s="67">
        <v>0</v>
      </c>
      <c r="BQ101" s="67">
        <v>0</v>
      </c>
      <c r="BR101" s="67">
        <v>0</v>
      </c>
      <c r="BS101" s="67">
        <v>3100</v>
      </c>
      <c r="BT101" s="67">
        <v>0</v>
      </c>
      <c r="BU101" s="67">
        <v>0</v>
      </c>
      <c r="BV101" s="67">
        <v>0</v>
      </c>
      <c r="BW101" s="67">
        <v>0</v>
      </c>
      <c r="BX101" s="67">
        <v>0</v>
      </c>
      <c r="BY101" s="67">
        <v>0</v>
      </c>
      <c r="BZ101" s="67">
        <v>0</v>
      </c>
      <c r="CA101" s="67">
        <v>0</v>
      </c>
      <c r="CB101" s="67">
        <v>0</v>
      </c>
      <c r="CC101" s="67">
        <v>0</v>
      </c>
      <c r="CD101" s="67">
        <v>0</v>
      </c>
      <c r="CE101" s="67">
        <v>14000</v>
      </c>
      <c r="CF101" s="67">
        <v>0</v>
      </c>
      <c r="CG101" s="67">
        <v>0</v>
      </c>
      <c r="CH101" s="67">
        <v>0</v>
      </c>
      <c r="CI101" s="67">
        <v>0</v>
      </c>
      <c r="CJ101" s="67">
        <v>0</v>
      </c>
      <c r="CK101" s="67">
        <v>0</v>
      </c>
      <c r="CL101" s="67">
        <v>0</v>
      </c>
      <c r="CM101" s="67">
        <v>0</v>
      </c>
      <c r="CN101" s="67">
        <v>0</v>
      </c>
      <c r="CO101" s="67">
        <v>0</v>
      </c>
      <c r="CP101" s="67">
        <v>0</v>
      </c>
      <c r="CQ101" s="67">
        <v>1000</v>
      </c>
      <c r="CR101" s="67">
        <v>0</v>
      </c>
      <c r="CS101" s="67">
        <v>0</v>
      </c>
      <c r="CT101" s="67">
        <v>0</v>
      </c>
      <c r="CU101" s="67">
        <v>0</v>
      </c>
      <c r="CV101" s="67">
        <v>0</v>
      </c>
      <c r="CW101" s="67">
        <v>0</v>
      </c>
      <c r="CX101" s="67">
        <v>27000</v>
      </c>
      <c r="CY101" s="67">
        <v>0</v>
      </c>
      <c r="CZ101" s="67">
        <v>0</v>
      </c>
      <c r="DA101" s="67">
        <v>0</v>
      </c>
      <c r="DB101" s="67">
        <v>0</v>
      </c>
      <c r="DC101" s="67">
        <v>0</v>
      </c>
      <c r="DD101" s="67">
        <v>9000</v>
      </c>
      <c r="DE101" s="67">
        <v>4000</v>
      </c>
      <c r="DF101" s="67">
        <v>16000</v>
      </c>
      <c r="DG101" s="67">
        <v>0</v>
      </c>
      <c r="DH101" s="67">
        <v>0</v>
      </c>
      <c r="DI101" s="67">
        <v>0</v>
      </c>
      <c r="DJ101" s="67">
        <v>0</v>
      </c>
      <c r="DK101" s="67">
        <v>40000</v>
      </c>
      <c r="DL101" s="67">
        <v>0</v>
      </c>
      <c r="DM101" s="67">
        <v>0</v>
      </c>
      <c r="DN101" s="67">
        <v>0</v>
      </c>
      <c r="DO101" s="67">
        <v>0</v>
      </c>
      <c r="DP101" s="67">
        <v>0</v>
      </c>
      <c r="DQ101" s="67">
        <v>0</v>
      </c>
      <c r="DR101" s="67">
        <v>0</v>
      </c>
      <c r="DS101" s="67">
        <v>0</v>
      </c>
      <c r="DT101" s="67">
        <v>0</v>
      </c>
      <c r="DU101" s="67">
        <v>0</v>
      </c>
      <c r="DV101" s="67">
        <v>0</v>
      </c>
      <c r="DW101" s="67">
        <v>21000</v>
      </c>
      <c r="DX101" s="67">
        <v>27000</v>
      </c>
      <c r="DY101" s="67">
        <v>0</v>
      </c>
      <c r="DZ101" s="67">
        <v>4000</v>
      </c>
      <c r="EA101" s="67">
        <v>0</v>
      </c>
      <c r="EB101" s="67">
        <v>0</v>
      </c>
      <c r="EC101" s="67">
        <v>0</v>
      </c>
      <c r="ED101" s="67">
        <v>0</v>
      </c>
      <c r="EE101" s="67">
        <v>8000</v>
      </c>
      <c r="EF101" s="67">
        <v>0</v>
      </c>
      <c r="EG101" s="67">
        <v>0</v>
      </c>
      <c r="EH101" s="67">
        <v>0</v>
      </c>
      <c r="EI101" s="67">
        <v>0</v>
      </c>
      <c r="EJ101" s="67">
        <v>0</v>
      </c>
      <c r="EK101" s="67">
        <v>0</v>
      </c>
      <c r="EL101" s="67">
        <v>0</v>
      </c>
      <c r="EM101" s="67">
        <v>0</v>
      </c>
      <c r="EN101" s="67">
        <v>0</v>
      </c>
      <c r="EO101" s="67">
        <v>0</v>
      </c>
      <c r="EP101" s="67">
        <v>0</v>
      </c>
      <c r="EQ101" s="67">
        <v>0</v>
      </c>
      <c r="ER101" s="67">
        <v>0</v>
      </c>
      <c r="ES101" s="67">
        <v>0</v>
      </c>
      <c r="ET101" s="36">
        <f t="shared" si="6"/>
        <v>211100</v>
      </c>
      <c r="EV101" s="17">
        <v>1</v>
      </c>
      <c r="EW101" s="60">
        <f t="shared" si="7"/>
        <v>1100</v>
      </c>
      <c r="EX101" s="68">
        <f t="shared" si="8"/>
        <v>660000</v>
      </c>
      <c r="EY101" s="68">
        <f t="shared" si="3"/>
        <v>660000</v>
      </c>
      <c r="EZ101" s="69">
        <v>3.0021030740799639</v>
      </c>
      <c r="FA101" s="17">
        <f t="shared" si="4"/>
        <v>3000000</v>
      </c>
      <c r="FB101" s="68">
        <f t="shared" si="5"/>
        <v>633743.95893828035</v>
      </c>
      <c r="FD101" s="68"/>
      <c r="FE101" s="60"/>
    </row>
    <row r="102" spans="1:161" x14ac:dyDescent="0.3">
      <c r="A102" s="37" t="s">
        <v>8</v>
      </c>
      <c r="B102" s="67">
        <v>0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7">
        <v>0</v>
      </c>
      <c r="O102" s="67">
        <v>0</v>
      </c>
      <c r="P102" s="67">
        <v>0</v>
      </c>
      <c r="Q102" s="67">
        <v>0</v>
      </c>
      <c r="R102" s="67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7">
        <v>0</v>
      </c>
      <c r="AD102" s="67">
        <v>0</v>
      </c>
      <c r="AE102" s="67">
        <v>0</v>
      </c>
      <c r="AF102" s="67">
        <v>0</v>
      </c>
      <c r="AG102" s="67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7">
        <v>0</v>
      </c>
      <c r="AS102" s="67">
        <v>0</v>
      </c>
      <c r="AT102" s="67">
        <v>0</v>
      </c>
      <c r="AU102" s="67">
        <v>0</v>
      </c>
      <c r="AV102" s="67">
        <v>0</v>
      </c>
      <c r="AW102" s="67">
        <v>0</v>
      </c>
      <c r="AX102" s="67">
        <v>0</v>
      </c>
      <c r="AY102" s="67">
        <v>0</v>
      </c>
      <c r="AZ102" s="67">
        <v>0</v>
      </c>
      <c r="BA102" s="67">
        <v>0</v>
      </c>
      <c r="BB102" s="67">
        <v>0</v>
      </c>
      <c r="BC102" s="67">
        <v>0</v>
      </c>
      <c r="BD102" s="67">
        <v>0</v>
      </c>
      <c r="BE102" s="67">
        <v>0</v>
      </c>
      <c r="BF102" s="67">
        <v>0</v>
      </c>
      <c r="BG102" s="67">
        <v>0</v>
      </c>
      <c r="BH102" s="67">
        <v>0</v>
      </c>
      <c r="BI102" s="67">
        <v>0</v>
      </c>
      <c r="BJ102" s="67">
        <v>0</v>
      </c>
      <c r="BK102" s="67">
        <v>0</v>
      </c>
      <c r="BL102" s="67">
        <v>0</v>
      </c>
      <c r="BM102" s="67">
        <v>0</v>
      </c>
      <c r="BN102" s="67">
        <v>0</v>
      </c>
      <c r="BO102" s="67">
        <v>0</v>
      </c>
      <c r="BP102" s="67">
        <v>0</v>
      </c>
      <c r="BQ102" s="67">
        <v>0</v>
      </c>
      <c r="BR102" s="67">
        <v>0</v>
      </c>
      <c r="BS102" s="67">
        <v>0</v>
      </c>
      <c r="BT102" s="67">
        <v>0</v>
      </c>
      <c r="BU102" s="67">
        <v>0</v>
      </c>
      <c r="BV102" s="67">
        <v>0</v>
      </c>
      <c r="BW102" s="67">
        <v>0</v>
      </c>
      <c r="BX102" s="67">
        <v>0</v>
      </c>
      <c r="BY102" s="67">
        <v>0</v>
      </c>
      <c r="BZ102" s="67">
        <v>0</v>
      </c>
      <c r="CA102" s="67">
        <v>0</v>
      </c>
      <c r="CB102" s="67">
        <v>0</v>
      </c>
      <c r="CC102" s="67">
        <v>0</v>
      </c>
      <c r="CD102" s="67">
        <v>0</v>
      </c>
      <c r="CE102" s="67">
        <v>0</v>
      </c>
      <c r="CF102" s="67">
        <v>0</v>
      </c>
      <c r="CG102" s="67">
        <v>0</v>
      </c>
      <c r="CH102" s="67">
        <v>0</v>
      </c>
      <c r="CI102" s="67">
        <v>0</v>
      </c>
      <c r="CJ102" s="67">
        <v>0</v>
      </c>
      <c r="CK102" s="67">
        <v>0</v>
      </c>
      <c r="CL102" s="67">
        <v>0</v>
      </c>
      <c r="CM102" s="67">
        <v>0</v>
      </c>
      <c r="CN102" s="67">
        <v>0</v>
      </c>
      <c r="CO102" s="67">
        <v>0</v>
      </c>
      <c r="CP102" s="67">
        <v>0</v>
      </c>
      <c r="CQ102" s="67">
        <v>0</v>
      </c>
      <c r="CR102" s="67">
        <v>0</v>
      </c>
      <c r="CS102" s="67">
        <v>0</v>
      </c>
      <c r="CT102" s="67">
        <v>0</v>
      </c>
      <c r="CU102" s="67">
        <v>0</v>
      </c>
      <c r="CV102" s="67">
        <v>0</v>
      </c>
      <c r="CW102" s="67">
        <v>0</v>
      </c>
      <c r="CX102" s="67">
        <v>0</v>
      </c>
      <c r="CY102" s="67">
        <v>0</v>
      </c>
      <c r="CZ102" s="67">
        <v>0</v>
      </c>
      <c r="DA102" s="67">
        <v>0</v>
      </c>
      <c r="DB102" s="67">
        <v>0</v>
      </c>
      <c r="DC102" s="67">
        <v>0</v>
      </c>
      <c r="DD102" s="67">
        <v>0</v>
      </c>
      <c r="DE102" s="67">
        <v>0</v>
      </c>
      <c r="DF102" s="67">
        <v>0</v>
      </c>
      <c r="DG102" s="67">
        <v>0</v>
      </c>
      <c r="DH102" s="67">
        <v>0</v>
      </c>
      <c r="DI102" s="67">
        <v>0</v>
      </c>
      <c r="DJ102" s="67">
        <v>0</v>
      </c>
      <c r="DK102" s="67">
        <v>0</v>
      </c>
      <c r="DL102" s="67">
        <v>0</v>
      </c>
      <c r="DM102" s="67">
        <v>0</v>
      </c>
      <c r="DN102" s="67">
        <v>0</v>
      </c>
      <c r="DO102" s="67">
        <v>0</v>
      </c>
      <c r="DP102" s="67">
        <v>0</v>
      </c>
      <c r="DQ102" s="67">
        <v>0</v>
      </c>
      <c r="DR102" s="67">
        <v>0</v>
      </c>
      <c r="DS102" s="67">
        <v>0</v>
      </c>
      <c r="DT102" s="67">
        <v>0</v>
      </c>
      <c r="DU102" s="67">
        <v>0</v>
      </c>
      <c r="DV102" s="67">
        <v>0</v>
      </c>
      <c r="DW102" s="67">
        <v>0</v>
      </c>
      <c r="DX102" s="67">
        <v>0</v>
      </c>
      <c r="DY102" s="67">
        <v>0</v>
      </c>
      <c r="DZ102" s="67">
        <v>0</v>
      </c>
      <c r="EA102" s="67">
        <v>0</v>
      </c>
      <c r="EB102" s="67">
        <v>0</v>
      </c>
      <c r="EC102" s="67">
        <v>0</v>
      </c>
      <c r="ED102" s="67">
        <v>0</v>
      </c>
      <c r="EE102" s="67">
        <v>0</v>
      </c>
      <c r="EF102" s="67">
        <v>0</v>
      </c>
      <c r="EG102" s="67">
        <v>0</v>
      </c>
      <c r="EH102" s="67">
        <v>0</v>
      </c>
      <c r="EI102" s="67">
        <v>0</v>
      </c>
      <c r="EJ102" s="67">
        <v>0</v>
      </c>
      <c r="EK102" s="67">
        <v>0</v>
      </c>
      <c r="EL102" s="67">
        <v>0</v>
      </c>
      <c r="EM102" s="67">
        <v>0</v>
      </c>
      <c r="EN102" s="67">
        <v>0</v>
      </c>
      <c r="EO102" s="67">
        <v>0</v>
      </c>
      <c r="EP102" s="67">
        <v>0</v>
      </c>
      <c r="EQ102" s="67">
        <v>0</v>
      </c>
      <c r="ER102" s="67">
        <v>0</v>
      </c>
      <c r="ES102" s="67">
        <v>0</v>
      </c>
      <c r="ET102" s="36">
        <f t="shared" si="6"/>
        <v>0</v>
      </c>
      <c r="EV102" s="17">
        <v>0</v>
      </c>
      <c r="EW102" s="60">
        <f t="shared" si="7"/>
        <v>0</v>
      </c>
      <c r="EX102" s="68">
        <f t="shared" si="8"/>
        <v>0</v>
      </c>
      <c r="EY102" s="68">
        <f t="shared" si="3"/>
        <v>0</v>
      </c>
      <c r="EZ102" s="69">
        <v>4</v>
      </c>
      <c r="FA102" s="17">
        <f t="shared" si="4"/>
        <v>0</v>
      </c>
      <c r="FB102" s="68">
        <f t="shared" si="5"/>
        <v>0</v>
      </c>
      <c r="FD102" s="68"/>
    </row>
    <row r="103" spans="1:161" x14ac:dyDescent="0.3">
      <c r="A103" s="37" t="s">
        <v>28</v>
      </c>
      <c r="B103" s="67">
        <v>0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7">
        <v>0</v>
      </c>
      <c r="O103" s="67">
        <v>0</v>
      </c>
      <c r="P103" s="67">
        <v>0</v>
      </c>
      <c r="Q103" s="67">
        <v>0</v>
      </c>
      <c r="R103" s="67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7">
        <v>0</v>
      </c>
      <c r="AD103" s="67">
        <v>0</v>
      </c>
      <c r="AE103" s="67">
        <v>0</v>
      </c>
      <c r="AF103" s="67">
        <v>0</v>
      </c>
      <c r="AG103" s="67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7">
        <v>0</v>
      </c>
      <c r="AS103" s="67">
        <v>0</v>
      </c>
      <c r="AT103" s="67">
        <v>0</v>
      </c>
      <c r="AU103" s="67">
        <v>0</v>
      </c>
      <c r="AV103" s="67">
        <v>0</v>
      </c>
      <c r="AW103" s="67">
        <v>0</v>
      </c>
      <c r="AX103" s="67">
        <v>0</v>
      </c>
      <c r="AY103" s="67">
        <v>0</v>
      </c>
      <c r="AZ103" s="67">
        <v>0</v>
      </c>
      <c r="BA103" s="67">
        <v>0</v>
      </c>
      <c r="BB103" s="67">
        <v>0</v>
      </c>
      <c r="BC103" s="67">
        <v>0</v>
      </c>
      <c r="BD103" s="67">
        <v>0</v>
      </c>
      <c r="BE103" s="67">
        <v>0</v>
      </c>
      <c r="BF103" s="67">
        <v>0</v>
      </c>
      <c r="BG103" s="67">
        <v>0</v>
      </c>
      <c r="BH103" s="67">
        <v>0</v>
      </c>
      <c r="BI103" s="67">
        <v>0</v>
      </c>
      <c r="BJ103" s="67">
        <v>0</v>
      </c>
      <c r="BK103" s="67">
        <v>0</v>
      </c>
      <c r="BL103" s="67">
        <v>0</v>
      </c>
      <c r="BM103" s="67">
        <v>0</v>
      </c>
      <c r="BN103" s="67">
        <v>0</v>
      </c>
      <c r="BO103" s="67">
        <v>0</v>
      </c>
      <c r="BP103" s="67">
        <v>0</v>
      </c>
      <c r="BQ103" s="67">
        <v>0</v>
      </c>
      <c r="BR103" s="67">
        <v>0</v>
      </c>
      <c r="BS103" s="67">
        <v>0</v>
      </c>
      <c r="BT103" s="67">
        <v>0</v>
      </c>
      <c r="BU103" s="67">
        <v>0</v>
      </c>
      <c r="BV103" s="67">
        <v>0</v>
      </c>
      <c r="BW103" s="67">
        <v>0</v>
      </c>
      <c r="BX103" s="67">
        <v>0</v>
      </c>
      <c r="BY103" s="67">
        <v>0</v>
      </c>
      <c r="BZ103" s="67">
        <v>0</v>
      </c>
      <c r="CA103" s="67">
        <v>0</v>
      </c>
      <c r="CB103" s="67">
        <v>0</v>
      </c>
      <c r="CC103" s="67">
        <v>0</v>
      </c>
      <c r="CD103" s="67">
        <v>0</v>
      </c>
      <c r="CE103" s="67">
        <v>0</v>
      </c>
      <c r="CF103" s="67">
        <v>0</v>
      </c>
      <c r="CG103" s="67">
        <v>0</v>
      </c>
      <c r="CH103" s="67">
        <v>0</v>
      </c>
      <c r="CI103" s="67">
        <v>0</v>
      </c>
      <c r="CJ103" s="67">
        <v>0</v>
      </c>
      <c r="CK103" s="67">
        <v>0</v>
      </c>
      <c r="CL103" s="67">
        <v>0</v>
      </c>
      <c r="CM103" s="67">
        <v>0</v>
      </c>
      <c r="CN103" s="67">
        <v>0</v>
      </c>
      <c r="CO103" s="67">
        <v>0</v>
      </c>
      <c r="CP103" s="67">
        <v>0</v>
      </c>
      <c r="CQ103" s="67">
        <v>0</v>
      </c>
      <c r="CR103" s="67">
        <v>0</v>
      </c>
      <c r="CS103" s="67">
        <v>0</v>
      </c>
      <c r="CT103" s="67">
        <v>0</v>
      </c>
      <c r="CU103" s="67">
        <v>0</v>
      </c>
      <c r="CV103" s="67">
        <v>0</v>
      </c>
      <c r="CW103" s="67">
        <v>0</v>
      </c>
      <c r="CX103" s="67">
        <v>0</v>
      </c>
      <c r="CY103" s="67">
        <v>0</v>
      </c>
      <c r="CZ103" s="67">
        <v>0</v>
      </c>
      <c r="DA103" s="67">
        <v>0</v>
      </c>
      <c r="DB103" s="67">
        <v>0</v>
      </c>
      <c r="DC103" s="67">
        <v>0</v>
      </c>
      <c r="DD103" s="67">
        <v>0</v>
      </c>
      <c r="DE103" s="67">
        <v>0</v>
      </c>
      <c r="DF103" s="67">
        <v>0</v>
      </c>
      <c r="DG103" s="67">
        <v>0</v>
      </c>
      <c r="DH103" s="67">
        <v>0</v>
      </c>
      <c r="DI103" s="67">
        <v>0</v>
      </c>
      <c r="DJ103" s="67">
        <v>0</v>
      </c>
      <c r="DK103" s="67">
        <v>0</v>
      </c>
      <c r="DL103" s="67">
        <v>0</v>
      </c>
      <c r="DM103" s="67">
        <v>0</v>
      </c>
      <c r="DN103" s="67">
        <v>0</v>
      </c>
      <c r="DO103" s="67">
        <v>0</v>
      </c>
      <c r="DP103" s="67">
        <v>0</v>
      </c>
      <c r="DQ103" s="67">
        <v>0</v>
      </c>
      <c r="DR103" s="67">
        <v>0</v>
      </c>
      <c r="DS103" s="67">
        <v>0</v>
      </c>
      <c r="DT103" s="67">
        <v>0</v>
      </c>
      <c r="DU103" s="67">
        <v>0</v>
      </c>
      <c r="DV103" s="67">
        <v>0</v>
      </c>
      <c r="DW103" s="67">
        <v>0</v>
      </c>
      <c r="DX103" s="67">
        <v>0</v>
      </c>
      <c r="DY103" s="67">
        <v>0</v>
      </c>
      <c r="DZ103" s="67">
        <v>0</v>
      </c>
      <c r="EA103" s="67">
        <v>0</v>
      </c>
      <c r="EB103" s="67">
        <v>0</v>
      </c>
      <c r="EC103" s="67">
        <v>0</v>
      </c>
      <c r="ED103" s="67">
        <v>0</v>
      </c>
      <c r="EE103" s="67">
        <v>0</v>
      </c>
      <c r="EF103" s="67">
        <v>0</v>
      </c>
      <c r="EG103" s="67">
        <v>0</v>
      </c>
      <c r="EH103" s="67">
        <v>0</v>
      </c>
      <c r="EI103" s="67">
        <v>0</v>
      </c>
      <c r="EJ103" s="67">
        <v>0</v>
      </c>
      <c r="EK103" s="67">
        <v>0</v>
      </c>
      <c r="EL103" s="67">
        <v>0</v>
      </c>
      <c r="EM103" s="67">
        <v>0</v>
      </c>
      <c r="EN103" s="67">
        <v>0</v>
      </c>
      <c r="EO103" s="67">
        <v>0</v>
      </c>
      <c r="EP103" s="67">
        <v>0</v>
      </c>
      <c r="EQ103" s="67">
        <v>0</v>
      </c>
      <c r="ER103" s="67">
        <v>0</v>
      </c>
      <c r="ES103" s="67">
        <v>0</v>
      </c>
      <c r="ET103" s="36">
        <f t="shared" si="6"/>
        <v>0</v>
      </c>
      <c r="EV103" s="17">
        <v>0</v>
      </c>
      <c r="EW103" s="60">
        <f t="shared" si="7"/>
        <v>0</v>
      </c>
      <c r="EX103" s="68">
        <f t="shared" si="8"/>
        <v>0</v>
      </c>
      <c r="EY103" s="68">
        <f t="shared" si="3"/>
        <v>0</v>
      </c>
      <c r="EZ103" s="69">
        <v>4</v>
      </c>
      <c r="FA103" s="17">
        <f t="shared" si="4"/>
        <v>0</v>
      </c>
      <c r="FB103" s="68">
        <f t="shared" si="5"/>
        <v>0</v>
      </c>
      <c r="FD103" s="68"/>
    </row>
    <row r="104" spans="1:161" x14ac:dyDescent="0.3">
      <c r="A104" s="37" t="s">
        <v>13</v>
      </c>
      <c r="B104" s="67">
        <v>26000</v>
      </c>
      <c r="C104" s="67">
        <v>0</v>
      </c>
      <c r="D104" s="67">
        <v>0</v>
      </c>
      <c r="E104" s="67">
        <v>9000</v>
      </c>
      <c r="F104" s="67">
        <v>26000</v>
      </c>
      <c r="G104" s="67">
        <v>8000</v>
      </c>
      <c r="H104" s="67">
        <v>8000</v>
      </c>
      <c r="I104" s="67">
        <v>20000</v>
      </c>
      <c r="J104" s="67">
        <v>0</v>
      </c>
      <c r="K104" s="67">
        <v>0</v>
      </c>
      <c r="L104" s="67">
        <v>0</v>
      </c>
      <c r="M104" s="67">
        <v>0</v>
      </c>
      <c r="N104" s="67">
        <v>0</v>
      </c>
      <c r="O104" s="67">
        <v>0</v>
      </c>
      <c r="P104" s="67">
        <v>4000</v>
      </c>
      <c r="Q104" s="67">
        <v>0</v>
      </c>
      <c r="R104" s="67">
        <v>0</v>
      </c>
      <c r="S104" s="67">
        <v>0</v>
      </c>
      <c r="T104" s="67">
        <v>8000</v>
      </c>
      <c r="U104" s="67">
        <v>0</v>
      </c>
      <c r="V104" s="67">
        <v>0</v>
      </c>
      <c r="W104" s="67">
        <v>2000</v>
      </c>
      <c r="X104" s="67">
        <v>0</v>
      </c>
      <c r="Y104" s="67">
        <v>7000</v>
      </c>
      <c r="Z104" s="67">
        <v>0</v>
      </c>
      <c r="AA104" s="67">
        <v>0</v>
      </c>
      <c r="AB104" s="67">
        <v>0</v>
      </c>
      <c r="AC104" s="67">
        <v>0</v>
      </c>
      <c r="AD104" s="67">
        <v>0</v>
      </c>
      <c r="AE104" s="67">
        <v>15000</v>
      </c>
      <c r="AF104" s="67">
        <v>0</v>
      </c>
      <c r="AG104" s="67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13000</v>
      </c>
      <c r="AP104" s="67">
        <v>0</v>
      </c>
      <c r="AQ104" s="67">
        <v>0</v>
      </c>
      <c r="AR104" s="67">
        <v>0</v>
      </c>
      <c r="AS104" s="67">
        <v>0</v>
      </c>
      <c r="AT104" s="67">
        <v>0</v>
      </c>
      <c r="AU104" s="67">
        <v>9000</v>
      </c>
      <c r="AV104" s="67">
        <v>0</v>
      </c>
      <c r="AW104" s="67">
        <v>4000</v>
      </c>
      <c r="AX104" s="67">
        <v>0</v>
      </c>
      <c r="AY104" s="67">
        <v>30000</v>
      </c>
      <c r="AZ104" s="67">
        <v>0</v>
      </c>
      <c r="BA104" s="67">
        <v>39000</v>
      </c>
      <c r="BB104" s="67">
        <v>0</v>
      </c>
      <c r="BC104" s="67">
        <v>0</v>
      </c>
      <c r="BD104" s="67">
        <v>13000</v>
      </c>
      <c r="BE104" s="67">
        <v>0</v>
      </c>
      <c r="BF104" s="67">
        <v>15000</v>
      </c>
      <c r="BG104" s="67">
        <v>0</v>
      </c>
      <c r="BH104" s="67">
        <v>3000</v>
      </c>
      <c r="BI104" s="67">
        <v>15000</v>
      </c>
      <c r="BJ104" s="67">
        <v>0</v>
      </c>
      <c r="BK104" s="67">
        <v>11000</v>
      </c>
      <c r="BL104" s="67">
        <v>1000</v>
      </c>
      <c r="BM104" s="67">
        <v>0</v>
      </c>
      <c r="BN104" s="67">
        <v>0</v>
      </c>
      <c r="BO104" s="67">
        <v>0</v>
      </c>
      <c r="BP104" s="67">
        <v>6000</v>
      </c>
      <c r="BQ104" s="67">
        <v>0</v>
      </c>
      <c r="BR104" s="67">
        <v>12000</v>
      </c>
      <c r="BS104" s="67">
        <v>0</v>
      </c>
      <c r="BT104" s="67">
        <v>12000</v>
      </c>
      <c r="BU104" s="67">
        <v>28000</v>
      </c>
      <c r="BV104" s="67">
        <v>0</v>
      </c>
      <c r="BW104" s="67">
        <v>0</v>
      </c>
      <c r="BX104" s="67">
        <v>0</v>
      </c>
      <c r="BY104" s="67">
        <v>1000</v>
      </c>
      <c r="BZ104" s="67">
        <v>0</v>
      </c>
      <c r="CA104" s="67">
        <v>21000</v>
      </c>
      <c r="CB104" s="67">
        <v>0</v>
      </c>
      <c r="CC104" s="67">
        <v>18000</v>
      </c>
      <c r="CD104" s="67">
        <v>5000</v>
      </c>
      <c r="CE104" s="67">
        <v>0</v>
      </c>
      <c r="CF104" s="67">
        <v>0</v>
      </c>
      <c r="CG104" s="67">
        <v>0</v>
      </c>
      <c r="CH104" s="67">
        <v>0</v>
      </c>
      <c r="CI104" s="67">
        <v>11000</v>
      </c>
      <c r="CJ104" s="67">
        <v>0</v>
      </c>
      <c r="CK104" s="67">
        <v>0</v>
      </c>
      <c r="CL104" s="67">
        <v>12000</v>
      </c>
      <c r="CM104" s="67">
        <v>0</v>
      </c>
      <c r="CN104" s="67">
        <v>15000</v>
      </c>
      <c r="CO104" s="67">
        <v>0</v>
      </c>
      <c r="CP104" s="67">
        <v>0</v>
      </c>
      <c r="CQ104" s="67">
        <v>0</v>
      </c>
      <c r="CR104" s="67">
        <v>9000</v>
      </c>
      <c r="CS104" s="67">
        <v>0</v>
      </c>
      <c r="CT104" s="67">
        <v>0</v>
      </c>
      <c r="CU104" s="67">
        <v>7000</v>
      </c>
      <c r="CV104" s="67">
        <v>2000</v>
      </c>
      <c r="CW104" s="67">
        <v>0</v>
      </c>
      <c r="CX104" s="67">
        <v>0</v>
      </c>
      <c r="CY104" s="67">
        <v>10000</v>
      </c>
      <c r="CZ104" s="67">
        <v>0</v>
      </c>
      <c r="DA104" s="67">
        <v>0</v>
      </c>
      <c r="DB104" s="67">
        <v>0</v>
      </c>
      <c r="DC104" s="67">
        <v>0</v>
      </c>
      <c r="DD104" s="67">
        <v>0</v>
      </c>
      <c r="DE104" s="67">
        <v>0</v>
      </c>
      <c r="DF104" s="67">
        <v>0</v>
      </c>
      <c r="DG104" s="67">
        <v>0</v>
      </c>
      <c r="DH104" s="67">
        <v>0</v>
      </c>
      <c r="DI104" s="67">
        <v>8000</v>
      </c>
      <c r="DJ104" s="67">
        <v>0</v>
      </c>
      <c r="DK104" s="67">
        <v>0</v>
      </c>
      <c r="DL104" s="67">
        <v>0</v>
      </c>
      <c r="DM104" s="67">
        <v>0</v>
      </c>
      <c r="DN104" s="67">
        <v>3000</v>
      </c>
      <c r="DO104" s="67">
        <v>0</v>
      </c>
      <c r="DP104" s="67">
        <v>0</v>
      </c>
      <c r="DQ104" s="67">
        <v>11000</v>
      </c>
      <c r="DR104" s="67">
        <v>20000</v>
      </c>
      <c r="DS104" s="67">
        <v>13000</v>
      </c>
      <c r="DT104" s="67">
        <v>0</v>
      </c>
      <c r="DU104" s="67">
        <v>0</v>
      </c>
      <c r="DV104" s="67">
        <v>0</v>
      </c>
      <c r="DW104" s="67">
        <v>0</v>
      </c>
      <c r="DX104" s="67">
        <v>0</v>
      </c>
      <c r="DY104" s="67">
        <v>12000</v>
      </c>
      <c r="DZ104" s="67">
        <v>0</v>
      </c>
      <c r="EA104" s="67">
        <v>0</v>
      </c>
      <c r="EB104" s="67">
        <v>14447.405000000001</v>
      </c>
      <c r="EC104" s="67">
        <v>0</v>
      </c>
      <c r="ED104" s="67">
        <v>0</v>
      </c>
      <c r="EE104" s="67">
        <v>0</v>
      </c>
      <c r="EF104" s="67">
        <v>1000</v>
      </c>
      <c r="EG104" s="67">
        <v>6000</v>
      </c>
      <c r="EH104" s="67">
        <v>1000</v>
      </c>
      <c r="EI104" s="67">
        <v>10000</v>
      </c>
      <c r="EJ104" s="67">
        <v>0</v>
      </c>
      <c r="EK104" s="67">
        <v>0</v>
      </c>
      <c r="EL104" s="67">
        <v>0</v>
      </c>
      <c r="EM104" s="67">
        <v>0</v>
      </c>
      <c r="EN104" s="67">
        <v>0</v>
      </c>
      <c r="EO104" s="67">
        <v>0</v>
      </c>
      <c r="EP104" s="67">
        <v>33000</v>
      </c>
      <c r="EQ104" s="67">
        <v>0</v>
      </c>
      <c r="ER104" s="67">
        <v>0</v>
      </c>
      <c r="ES104" s="67">
        <v>0</v>
      </c>
      <c r="ET104" s="36">
        <f t="shared" si="6"/>
        <v>587447.40500000003</v>
      </c>
      <c r="EV104" s="17">
        <v>1</v>
      </c>
      <c r="EW104" s="60">
        <f t="shared" si="7"/>
        <v>3000</v>
      </c>
      <c r="EX104" s="68">
        <f t="shared" si="8"/>
        <v>1800000</v>
      </c>
      <c r="EY104" s="68">
        <f t="shared" si="3"/>
        <v>1800000</v>
      </c>
      <c r="EZ104" s="69">
        <v>1</v>
      </c>
      <c r="FA104" s="17">
        <f t="shared" si="4"/>
        <v>3000000</v>
      </c>
      <c r="FB104" s="68">
        <f t="shared" si="5"/>
        <v>587447.40500000003</v>
      </c>
      <c r="FD104" s="68"/>
      <c r="FE104" s="60"/>
    </row>
    <row r="105" spans="1:161" x14ac:dyDescent="0.3">
      <c r="A105" s="37" t="s">
        <v>23</v>
      </c>
      <c r="B105" s="67">
        <v>0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7">
        <v>0</v>
      </c>
      <c r="O105" s="67">
        <v>0</v>
      </c>
      <c r="P105" s="67">
        <v>0</v>
      </c>
      <c r="Q105" s="67">
        <v>0</v>
      </c>
      <c r="R105" s="67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7">
        <v>0</v>
      </c>
      <c r="AD105" s="67">
        <v>0</v>
      </c>
      <c r="AE105" s="67">
        <v>0</v>
      </c>
      <c r="AF105" s="67">
        <v>0</v>
      </c>
      <c r="AG105" s="67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7">
        <v>0</v>
      </c>
      <c r="AS105" s="67">
        <v>0</v>
      </c>
      <c r="AT105" s="67">
        <v>0</v>
      </c>
      <c r="AU105" s="67">
        <v>0</v>
      </c>
      <c r="AV105" s="67">
        <v>0</v>
      </c>
      <c r="AW105" s="67">
        <v>0</v>
      </c>
      <c r="AX105" s="67">
        <v>0</v>
      </c>
      <c r="AY105" s="67">
        <v>0</v>
      </c>
      <c r="AZ105" s="67">
        <v>0</v>
      </c>
      <c r="BA105" s="67">
        <v>0</v>
      </c>
      <c r="BB105" s="67">
        <v>0</v>
      </c>
      <c r="BC105" s="67">
        <v>0</v>
      </c>
      <c r="BD105" s="67">
        <v>0</v>
      </c>
      <c r="BE105" s="67">
        <v>0</v>
      </c>
      <c r="BF105" s="67">
        <v>0</v>
      </c>
      <c r="BG105" s="67">
        <v>0</v>
      </c>
      <c r="BH105" s="67">
        <v>0</v>
      </c>
      <c r="BI105" s="67">
        <v>0</v>
      </c>
      <c r="BJ105" s="67">
        <v>0</v>
      </c>
      <c r="BK105" s="67">
        <v>0</v>
      </c>
      <c r="BL105" s="67">
        <v>0</v>
      </c>
      <c r="BM105" s="67">
        <v>0</v>
      </c>
      <c r="BN105" s="67">
        <v>0</v>
      </c>
      <c r="BO105" s="67">
        <v>0</v>
      </c>
      <c r="BP105" s="67">
        <v>0</v>
      </c>
      <c r="BQ105" s="67">
        <v>0</v>
      </c>
      <c r="BR105" s="67">
        <v>0</v>
      </c>
      <c r="BS105" s="67">
        <v>0</v>
      </c>
      <c r="BT105" s="67">
        <v>0</v>
      </c>
      <c r="BU105" s="67">
        <v>0</v>
      </c>
      <c r="BV105" s="67">
        <v>0</v>
      </c>
      <c r="BW105" s="67">
        <v>0</v>
      </c>
      <c r="BX105" s="67">
        <v>0</v>
      </c>
      <c r="BY105" s="67">
        <v>0</v>
      </c>
      <c r="BZ105" s="67">
        <v>0</v>
      </c>
      <c r="CA105" s="67">
        <v>0</v>
      </c>
      <c r="CB105" s="67">
        <v>0</v>
      </c>
      <c r="CC105" s="67">
        <v>0</v>
      </c>
      <c r="CD105" s="67">
        <v>0</v>
      </c>
      <c r="CE105" s="67">
        <v>0</v>
      </c>
      <c r="CF105" s="67">
        <v>0</v>
      </c>
      <c r="CG105" s="67">
        <v>0</v>
      </c>
      <c r="CH105" s="67">
        <v>0</v>
      </c>
      <c r="CI105" s="67">
        <v>0</v>
      </c>
      <c r="CJ105" s="67">
        <v>0</v>
      </c>
      <c r="CK105" s="67">
        <v>0</v>
      </c>
      <c r="CL105" s="67">
        <v>0</v>
      </c>
      <c r="CM105" s="67">
        <v>0</v>
      </c>
      <c r="CN105" s="67">
        <v>0</v>
      </c>
      <c r="CO105" s="67">
        <v>0</v>
      </c>
      <c r="CP105" s="67">
        <v>0</v>
      </c>
      <c r="CQ105" s="67">
        <v>0</v>
      </c>
      <c r="CR105" s="67">
        <v>0</v>
      </c>
      <c r="CS105" s="67">
        <v>0</v>
      </c>
      <c r="CT105" s="67">
        <v>0</v>
      </c>
      <c r="CU105" s="67">
        <v>0</v>
      </c>
      <c r="CV105" s="67">
        <v>0</v>
      </c>
      <c r="CW105" s="67">
        <v>0</v>
      </c>
      <c r="CX105" s="67">
        <v>0</v>
      </c>
      <c r="CY105" s="67">
        <v>0</v>
      </c>
      <c r="CZ105" s="67">
        <v>0</v>
      </c>
      <c r="DA105" s="67">
        <v>0</v>
      </c>
      <c r="DB105" s="67">
        <v>0</v>
      </c>
      <c r="DC105" s="67">
        <v>0</v>
      </c>
      <c r="DD105" s="67">
        <v>0</v>
      </c>
      <c r="DE105" s="67">
        <v>0</v>
      </c>
      <c r="DF105" s="67">
        <v>0</v>
      </c>
      <c r="DG105" s="67">
        <v>0</v>
      </c>
      <c r="DH105" s="67">
        <v>0</v>
      </c>
      <c r="DI105" s="67">
        <v>0</v>
      </c>
      <c r="DJ105" s="67">
        <v>0</v>
      </c>
      <c r="DK105" s="67">
        <v>0</v>
      </c>
      <c r="DL105" s="67">
        <v>0</v>
      </c>
      <c r="DM105" s="67">
        <v>0</v>
      </c>
      <c r="DN105" s="67">
        <v>0</v>
      </c>
      <c r="DO105" s="67">
        <v>0</v>
      </c>
      <c r="DP105" s="67">
        <v>0</v>
      </c>
      <c r="DQ105" s="67">
        <v>0</v>
      </c>
      <c r="DR105" s="67">
        <v>0</v>
      </c>
      <c r="DS105" s="67">
        <v>0</v>
      </c>
      <c r="DT105" s="67">
        <v>0</v>
      </c>
      <c r="DU105" s="67">
        <v>0</v>
      </c>
      <c r="DV105" s="67">
        <v>0</v>
      </c>
      <c r="DW105" s="67">
        <v>0</v>
      </c>
      <c r="DX105" s="67">
        <v>0</v>
      </c>
      <c r="DY105" s="67">
        <v>0</v>
      </c>
      <c r="DZ105" s="67">
        <v>0</v>
      </c>
      <c r="EA105" s="67">
        <v>0</v>
      </c>
      <c r="EB105" s="67">
        <v>0</v>
      </c>
      <c r="EC105" s="67">
        <v>0</v>
      </c>
      <c r="ED105" s="67">
        <v>0</v>
      </c>
      <c r="EE105" s="67">
        <v>0</v>
      </c>
      <c r="EF105" s="67">
        <v>0</v>
      </c>
      <c r="EG105" s="67">
        <v>0</v>
      </c>
      <c r="EH105" s="67">
        <v>0</v>
      </c>
      <c r="EI105" s="67">
        <v>0</v>
      </c>
      <c r="EJ105" s="67">
        <v>0</v>
      </c>
      <c r="EK105" s="67">
        <v>0</v>
      </c>
      <c r="EL105" s="67">
        <v>0</v>
      </c>
      <c r="EM105" s="67">
        <v>0</v>
      </c>
      <c r="EN105" s="67">
        <v>0</v>
      </c>
      <c r="EO105" s="67">
        <v>0</v>
      </c>
      <c r="EP105" s="67">
        <v>0</v>
      </c>
      <c r="EQ105" s="67">
        <v>0</v>
      </c>
      <c r="ER105" s="67">
        <v>0</v>
      </c>
      <c r="ES105" s="67">
        <v>0</v>
      </c>
      <c r="ET105" s="36">
        <f t="shared" si="6"/>
        <v>0</v>
      </c>
      <c r="EV105" s="17">
        <v>0</v>
      </c>
      <c r="EW105" s="60">
        <f t="shared" si="7"/>
        <v>0</v>
      </c>
      <c r="EX105" s="68">
        <f t="shared" si="8"/>
        <v>0</v>
      </c>
      <c r="EY105" s="68">
        <f t="shared" si="3"/>
        <v>0</v>
      </c>
      <c r="EZ105" s="69">
        <v>2</v>
      </c>
      <c r="FA105" s="17">
        <f t="shared" si="4"/>
        <v>0</v>
      </c>
      <c r="FB105" s="68">
        <f t="shared" si="5"/>
        <v>0</v>
      </c>
      <c r="FD105" s="68"/>
    </row>
    <row r="106" spans="1:161" x14ac:dyDescent="0.3">
      <c r="A106" s="37" t="s">
        <v>174</v>
      </c>
      <c r="B106" s="67">
        <v>0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7">
        <v>0</v>
      </c>
      <c r="O106" s="67">
        <v>0</v>
      </c>
      <c r="P106" s="67">
        <v>0</v>
      </c>
      <c r="Q106" s="67">
        <v>0</v>
      </c>
      <c r="R106" s="67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7">
        <v>0</v>
      </c>
      <c r="AD106" s="67">
        <v>0</v>
      </c>
      <c r="AE106" s="67">
        <v>0</v>
      </c>
      <c r="AF106" s="67">
        <v>0</v>
      </c>
      <c r="AG106" s="67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7">
        <v>0</v>
      </c>
      <c r="AS106" s="67">
        <v>0</v>
      </c>
      <c r="AT106" s="67">
        <v>0</v>
      </c>
      <c r="AU106" s="67">
        <v>0</v>
      </c>
      <c r="AV106" s="67">
        <v>0</v>
      </c>
      <c r="AW106" s="67">
        <v>0</v>
      </c>
      <c r="AX106" s="67">
        <v>0</v>
      </c>
      <c r="AY106" s="67">
        <v>0</v>
      </c>
      <c r="AZ106" s="67">
        <v>0</v>
      </c>
      <c r="BA106" s="67">
        <v>0</v>
      </c>
      <c r="BB106" s="67">
        <v>0</v>
      </c>
      <c r="BC106" s="67">
        <v>0</v>
      </c>
      <c r="BD106" s="67">
        <v>0</v>
      </c>
      <c r="BE106" s="67">
        <v>0</v>
      </c>
      <c r="BF106" s="67">
        <v>0</v>
      </c>
      <c r="BG106" s="67">
        <v>0</v>
      </c>
      <c r="BH106" s="67">
        <v>0</v>
      </c>
      <c r="BI106" s="67">
        <v>0</v>
      </c>
      <c r="BJ106" s="67">
        <v>0</v>
      </c>
      <c r="BK106" s="67">
        <v>0</v>
      </c>
      <c r="BL106" s="67">
        <v>0</v>
      </c>
      <c r="BM106" s="67">
        <v>0</v>
      </c>
      <c r="BN106" s="67">
        <v>0</v>
      </c>
      <c r="BO106" s="67">
        <v>0</v>
      </c>
      <c r="BP106" s="67">
        <v>0</v>
      </c>
      <c r="BQ106" s="67">
        <v>0</v>
      </c>
      <c r="BR106" s="67">
        <v>0</v>
      </c>
      <c r="BS106" s="67">
        <v>0</v>
      </c>
      <c r="BT106" s="67">
        <v>0</v>
      </c>
      <c r="BU106" s="67">
        <v>0</v>
      </c>
      <c r="BV106" s="67">
        <v>0</v>
      </c>
      <c r="BW106" s="67">
        <v>0</v>
      </c>
      <c r="BX106" s="67">
        <v>0</v>
      </c>
      <c r="BY106" s="67">
        <v>0</v>
      </c>
      <c r="BZ106" s="67">
        <v>0</v>
      </c>
      <c r="CA106" s="67">
        <v>0</v>
      </c>
      <c r="CB106" s="67">
        <v>0</v>
      </c>
      <c r="CC106" s="67">
        <v>0</v>
      </c>
      <c r="CD106" s="67">
        <v>0</v>
      </c>
      <c r="CE106" s="67">
        <v>0</v>
      </c>
      <c r="CF106" s="67">
        <v>0</v>
      </c>
      <c r="CG106" s="67">
        <v>0</v>
      </c>
      <c r="CH106" s="67">
        <v>0</v>
      </c>
      <c r="CI106" s="67">
        <v>0</v>
      </c>
      <c r="CJ106" s="67">
        <v>0</v>
      </c>
      <c r="CK106" s="67">
        <v>0</v>
      </c>
      <c r="CL106" s="67">
        <v>0</v>
      </c>
      <c r="CM106" s="67">
        <v>0</v>
      </c>
      <c r="CN106" s="67">
        <v>0</v>
      </c>
      <c r="CO106" s="67">
        <v>0</v>
      </c>
      <c r="CP106" s="67">
        <v>0</v>
      </c>
      <c r="CQ106" s="67">
        <v>0</v>
      </c>
      <c r="CR106" s="67">
        <v>0</v>
      </c>
      <c r="CS106" s="67">
        <v>0</v>
      </c>
      <c r="CT106" s="67">
        <v>0</v>
      </c>
      <c r="CU106" s="67">
        <v>0</v>
      </c>
      <c r="CV106" s="67">
        <v>0</v>
      </c>
      <c r="CW106" s="67">
        <v>0</v>
      </c>
      <c r="CX106" s="67">
        <v>0</v>
      </c>
      <c r="CY106" s="67">
        <v>0</v>
      </c>
      <c r="CZ106" s="67">
        <v>0</v>
      </c>
      <c r="DA106" s="67">
        <v>0</v>
      </c>
      <c r="DB106" s="67">
        <v>0</v>
      </c>
      <c r="DC106" s="67">
        <v>0</v>
      </c>
      <c r="DD106" s="67">
        <v>0</v>
      </c>
      <c r="DE106" s="67">
        <v>0</v>
      </c>
      <c r="DF106" s="67">
        <v>0</v>
      </c>
      <c r="DG106" s="67">
        <v>0</v>
      </c>
      <c r="DH106" s="67">
        <v>0</v>
      </c>
      <c r="DI106" s="67">
        <v>0</v>
      </c>
      <c r="DJ106" s="67">
        <v>0</v>
      </c>
      <c r="DK106" s="67">
        <v>0</v>
      </c>
      <c r="DL106" s="67">
        <v>0</v>
      </c>
      <c r="DM106" s="67">
        <v>0</v>
      </c>
      <c r="DN106" s="67">
        <v>0</v>
      </c>
      <c r="DO106" s="67">
        <v>0</v>
      </c>
      <c r="DP106" s="67">
        <v>0</v>
      </c>
      <c r="DQ106" s="67">
        <v>0</v>
      </c>
      <c r="DR106" s="67">
        <v>0</v>
      </c>
      <c r="DS106" s="67">
        <v>0</v>
      </c>
      <c r="DT106" s="67">
        <v>0</v>
      </c>
      <c r="DU106" s="67">
        <v>0</v>
      </c>
      <c r="DV106" s="67">
        <v>0</v>
      </c>
      <c r="DW106" s="67">
        <v>0</v>
      </c>
      <c r="DX106" s="67">
        <v>0</v>
      </c>
      <c r="DY106" s="67">
        <v>0</v>
      </c>
      <c r="DZ106" s="67">
        <v>0</v>
      </c>
      <c r="EA106" s="67">
        <v>0</v>
      </c>
      <c r="EB106" s="67">
        <v>0</v>
      </c>
      <c r="EC106" s="67">
        <v>0</v>
      </c>
      <c r="ED106" s="67">
        <v>0</v>
      </c>
      <c r="EE106" s="67">
        <v>0</v>
      </c>
      <c r="EF106" s="67">
        <v>0</v>
      </c>
      <c r="EG106" s="67">
        <v>0</v>
      </c>
      <c r="EH106" s="67">
        <v>0</v>
      </c>
      <c r="EI106" s="67">
        <v>0</v>
      </c>
      <c r="EJ106" s="67">
        <v>0</v>
      </c>
      <c r="EK106" s="67">
        <v>0</v>
      </c>
      <c r="EL106" s="67">
        <v>0</v>
      </c>
      <c r="EM106" s="67">
        <v>0</v>
      </c>
      <c r="EN106" s="67">
        <v>0</v>
      </c>
      <c r="EO106" s="67">
        <v>0</v>
      </c>
      <c r="EP106" s="67">
        <v>0</v>
      </c>
      <c r="EQ106" s="67">
        <v>0</v>
      </c>
      <c r="ER106" s="67">
        <v>0</v>
      </c>
      <c r="ES106" s="67">
        <v>0</v>
      </c>
      <c r="ET106" s="36">
        <f t="shared" si="6"/>
        <v>0</v>
      </c>
      <c r="EV106" s="17">
        <v>0</v>
      </c>
      <c r="EW106" s="60">
        <f t="shared" si="7"/>
        <v>0</v>
      </c>
      <c r="EX106" s="68">
        <f t="shared" si="8"/>
        <v>0</v>
      </c>
      <c r="EY106" s="68">
        <f t="shared" si="3"/>
        <v>0</v>
      </c>
      <c r="EZ106" s="69">
        <v>2.75</v>
      </c>
      <c r="FA106" s="17">
        <f t="shared" si="4"/>
        <v>0</v>
      </c>
      <c r="FB106" s="68">
        <f t="shared" si="5"/>
        <v>0</v>
      </c>
      <c r="FD106" s="68"/>
    </row>
    <row r="107" spans="1:161" x14ac:dyDescent="0.3">
      <c r="A107" s="67" t="s">
        <v>160</v>
      </c>
      <c r="B107" s="36">
        <f>SUM(B84:B106)</f>
        <v>26000</v>
      </c>
      <c r="C107" s="36">
        <f t="shared" ref="C107:BN107" si="9">SUM(C84:C106)</f>
        <v>18000</v>
      </c>
      <c r="D107" s="36">
        <f t="shared" si="9"/>
        <v>7000</v>
      </c>
      <c r="E107" s="36">
        <f t="shared" si="9"/>
        <v>9000</v>
      </c>
      <c r="F107" s="36">
        <f t="shared" si="9"/>
        <v>26000</v>
      </c>
      <c r="G107" s="36">
        <f t="shared" si="9"/>
        <v>8000</v>
      </c>
      <c r="H107" s="36">
        <f t="shared" si="9"/>
        <v>8000</v>
      </c>
      <c r="I107" s="36">
        <f t="shared" si="9"/>
        <v>20000</v>
      </c>
      <c r="J107" s="36">
        <f t="shared" si="9"/>
        <v>5000</v>
      </c>
      <c r="K107" s="36">
        <f t="shared" si="9"/>
        <v>6000</v>
      </c>
      <c r="L107" s="36">
        <f t="shared" si="9"/>
        <v>11000</v>
      </c>
      <c r="M107" s="36">
        <f t="shared" si="9"/>
        <v>23000</v>
      </c>
      <c r="N107" s="36">
        <f t="shared" si="9"/>
        <v>50000</v>
      </c>
      <c r="O107" s="36">
        <f t="shared" si="9"/>
        <v>24000</v>
      </c>
      <c r="P107" s="36">
        <f t="shared" si="9"/>
        <v>4000</v>
      </c>
      <c r="Q107" s="36">
        <f t="shared" si="9"/>
        <v>27000</v>
      </c>
      <c r="R107" s="36">
        <f t="shared" si="9"/>
        <v>8000</v>
      </c>
      <c r="S107" s="36">
        <f t="shared" si="9"/>
        <v>30000</v>
      </c>
      <c r="T107" s="36">
        <f t="shared" si="9"/>
        <v>8000</v>
      </c>
      <c r="U107" s="36">
        <f t="shared" si="9"/>
        <v>22000</v>
      </c>
      <c r="V107" s="36">
        <f t="shared" si="9"/>
        <v>21000</v>
      </c>
      <c r="W107" s="36">
        <f t="shared" si="9"/>
        <v>2000</v>
      </c>
      <c r="X107" s="36">
        <f t="shared" si="9"/>
        <v>11000</v>
      </c>
      <c r="Y107" s="36">
        <f t="shared" si="9"/>
        <v>7000</v>
      </c>
      <c r="Z107" s="36">
        <f t="shared" si="9"/>
        <v>8000</v>
      </c>
      <c r="AA107" s="36">
        <f t="shared" si="9"/>
        <v>14000</v>
      </c>
      <c r="AB107" s="36">
        <f t="shared" si="9"/>
        <v>12000</v>
      </c>
      <c r="AC107" s="36">
        <f t="shared" si="9"/>
        <v>8000</v>
      </c>
      <c r="AD107" s="36">
        <f t="shared" si="9"/>
        <v>13000</v>
      </c>
      <c r="AE107" s="36">
        <f t="shared" si="9"/>
        <v>15000</v>
      </c>
      <c r="AF107" s="36">
        <f t="shared" si="9"/>
        <v>23000</v>
      </c>
      <c r="AG107" s="36">
        <f t="shared" si="9"/>
        <v>221000</v>
      </c>
      <c r="AH107" s="36">
        <f t="shared" si="9"/>
        <v>13000</v>
      </c>
      <c r="AI107" s="36">
        <f t="shared" si="9"/>
        <v>17000</v>
      </c>
      <c r="AJ107" s="36">
        <f t="shared" si="9"/>
        <v>77000</v>
      </c>
      <c r="AK107" s="36">
        <f t="shared" si="9"/>
        <v>11000</v>
      </c>
      <c r="AL107" s="36">
        <f t="shared" si="9"/>
        <v>12000</v>
      </c>
      <c r="AM107" s="36">
        <f t="shared" si="9"/>
        <v>17000</v>
      </c>
      <c r="AN107" s="36">
        <f t="shared" si="9"/>
        <v>21000</v>
      </c>
      <c r="AO107" s="36">
        <f t="shared" si="9"/>
        <v>13000</v>
      </c>
      <c r="AP107" s="36">
        <f t="shared" si="9"/>
        <v>5000</v>
      </c>
      <c r="AQ107" s="36">
        <f t="shared" si="9"/>
        <v>16000</v>
      </c>
      <c r="AR107" s="36">
        <f t="shared" si="9"/>
        <v>10000</v>
      </c>
      <c r="AS107" s="36">
        <f t="shared" si="9"/>
        <v>14000</v>
      </c>
      <c r="AT107" s="36">
        <f t="shared" si="9"/>
        <v>5000</v>
      </c>
      <c r="AU107" s="36">
        <f t="shared" si="9"/>
        <v>9000</v>
      </c>
      <c r="AV107" s="36">
        <f t="shared" si="9"/>
        <v>9000</v>
      </c>
      <c r="AW107" s="36">
        <f t="shared" si="9"/>
        <v>4000</v>
      </c>
      <c r="AX107" s="36">
        <f t="shared" si="9"/>
        <v>13000</v>
      </c>
      <c r="AY107" s="36">
        <f t="shared" si="9"/>
        <v>30000</v>
      </c>
      <c r="AZ107" s="36">
        <f t="shared" si="9"/>
        <v>38000</v>
      </c>
      <c r="BA107" s="36">
        <f t="shared" si="9"/>
        <v>39000</v>
      </c>
      <c r="BB107" s="36">
        <f t="shared" si="9"/>
        <v>2000</v>
      </c>
      <c r="BC107" s="36">
        <f t="shared" si="9"/>
        <v>59000</v>
      </c>
      <c r="BD107" s="36">
        <f t="shared" si="9"/>
        <v>13000</v>
      </c>
      <c r="BE107" s="36">
        <f t="shared" si="9"/>
        <v>34000</v>
      </c>
      <c r="BF107" s="36">
        <f t="shared" si="9"/>
        <v>15000</v>
      </c>
      <c r="BG107" s="36">
        <f t="shared" si="9"/>
        <v>9000</v>
      </c>
      <c r="BH107" s="36">
        <f t="shared" si="9"/>
        <v>3000</v>
      </c>
      <c r="BI107" s="36">
        <f t="shared" si="9"/>
        <v>15000</v>
      </c>
      <c r="BJ107" s="36">
        <f t="shared" si="9"/>
        <v>19000</v>
      </c>
      <c r="BK107" s="36">
        <f t="shared" si="9"/>
        <v>11000</v>
      </c>
      <c r="BL107" s="36">
        <f t="shared" si="9"/>
        <v>1000</v>
      </c>
      <c r="BM107" s="36">
        <f t="shared" si="9"/>
        <v>9000</v>
      </c>
      <c r="BN107" s="36">
        <f t="shared" si="9"/>
        <v>360000</v>
      </c>
      <c r="BO107" s="36">
        <f t="shared" ref="BO107:DZ107" si="10">SUM(BO84:BO106)</f>
        <v>14000</v>
      </c>
      <c r="BP107" s="36">
        <f t="shared" si="10"/>
        <v>6000</v>
      </c>
      <c r="BQ107" s="36">
        <f t="shared" si="10"/>
        <v>47000</v>
      </c>
      <c r="BR107" s="36">
        <f t="shared" si="10"/>
        <v>12000</v>
      </c>
      <c r="BS107" s="36">
        <f t="shared" si="10"/>
        <v>11000</v>
      </c>
      <c r="BT107" s="36">
        <f t="shared" si="10"/>
        <v>12000</v>
      </c>
      <c r="BU107" s="36">
        <f t="shared" si="10"/>
        <v>28000</v>
      </c>
      <c r="BV107" s="36">
        <f t="shared" si="10"/>
        <v>42000</v>
      </c>
      <c r="BW107" s="36">
        <f t="shared" si="10"/>
        <v>9000</v>
      </c>
      <c r="BX107" s="36">
        <f t="shared" si="10"/>
        <v>12000</v>
      </c>
      <c r="BY107" s="36">
        <f t="shared" si="10"/>
        <v>1000</v>
      </c>
      <c r="BZ107" s="36">
        <f t="shared" si="10"/>
        <v>6000</v>
      </c>
      <c r="CA107" s="36">
        <f t="shared" si="10"/>
        <v>21000</v>
      </c>
      <c r="CB107" s="36">
        <f t="shared" si="10"/>
        <v>27000</v>
      </c>
      <c r="CC107" s="36">
        <f t="shared" si="10"/>
        <v>18000</v>
      </c>
      <c r="CD107" s="36">
        <f t="shared" si="10"/>
        <v>5000</v>
      </c>
      <c r="CE107" s="36">
        <f t="shared" si="10"/>
        <v>14000</v>
      </c>
      <c r="CF107" s="36">
        <f t="shared" si="10"/>
        <v>18000</v>
      </c>
      <c r="CG107" s="36">
        <f t="shared" si="10"/>
        <v>5000</v>
      </c>
      <c r="CH107" s="36">
        <f t="shared" si="10"/>
        <v>10000</v>
      </c>
      <c r="CI107" s="36">
        <f t="shared" si="10"/>
        <v>11000</v>
      </c>
      <c r="CJ107" s="36">
        <f t="shared" si="10"/>
        <v>16000</v>
      </c>
      <c r="CK107" s="36">
        <f t="shared" si="10"/>
        <v>9000</v>
      </c>
      <c r="CL107" s="36">
        <f t="shared" si="10"/>
        <v>12000</v>
      </c>
      <c r="CM107" s="36">
        <f t="shared" si="10"/>
        <v>12000</v>
      </c>
      <c r="CN107" s="36">
        <f t="shared" si="10"/>
        <v>15000</v>
      </c>
      <c r="CO107" s="36">
        <f t="shared" si="10"/>
        <v>19000</v>
      </c>
      <c r="CP107" s="36">
        <f t="shared" si="10"/>
        <v>25000</v>
      </c>
      <c r="CQ107" s="36">
        <f t="shared" si="10"/>
        <v>1000</v>
      </c>
      <c r="CR107" s="36">
        <f t="shared" si="10"/>
        <v>9000</v>
      </c>
      <c r="CS107" s="36">
        <f t="shared" si="10"/>
        <v>45000</v>
      </c>
      <c r="CT107" s="36">
        <f t="shared" si="10"/>
        <v>12000</v>
      </c>
      <c r="CU107" s="36">
        <f t="shared" si="10"/>
        <v>7000</v>
      </c>
      <c r="CV107" s="36">
        <f t="shared" si="10"/>
        <v>2000</v>
      </c>
      <c r="CW107" s="36">
        <f t="shared" si="10"/>
        <v>16000</v>
      </c>
      <c r="CX107" s="36">
        <f t="shared" si="10"/>
        <v>27000</v>
      </c>
      <c r="CY107" s="36">
        <f t="shared" si="10"/>
        <v>10000</v>
      </c>
      <c r="CZ107" s="36">
        <f t="shared" si="10"/>
        <v>44000</v>
      </c>
      <c r="DA107" s="36">
        <f t="shared" si="10"/>
        <v>7000</v>
      </c>
      <c r="DB107" s="36">
        <f t="shared" si="10"/>
        <v>10000</v>
      </c>
      <c r="DC107" s="36">
        <f t="shared" si="10"/>
        <v>67000</v>
      </c>
      <c r="DD107" s="36">
        <f t="shared" si="10"/>
        <v>9000</v>
      </c>
      <c r="DE107" s="36">
        <f t="shared" si="10"/>
        <v>4000</v>
      </c>
      <c r="DF107" s="36">
        <f t="shared" si="10"/>
        <v>16000</v>
      </c>
      <c r="DG107" s="36">
        <f t="shared" si="10"/>
        <v>5000</v>
      </c>
      <c r="DH107" s="36">
        <f t="shared" si="10"/>
        <v>1000</v>
      </c>
      <c r="DI107" s="36">
        <f t="shared" si="10"/>
        <v>8000</v>
      </c>
      <c r="DJ107" s="36">
        <f t="shared" si="10"/>
        <v>54000</v>
      </c>
      <c r="DK107" s="36">
        <f t="shared" si="10"/>
        <v>40000</v>
      </c>
      <c r="DL107" s="36">
        <f t="shared" si="10"/>
        <v>15000</v>
      </c>
      <c r="DM107" s="36">
        <f t="shared" si="10"/>
        <v>3000</v>
      </c>
      <c r="DN107" s="36">
        <f t="shared" si="10"/>
        <v>3000</v>
      </c>
      <c r="DO107" s="36">
        <f t="shared" si="10"/>
        <v>10000</v>
      </c>
      <c r="DP107" s="36">
        <f t="shared" si="10"/>
        <v>12000</v>
      </c>
      <c r="DQ107" s="36">
        <f t="shared" si="10"/>
        <v>11000</v>
      </c>
      <c r="DR107" s="36">
        <f t="shared" si="10"/>
        <v>20000</v>
      </c>
      <c r="DS107" s="36">
        <f t="shared" si="10"/>
        <v>13000</v>
      </c>
      <c r="DT107" s="36">
        <f t="shared" si="10"/>
        <v>9000</v>
      </c>
      <c r="DU107" s="36">
        <f t="shared" si="10"/>
        <v>1000</v>
      </c>
      <c r="DV107" s="36">
        <f t="shared" si="10"/>
        <v>50000</v>
      </c>
      <c r="DW107" s="36">
        <f t="shared" si="10"/>
        <v>21000</v>
      </c>
      <c r="DX107" s="36">
        <f t="shared" si="10"/>
        <v>27000</v>
      </c>
      <c r="DY107" s="36">
        <f t="shared" si="10"/>
        <v>12000</v>
      </c>
      <c r="DZ107" s="36">
        <f t="shared" si="10"/>
        <v>4000</v>
      </c>
      <c r="EA107" s="36">
        <f t="shared" ref="EA107:ET107" si="11">SUM(EA84:EA106)</f>
        <v>19000</v>
      </c>
      <c r="EB107" s="36">
        <f t="shared" si="11"/>
        <v>14999.99955</v>
      </c>
      <c r="EC107" s="36">
        <f t="shared" si="11"/>
        <v>14000</v>
      </c>
      <c r="ED107" s="36">
        <f t="shared" si="11"/>
        <v>20000</v>
      </c>
      <c r="EE107" s="36">
        <f t="shared" si="11"/>
        <v>8000</v>
      </c>
      <c r="EF107" s="36">
        <f t="shared" si="11"/>
        <v>1000</v>
      </c>
      <c r="EG107" s="36">
        <f t="shared" si="11"/>
        <v>6000</v>
      </c>
      <c r="EH107" s="36">
        <f t="shared" si="11"/>
        <v>1000</v>
      </c>
      <c r="EI107" s="36">
        <f t="shared" si="11"/>
        <v>10000</v>
      </c>
      <c r="EJ107" s="36">
        <f t="shared" si="11"/>
        <v>37000</v>
      </c>
      <c r="EK107" s="36">
        <f t="shared" si="11"/>
        <v>9000</v>
      </c>
      <c r="EL107" s="36">
        <f t="shared" si="11"/>
        <v>7000</v>
      </c>
      <c r="EM107" s="36">
        <f t="shared" si="11"/>
        <v>13000</v>
      </c>
      <c r="EN107" s="36">
        <f t="shared" si="11"/>
        <v>8000</v>
      </c>
      <c r="EO107" s="36">
        <f t="shared" si="11"/>
        <v>5000</v>
      </c>
      <c r="EP107" s="36">
        <f t="shared" si="11"/>
        <v>33000</v>
      </c>
      <c r="EQ107" s="36">
        <f t="shared" si="11"/>
        <v>18000</v>
      </c>
      <c r="ER107" s="36">
        <f t="shared" si="11"/>
        <v>16000</v>
      </c>
      <c r="ES107" s="36">
        <f t="shared" si="11"/>
        <v>9000</v>
      </c>
      <c r="ET107" s="36">
        <f t="shared" si="11"/>
        <v>2908999.9995499998</v>
      </c>
      <c r="EV107" s="71">
        <f>SUM(EV84:EV106)</f>
        <v>11</v>
      </c>
      <c r="EW107" s="71">
        <f>SUM(EW84:EW106)</f>
        <v>15000</v>
      </c>
      <c r="EX107" s="60">
        <f>SUM(EX84:EX106)</f>
        <v>9000000</v>
      </c>
      <c r="EY107" s="63">
        <f>SUM(EY84:EY106)</f>
        <v>9000000</v>
      </c>
      <c r="EZ107" s="60"/>
      <c r="FB107" s="72">
        <f>SUM(FB84:FB106)</f>
        <v>6429424.14758828</v>
      </c>
      <c r="FD107" s="73"/>
      <c r="FE107" s="73"/>
    </row>
    <row r="108" spans="1:161" x14ac:dyDescent="0.3"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  <c r="CZ108" s="60"/>
      <c r="DA108" s="60"/>
      <c r="DB108" s="60"/>
      <c r="DC108" s="60"/>
      <c r="DD108" s="60"/>
      <c r="DE108" s="60"/>
      <c r="DF108" s="60"/>
      <c r="DG108" s="60"/>
      <c r="DH108" s="60"/>
      <c r="DI108" s="60"/>
      <c r="DJ108" s="60"/>
      <c r="DK108" s="60"/>
      <c r="DL108" s="60"/>
      <c r="DM108" s="60"/>
      <c r="DN108" s="60"/>
      <c r="DO108" s="60"/>
      <c r="DP108" s="60"/>
      <c r="DQ108" s="60"/>
      <c r="DR108" s="60"/>
      <c r="DS108" s="60"/>
      <c r="DT108" s="60"/>
      <c r="DU108" s="60"/>
      <c r="DV108" s="60"/>
      <c r="DW108" s="60"/>
      <c r="DX108" s="60"/>
      <c r="DY108" s="60"/>
      <c r="DZ108" s="60"/>
      <c r="EA108" s="60"/>
      <c r="EB108" s="60"/>
      <c r="EC108" s="60"/>
      <c r="ED108" s="60"/>
      <c r="EE108" s="60"/>
      <c r="EF108" s="60"/>
      <c r="EG108" s="60"/>
      <c r="EH108" s="60"/>
      <c r="EI108" s="60"/>
      <c r="EJ108" s="60"/>
      <c r="EK108" s="60"/>
      <c r="EL108" s="60"/>
      <c r="EM108" s="60"/>
      <c r="EN108" s="60"/>
      <c r="EO108" s="60"/>
      <c r="EP108" s="60"/>
      <c r="EQ108" s="60"/>
      <c r="ER108" s="60"/>
      <c r="ES108" s="60"/>
      <c r="EU108" s="17" t="s">
        <v>218</v>
      </c>
      <c r="EV108" s="17">
        <v>10</v>
      </c>
    </row>
    <row r="109" spans="1:161" x14ac:dyDescent="0.3">
      <c r="A109" s="61" t="s">
        <v>168</v>
      </c>
      <c r="B109" s="37" t="s">
        <v>30</v>
      </c>
      <c r="C109" s="37" t="s">
        <v>6</v>
      </c>
      <c r="D109" s="37" t="s">
        <v>31</v>
      </c>
      <c r="E109" s="37" t="s">
        <v>32</v>
      </c>
      <c r="F109" s="37" t="s">
        <v>33</v>
      </c>
      <c r="G109" s="37" t="s">
        <v>34</v>
      </c>
      <c r="H109" s="37" t="s">
        <v>15</v>
      </c>
      <c r="I109" s="37" t="s">
        <v>35</v>
      </c>
      <c r="J109" s="37" t="s">
        <v>36</v>
      </c>
      <c r="K109" s="37" t="s">
        <v>37</v>
      </c>
      <c r="L109" s="37" t="s">
        <v>38</v>
      </c>
      <c r="M109" s="37" t="s">
        <v>39</v>
      </c>
      <c r="N109" s="37" t="s">
        <v>20</v>
      </c>
      <c r="O109" s="37" t="s">
        <v>40</v>
      </c>
      <c r="P109" s="37" t="s">
        <v>41</v>
      </c>
      <c r="Q109" s="37" t="s">
        <v>42</v>
      </c>
      <c r="R109" s="37" t="s">
        <v>43</v>
      </c>
      <c r="S109" s="37" t="s">
        <v>44</v>
      </c>
      <c r="T109" s="37" t="s">
        <v>45</v>
      </c>
      <c r="U109" s="37" t="s">
        <v>46</v>
      </c>
      <c r="V109" s="37" t="s">
        <v>47</v>
      </c>
      <c r="W109" s="37" t="s">
        <v>48</v>
      </c>
      <c r="X109" s="37" t="s">
        <v>49</v>
      </c>
      <c r="Y109" s="37" t="s">
        <v>50</v>
      </c>
      <c r="Z109" s="37" t="s">
        <v>51</v>
      </c>
      <c r="AA109" s="37" t="s">
        <v>52</v>
      </c>
      <c r="AB109" s="37" t="s">
        <v>53</v>
      </c>
      <c r="AC109" s="37" t="s">
        <v>54</v>
      </c>
      <c r="AD109" s="37" t="s">
        <v>55</v>
      </c>
      <c r="AE109" s="37" t="s">
        <v>56</v>
      </c>
      <c r="AF109" s="37" t="s">
        <v>57</v>
      </c>
      <c r="AG109" s="37" t="s">
        <v>58</v>
      </c>
      <c r="AH109" s="37" t="s">
        <v>59</v>
      </c>
      <c r="AI109" s="37" t="s">
        <v>60</v>
      </c>
      <c r="AJ109" s="37" t="s">
        <v>21</v>
      </c>
      <c r="AK109" s="37" t="s">
        <v>61</v>
      </c>
      <c r="AL109" s="37" t="s">
        <v>5</v>
      </c>
      <c r="AM109" s="37" t="s">
        <v>62</v>
      </c>
      <c r="AN109" s="37" t="s">
        <v>63</v>
      </c>
      <c r="AO109" s="37" t="s">
        <v>16</v>
      </c>
      <c r="AP109" s="37" t="s">
        <v>64</v>
      </c>
      <c r="AQ109" s="37" t="s">
        <v>65</v>
      </c>
      <c r="AR109" s="37" t="s">
        <v>66</v>
      </c>
      <c r="AS109" s="37" t="s">
        <v>67</v>
      </c>
      <c r="AT109" s="37" t="s">
        <v>68</v>
      </c>
      <c r="AU109" s="37" t="s">
        <v>69</v>
      </c>
      <c r="AV109" s="37" t="s">
        <v>70</v>
      </c>
      <c r="AW109" s="37" t="s">
        <v>71</v>
      </c>
      <c r="AX109" s="37" t="s">
        <v>72</v>
      </c>
      <c r="AY109" s="37" t="s">
        <v>17</v>
      </c>
      <c r="AZ109" s="37" t="s">
        <v>73</v>
      </c>
      <c r="BA109" s="37" t="s">
        <v>74</v>
      </c>
      <c r="BB109" s="37" t="s">
        <v>75</v>
      </c>
      <c r="BC109" s="37" t="s">
        <v>76</v>
      </c>
      <c r="BD109" s="37" t="s">
        <v>77</v>
      </c>
      <c r="BE109" s="37" t="s">
        <v>29</v>
      </c>
      <c r="BF109" s="37" t="s">
        <v>78</v>
      </c>
      <c r="BG109" s="37" t="s">
        <v>79</v>
      </c>
      <c r="BH109" s="37" t="s">
        <v>80</v>
      </c>
      <c r="BI109" s="37" t="s">
        <v>81</v>
      </c>
      <c r="BJ109" s="37" t="s">
        <v>82</v>
      </c>
      <c r="BK109" s="37" t="s">
        <v>83</v>
      </c>
      <c r="BL109" s="37" t="s">
        <v>84</v>
      </c>
      <c r="BM109" s="37" t="s">
        <v>85</v>
      </c>
      <c r="BN109" s="37" t="s">
        <v>22</v>
      </c>
      <c r="BO109" s="37" t="s">
        <v>7</v>
      </c>
      <c r="BP109" s="37" t="s">
        <v>86</v>
      </c>
      <c r="BQ109" s="37" t="s">
        <v>18</v>
      </c>
      <c r="BR109" s="37" t="s">
        <v>87</v>
      </c>
      <c r="BS109" s="37" t="s">
        <v>88</v>
      </c>
      <c r="BT109" s="37" t="s">
        <v>89</v>
      </c>
      <c r="BU109" s="37" t="s">
        <v>90</v>
      </c>
      <c r="BV109" s="37" t="s">
        <v>91</v>
      </c>
      <c r="BW109" s="37" t="s">
        <v>92</v>
      </c>
      <c r="BX109" s="37" t="s">
        <v>93</v>
      </c>
      <c r="BY109" s="37" t="s">
        <v>94</v>
      </c>
      <c r="BZ109" s="37" t="s">
        <v>95</v>
      </c>
      <c r="CA109" s="37" t="s">
        <v>96</v>
      </c>
      <c r="CB109" s="37" t="s">
        <v>97</v>
      </c>
      <c r="CC109" s="37" t="s">
        <v>98</v>
      </c>
      <c r="CD109" s="37" t="s">
        <v>99</v>
      </c>
      <c r="CE109" s="37" t="s">
        <v>100</v>
      </c>
      <c r="CF109" s="37" t="s">
        <v>26</v>
      </c>
      <c r="CG109" s="37" t="s">
        <v>101</v>
      </c>
      <c r="CH109" s="37" t="s">
        <v>102</v>
      </c>
      <c r="CI109" s="37" t="s">
        <v>103</v>
      </c>
      <c r="CJ109" s="37" t="s">
        <v>104</v>
      </c>
      <c r="CK109" s="37" t="s">
        <v>105</v>
      </c>
      <c r="CL109" s="37" t="s">
        <v>106</v>
      </c>
      <c r="CM109" s="37" t="s">
        <v>19</v>
      </c>
      <c r="CN109" s="37" t="s">
        <v>107</v>
      </c>
      <c r="CO109" s="37" t="s">
        <v>108</v>
      </c>
      <c r="CP109" s="37" t="s">
        <v>109</v>
      </c>
      <c r="CQ109" s="37" t="s">
        <v>110</v>
      </c>
      <c r="CR109" s="37" t="s">
        <v>111</v>
      </c>
      <c r="CS109" s="37" t="s">
        <v>112</v>
      </c>
      <c r="CT109" s="37" t="s">
        <v>113</v>
      </c>
      <c r="CU109" s="37" t="s">
        <v>114</v>
      </c>
      <c r="CV109" s="37" t="s">
        <v>115</v>
      </c>
      <c r="CW109" s="37" t="s">
        <v>116</v>
      </c>
      <c r="CX109" s="37" t="s">
        <v>117</v>
      </c>
      <c r="CY109" s="37" t="s">
        <v>118</v>
      </c>
      <c r="CZ109" s="37" t="s">
        <v>119</v>
      </c>
      <c r="DA109" s="37" t="s">
        <v>120</v>
      </c>
      <c r="DB109" s="37" t="s">
        <v>121</v>
      </c>
      <c r="DC109" s="37" t="s">
        <v>122</v>
      </c>
      <c r="DD109" s="37" t="s">
        <v>123</v>
      </c>
      <c r="DE109" s="37" t="s">
        <v>124</v>
      </c>
      <c r="DF109" s="37" t="s">
        <v>125</v>
      </c>
      <c r="DG109" s="37" t="s">
        <v>126</v>
      </c>
      <c r="DH109" s="37" t="s">
        <v>127</v>
      </c>
      <c r="DI109" s="37" t="s">
        <v>128</v>
      </c>
      <c r="DJ109" s="37" t="s">
        <v>27</v>
      </c>
      <c r="DK109" s="37" t="s">
        <v>25</v>
      </c>
      <c r="DL109" s="37" t="s">
        <v>129</v>
      </c>
      <c r="DM109" s="37" t="s">
        <v>130</v>
      </c>
      <c r="DN109" s="37" t="s">
        <v>8</v>
      </c>
      <c r="DO109" s="37" t="s">
        <v>131</v>
      </c>
      <c r="DP109" s="37" t="s">
        <v>28</v>
      </c>
      <c r="DQ109" s="37" t="s">
        <v>132</v>
      </c>
      <c r="DR109" s="37" t="s">
        <v>133</v>
      </c>
      <c r="DS109" s="37" t="s">
        <v>134</v>
      </c>
      <c r="DT109" s="37" t="s">
        <v>135</v>
      </c>
      <c r="DU109" s="37" t="s">
        <v>136</v>
      </c>
      <c r="DV109" s="37" t="s">
        <v>137</v>
      </c>
      <c r="DW109" s="37" t="s">
        <v>138</v>
      </c>
      <c r="DX109" s="37" t="s">
        <v>139</v>
      </c>
      <c r="DY109" s="37" t="s">
        <v>140</v>
      </c>
      <c r="DZ109" s="37" t="s">
        <v>141</v>
      </c>
      <c r="EA109" s="37" t="s">
        <v>142</v>
      </c>
      <c r="EB109" s="37" t="s">
        <v>143</v>
      </c>
      <c r="EC109" s="37" t="s">
        <v>144</v>
      </c>
      <c r="ED109" s="37" t="s">
        <v>145</v>
      </c>
      <c r="EE109" s="37" t="s">
        <v>146</v>
      </c>
      <c r="EF109" s="37" t="s">
        <v>147</v>
      </c>
      <c r="EG109" s="37" t="s">
        <v>148</v>
      </c>
      <c r="EH109" s="37" t="s">
        <v>149</v>
      </c>
      <c r="EI109" s="37" t="s">
        <v>150</v>
      </c>
      <c r="EJ109" s="37" t="s">
        <v>151</v>
      </c>
      <c r="EK109" s="37" t="s">
        <v>152</v>
      </c>
      <c r="EL109" s="37" t="s">
        <v>153</v>
      </c>
      <c r="EM109" s="37" t="s">
        <v>154</v>
      </c>
      <c r="EN109" s="37" t="s">
        <v>155</v>
      </c>
      <c r="EO109" s="37" t="s">
        <v>156</v>
      </c>
      <c r="EP109" s="37" t="s">
        <v>157</v>
      </c>
      <c r="EQ109" s="37" t="s">
        <v>158</v>
      </c>
      <c r="ER109" s="37" t="s">
        <v>23</v>
      </c>
      <c r="ES109" s="37" t="s">
        <v>159</v>
      </c>
      <c r="ET109" s="67" t="s">
        <v>160</v>
      </c>
    </row>
    <row r="110" spans="1:161" x14ac:dyDescent="0.3">
      <c r="A110" s="37" t="s">
        <v>6</v>
      </c>
      <c r="B110" s="67">
        <f>B58*B84</f>
        <v>0</v>
      </c>
      <c r="C110" s="67">
        <f t="shared" ref="C110:BN125" si="12">C58*C84</f>
        <v>0</v>
      </c>
      <c r="D110" s="67">
        <f t="shared" si="12"/>
        <v>0</v>
      </c>
      <c r="E110" s="67">
        <f t="shared" si="12"/>
        <v>0</v>
      </c>
      <c r="F110" s="67">
        <f t="shared" si="12"/>
        <v>0</v>
      </c>
      <c r="G110" s="67">
        <f t="shared" si="12"/>
        <v>0</v>
      </c>
      <c r="H110" s="67">
        <f t="shared" si="12"/>
        <v>0</v>
      </c>
      <c r="I110" s="67">
        <f t="shared" si="12"/>
        <v>0</v>
      </c>
      <c r="J110" s="67">
        <f t="shared" si="12"/>
        <v>0</v>
      </c>
      <c r="K110" s="67">
        <f t="shared" si="12"/>
        <v>0</v>
      </c>
      <c r="L110" s="67">
        <f t="shared" si="12"/>
        <v>0</v>
      </c>
      <c r="M110" s="67">
        <f t="shared" si="12"/>
        <v>0</v>
      </c>
      <c r="N110" s="67">
        <f t="shared" si="12"/>
        <v>0</v>
      </c>
      <c r="O110" s="67">
        <f t="shared" si="12"/>
        <v>0</v>
      </c>
      <c r="P110" s="67">
        <f t="shared" si="12"/>
        <v>0</v>
      </c>
      <c r="Q110" s="67">
        <f t="shared" si="12"/>
        <v>0</v>
      </c>
      <c r="R110" s="67">
        <f t="shared" si="12"/>
        <v>0</v>
      </c>
      <c r="S110" s="67">
        <f t="shared" si="12"/>
        <v>0</v>
      </c>
      <c r="T110" s="67">
        <f t="shared" si="12"/>
        <v>0</v>
      </c>
      <c r="U110" s="67">
        <f t="shared" si="12"/>
        <v>0</v>
      </c>
      <c r="V110" s="67">
        <f t="shared" si="12"/>
        <v>0</v>
      </c>
      <c r="W110" s="67">
        <f t="shared" si="12"/>
        <v>0</v>
      </c>
      <c r="X110" s="67">
        <f t="shared" si="12"/>
        <v>0</v>
      </c>
      <c r="Y110" s="67">
        <f t="shared" si="12"/>
        <v>0</v>
      </c>
      <c r="Z110" s="67">
        <f t="shared" si="12"/>
        <v>0</v>
      </c>
      <c r="AA110" s="67">
        <f t="shared" si="12"/>
        <v>0</v>
      </c>
      <c r="AB110" s="67">
        <f t="shared" si="12"/>
        <v>0</v>
      </c>
      <c r="AC110" s="67">
        <f t="shared" si="12"/>
        <v>0</v>
      </c>
      <c r="AD110" s="67">
        <f t="shared" si="12"/>
        <v>0</v>
      </c>
      <c r="AE110" s="67">
        <f t="shared" si="12"/>
        <v>0</v>
      </c>
      <c r="AF110" s="67">
        <f t="shared" si="12"/>
        <v>0</v>
      </c>
      <c r="AG110" s="67">
        <f t="shared" si="12"/>
        <v>0</v>
      </c>
      <c r="AH110" s="67">
        <f t="shared" si="12"/>
        <v>0</v>
      </c>
      <c r="AI110" s="67">
        <f t="shared" si="12"/>
        <v>0</v>
      </c>
      <c r="AJ110" s="67">
        <f t="shared" si="12"/>
        <v>0</v>
      </c>
      <c r="AK110" s="67">
        <f t="shared" si="12"/>
        <v>0</v>
      </c>
      <c r="AL110" s="67">
        <f t="shared" si="12"/>
        <v>0</v>
      </c>
      <c r="AM110" s="67">
        <f t="shared" si="12"/>
        <v>0</v>
      </c>
      <c r="AN110" s="67">
        <f t="shared" si="12"/>
        <v>0</v>
      </c>
      <c r="AO110" s="67">
        <f t="shared" si="12"/>
        <v>0</v>
      </c>
      <c r="AP110" s="67">
        <f t="shared" si="12"/>
        <v>0</v>
      </c>
      <c r="AQ110" s="67">
        <f t="shared" si="12"/>
        <v>0</v>
      </c>
      <c r="AR110" s="67">
        <f t="shared" si="12"/>
        <v>0</v>
      </c>
      <c r="AS110" s="67">
        <f t="shared" si="12"/>
        <v>0</v>
      </c>
      <c r="AT110" s="67">
        <f t="shared" si="12"/>
        <v>0</v>
      </c>
      <c r="AU110" s="67">
        <f t="shared" si="12"/>
        <v>0</v>
      </c>
      <c r="AV110" s="67">
        <f t="shared" si="12"/>
        <v>0</v>
      </c>
      <c r="AW110" s="67">
        <f t="shared" si="12"/>
        <v>0</v>
      </c>
      <c r="AX110" s="67">
        <f t="shared" si="12"/>
        <v>0</v>
      </c>
      <c r="AY110" s="67">
        <f t="shared" si="12"/>
        <v>0</v>
      </c>
      <c r="AZ110" s="67">
        <f t="shared" si="12"/>
        <v>0</v>
      </c>
      <c r="BA110" s="67">
        <f t="shared" si="12"/>
        <v>0</v>
      </c>
      <c r="BB110" s="67">
        <f t="shared" si="12"/>
        <v>0</v>
      </c>
      <c r="BC110" s="67">
        <f t="shared" si="12"/>
        <v>0</v>
      </c>
      <c r="BD110" s="67">
        <f t="shared" si="12"/>
        <v>0</v>
      </c>
      <c r="BE110" s="67">
        <f t="shared" si="12"/>
        <v>0</v>
      </c>
      <c r="BF110" s="67">
        <f t="shared" si="12"/>
        <v>0</v>
      </c>
      <c r="BG110" s="67">
        <f t="shared" si="12"/>
        <v>0</v>
      </c>
      <c r="BH110" s="67">
        <f t="shared" si="12"/>
        <v>0</v>
      </c>
      <c r="BI110" s="67">
        <f t="shared" si="12"/>
        <v>0</v>
      </c>
      <c r="BJ110" s="67">
        <f t="shared" si="12"/>
        <v>0</v>
      </c>
      <c r="BK110" s="67">
        <f t="shared" si="12"/>
        <v>0</v>
      </c>
      <c r="BL110" s="67">
        <f t="shared" si="12"/>
        <v>0</v>
      </c>
      <c r="BM110" s="67">
        <f t="shared" si="12"/>
        <v>0</v>
      </c>
      <c r="BN110" s="67">
        <f t="shared" si="12"/>
        <v>0</v>
      </c>
      <c r="BO110" s="67">
        <f t="shared" ref="BO110:DZ113" si="13">BO58*BO84</f>
        <v>0</v>
      </c>
      <c r="BP110" s="67">
        <f t="shared" si="13"/>
        <v>0</v>
      </c>
      <c r="BQ110" s="67">
        <f t="shared" si="13"/>
        <v>0</v>
      </c>
      <c r="BR110" s="67">
        <f t="shared" si="13"/>
        <v>0</v>
      </c>
      <c r="BS110" s="67">
        <f t="shared" si="13"/>
        <v>0</v>
      </c>
      <c r="BT110" s="67">
        <f t="shared" si="13"/>
        <v>0</v>
      </c>
      <c r="BU110" s="67">
        <f t="shared" si="13"/>
        <v>0</v>
      </c>
      <c r="BV110" s="67">
        <f t="shared" si="13"/>
        <v>0</v>
      </c>
      <c r="BW110" s="67">
        <f t="shared" si="13"/>
        <v>0</v>
      </c>
      <c r="BX110" s="67">
        <f t="shared" si="13"/>
        <v>0</v>
      </c>
      <c r="BY110" s="67">
        <f t="shared" si="13"/>
        <v>0</v>
      </c>
      <c r="BZ110" s="67">
        <f t="shared" si="13"/>
        <v>0</v>
      </c>
      <c r="CA110" s="67">
        <f t="shared" si="13"/>
        <v>0</v>
      </c>
      <c r="CB110" s="67">
        <f t="shared" si="13"/>
        <v>0</v>
      </c>
      <c r="CC110" s="67">
        <f t="shared" si="13"/>
        <v>0</v>
      </c>
      <c r="CD110" s="67">
        <f t="shared" si="13"/>
        <v>0</v>
      </c>
      <c r="CE110" s="67">
        <f t="shared" si="13"/>
        <v>0</v>
      </c>
      <c r="CF110" s="67">
        <f t="shared" si="13"/>
        <v>0</v>
      </c>
      <c r="CG110" s="67">
        <f t="shared" si="13"/>
        <v>0</v>
      </c>
      <c r="CH110" s="67">
        <f t="shared" si="13"/>
        <v>0</v>
      </c>
      <c r="CI110" s="67">
        <f t="shared" si="13"/>
        <v>0</v>
      </c>
      <c r="CJ110" s="67">
        <f t="shared" si="13"/>
        <v>0</v>
      </c>
      <c r="CK110" s="67">
        <f t="shared" si="13"/>
        <v>0</v>
      </c>
      <c r="CL110" s="67">
        <f t="shared" si="13"/>
        <v>0</v>
      </c>
      <c r="CM110" s="67">
        <f t="shared" si="13"/>
        <v>0</v>
      </c>
      <c r="CN110" s="67">
        <f t="shared" si="13"/>
        <v>0</v>
      </c>
      <c r="CO110" s="67">
        <f t="shared" si="13"/>
        <v>0</v>
      </c>
      <c r="CP110" s="67">
        <f t="shared" si="13"/>
        <v>0</v>
      </c>
      <c r="CQ110" s="67">
        <f t="shared" si="13"/>
        <v>0</v>
      </c>
      <c r="CR110" s="67">
        <f t="shared" si="13"/>
        <v>0</v>
      </c>
      <c r="CS110" s="67">
        <f t="shared" si="13"/>
        <v>0</v>
      </c>
      <c r="CT110" s="67">
        <f t="shared" si="13"/>
        <v>0</v>
      </c>
      <c r="CU110" s="67">
        <f t="shared" si="13"/>
        <v>0</v>
      </c>
      <c r="CV110" s="67">
        <f t="shared" si="13"/>
        <v>0</v>
      </c>
      <c r="CW110" s="67">
        <f t="shared" si="13"/>
        <v>0</v>
      </c>
      <c r="CX110" s="67">
        <f t="shared" si="13"/>
        <v>0</v>
      </c>
      <c r="CY110" s="67">
        <f t="shared" si="13"/>
        <v>0</v>
      </c>
      <c r="CZ110" s="67">
        <f t="shared" si="13"/>
        <v>0</v>
      </c>
      <c r="DA110" s="67">
        <f t="shared" si="13"/>
        <v>0</v>
      </c>
      <c r="DB110" s="67">
        <f t="shared" si="13"/>
        <v>0</v>
      </c>
      <c r="DC110" s="67">
        <f t="shared" si="13"/>
        <v>0</v>
      </c>
      <c r="DD110" s="67">
        <f t="shared" si="13"/>
        <v>0</v>
      </c>
      <c r="DE110" s="67">
        <f t="shared" si="13"/>
        <v>0</v>
      </c>
      <c r="DF110" s="67">
        <f t="shared" si="13"/>
        <v>0</v>
      </c>
      <c r="DG110" s="67">
        <f t="shared" si="13"/>
        <v>0</v>
      </c>
      <c r="DH110" s="67">
        <f t="shared" si="13"/>
        <v>0</v>
      </c>
      <c r="DI110" s="67">
        <f t="shared" si="13"/>
        <v>0</v>
      </c>
      <c r="DJ110" s="67">
        <f t="shared" si="13"/>
        <v>0</v>
      </c>
      <c r="DK110" s="67">
        <f t="shared" si="13"/>
        <v>0</v>
      </c>
      <c r="DL110" s="67">
        <f t="shared" si="13"/>
        <v>0</v>
      </c>
      <c r="DM110" s="67">
        <f t="shared" si="13"/>
        <v>0</v>
      </c>
      <c r="DN110" s="67">
        <f t="shared" si="13"/>
        <v>0</v>
      </c>
      <c r="DO110" s="67">
        <f t="shared" si="13"/>
        <v>0</v>
      </c>
      <c r="DP110" s="67">
        <f t="shared" si="13"/>
        <v>0</v>
      </c>
      <c r="DQ110" s="67">
        <f t="shared" si="13"/>
        <v>0</v>
      </c>
      <c r="DR110" s="67">
        <f t="shared" si="13"/>
        <v>0</v>
      </c>
      <c r="DS110" s="67">
        <f t="shared" si="13"/>
        <v>0</v>
      </c>
      <c r="DT110" s="67">
        <f t="shared" si="13"/>
        <v>0</v>
      </c>
      <c r="DU110" s="67">
        <f t="shared" si="13"/>
        <v>0</v>
      </c>
      <c r="DV110" s="67">
        <f t="shared" si="13"/>
        <v>0</v>
      </c>
      <c r="DW110" s="67">
        <f t="shared" si="13"/>
        <v>0</v>
      </c>
      <c r="DX110" s="67">
        <f t="shared" si="13"/>
        <v>0</v>
      </c>
      <c r="DY110" s="67">
        <f t="shared" si="13"/>
        <v>0</v>
      </c>
      <c r="DZ110" s="67">
        <f t="shared" si="13"/>
        <v>0</v>
      </c>
      <c r="EA110" s="67">
        <f t="shared" ref="EA110:ES112" si="14">EA58*EA84</f>
        <v>0</v>
      </c>
      <c r="EB110" s="67">
        <f t="shared" si="14"/>
        <v>0</v>
      </c>
      <c r="EC110" s="67">
        <f t="shared" si="14"/>
        <v>0</v>
      </c>
      <c r="ED110" s="67">
        <f t="shared" si="14"/>
        <v>0</v>
      </c>
      <c r="EE110" s="67">
        <f t="shared" si="14"/>
        <v>0</v>
      </c>
      <c r="EF110" s="67">
        <f t="shared" si="14"/>
        <v>0</v>
      </c>
      <c r="EG110" s="67">
        <f t="shared" si="14"/>
        <v>0</v>
      </c>
      <c r="EH110" s="67">
        <f t="shared" si="14"/>
        <v>0</v>
      </c>
      <c r="EI110" s="67">
        <f t="shared" si="14"/>
        <v>0</v>
      </c>
      <c r="EJ110" s="67">
        <f t="shared" si="14"/>
        <v>0</v>
      </c>
      <c r="EK110" s="67">
        <f t="shared" si="14"/>
        <v>0</v>
      </c>
      <c r="EL110" s="67">
        <f t="shared" si="14"/>
        <v>0</v>
      </c>
      <c r="EM110" s="67">
        <f t="shared" si="14"/>
        <v>0</v>
      </c>
      <c r="EN110" s="67">
        <f t="shared" si="14"/>
        <v>0</v>
      </c>
      <c r="EO110" s="67">
        <f t="shared" si="14"/>
        <v>0</v>
      </c>
      <c r="EP110" s="67">
        <f t="shared" si="14"/>
        <v>0</v>
      </c>
      <c r="EQ110" s="67">
        <f t="shared" si="14"/>
        <v>0</v>
      </c>
      <c r="ER110" s="67">
        <f t="shared" si="14"/>
        <v>0</v>
      </c>
      <c r="ES110" s="67">
        <f t="shared" si="14"/>
        <v>0</v>
      </c>
      <c r="ET110" s="36">
        <f>SUM(B110:ES110)</f>
        <v>0</v>
      </c>
    </row>
    <row r="111" spans="1:161" x14ac:dyDescent="0.3">
      <c r="A111" s="37" t="s">
        <v>15</v>
      </c>
      <c r="B111" s="67">
        <f t="shared" ref="B111:BM114" si="15">B59*B85</f>
        <v>0</v>
      </c>
      <c r="C111" s="67">
        <f t="shared" si="15"/>
        <v>0</v>
      </c>
      <c r="D111" s="67">
        <f t="shared" si="15"/>
        <v>0</v>
      </c>
      <c r="E111" s="67">
        <f t="shared" si="15"/>
        <v>0</v>
      </c>
      <c r="F111" s="67">
        <f t="shared" si="15"/>
        <v>0</v>
      </c>
      <c r="G111" s="67">
        <f t="shared" si="15"/>
        <v>0</v>
      </c>
      <c r="H111" s="67">
        <f t="shared" si="15"/>
        <v>0</v>
      </c>
      <c r="I111" s="67">
        <f t="shared" si="15"/>
        <v>0</v>
      </c>
      <c r="J111" s="67">
        <f t="shared" si="15"/>
        <v>0</v>
      </c>
      <c r="K111" s="67">
        <f t="shared" si="15"/>
        <v>0</v>
      </c>
      <c r="L111" s="67">
        <f t="shared" si="15"/>
        <v>0</v>
      </c>
      <c r="M111" s="67">
        <f t="shared" si="15"/>
        <v>0</v>
      </c>
      <c r="N111" s="67">
        <f t="shared" si="15"/>
        <v>0</v>
      </c>
      <c r="O111" s="67">
        <f t="shared" si="15"/>
        <v>0</v>
      </c>
      <c r="P111" s="67">
        <f t="shared" si="15"/>
        <v>0</v>
      </c>
      <c r="Q111" s="67">
        <f t="shared" si="15"/>
        <v>0</v>
      </c>
      <c r="R111" s="67">
        <f t="shared" si="15"/>
        <v>0</v>
      </c>
      <c r="S111" s="67">
        <f t="shared" si="15"/>
        <v>0</v>
      </c>
      <c r="T111" s="67">
        <f t="shared" si="15"/>
        <v>0</v>
      </c>
      <c r="U111" s="67">
        <f t="shared" si="15"/>
        <v>0</v>
      </c>
      <c r="V111" s="67">
        <f t="shared" si="15"/>
        <v>0</v>
      </c>
      <c r="W111" s="67">
        <f t="shared" si="15"/>
        <v>0</v>
      </c>
      <c r="X111" s="67">
        <f t="shared" si="15"/>
        <v>0</v>
      </c>
      <c r="Y111" s="67">
        <f t="shared" si="15"/>
        <v>0</v>
      </c>
      <c r="Z111" s="67">
        <f t="shared" si="15"/>
        <v>0</v>
      </c>
      <c r="AA111" s="67">
        <f t="shared" si="15"/>
        <v>0</v>
      </c>
      <c r="AB111" s="67">
        <f t="shared" si="15"/>
        <v>0</v>
      </c>
      <c r="AC111" s="67">
        <f t="shared" si="15"/>
        <v>0</v>
      </c>
      <c r="AD111" s="67">
        <f t="shared" si="15"/>
        <v>0</v>
      </c>
      <c r="AE111" s="67">
        <f t="shared" si="15"/>
        <v>0</v>
      </c>
      <c r="AF111" s="67">
        <f t="shared" si="15"/>
        <v>0</v>
      </c>
      <c r="AG111" s="67">
        <f t="shared" si="15"/>
        <v>0</v>
      </c>
      <c r="AH111" s="67">
        <f t="shared" si="15"/>
        <v>0</v>
      </c>
      <c r="AI111" s="67">
        <f t="shared" si="15"/>
        <v>0</v>
      </c>
      <c r="AJ111" s="67">
        <f t="shared" si="15"/>
        <v>0</v>
      </c>
      <c r="AK111" s="67">
        <f t="shared" si="15"/>
        <v>0</v>
      </c>
      <c r="AL111" s="67">
        <f t="shared" si="15"/>
        <v>0</v>
      </c>
      <c r="AM111" s="67">
        <f t="shared" si="15"/>
        <v>0</v>
      </c>
      <c r="AN111" s="67">
        <f t="shared" si="15"/>
        <v>0</v>
      </c>
      <c r="AO111" s="67">
        <f t="shared" si="15"/>
        <v>0</v>
      </c>
      <c r="AP111" s="67">
        <f t="shared" si="15"/>
        <v>0</v>
      </c>
      <c r="AQ111" s="67">
        <f t="shared" si="15"/>
        <v>0</v>
      </c>
      <c r="AR111" s="67">
        <f t="shared" si="15"/>
        <v>0</v>
      </c>
      <c r="AS111" s="67">
        <f t="shared" si="15"/>
        <v>0</v>
      </c>
      <c r="AT111" s="67">
        <f t="shared" si="15"/>
        <v>0</v>
      </c>
      <c r="AU111" s="67">
        <f t="shared" si="15"/>
        <v>0</v>
      </c>
      <c r="AV111" s="67">
        <f t="shared" si="15"/>
        <v>0</v>
      </c>
      <c r="AW111" s="67">
        <f t="shared" si="15"/>
        <v>0</v>
      </c>
      <c r="AX111" s="67">
        <f t="shared" si="15"/>
        <v>0</v>
      </c>
      <c r="AY111" s="67">
        <f t="shared" si="15"/>
        <v>0</v>
      </c>
      <c r="AZ111" s="67">
        <f t="shared" si="15"/>
        <v>0</v>
      </c>
      <c r="BA111" s="67">
        <f t="shared" si="15"/>
        <v>0</v>
      </c>
      <c r="BB111" s="67">
        <f t="shared" si="15"/>
        <v>0</v>
      </c>
      <c r="BC111" s="67">
        <f t="shared" si="15"/>
        <v>0</v>
      </c>
      <c r="BD111" s="67">
        <f t="shared" si="15"/>
        <v>0</v>
      </c>
      <c r="BE111" s="67">
        <f t="shared" si="15"/>
        <v>0</v>
      </c>
      <c r="BF111" s="67">
        <f t="shared" si="15"/>
        <v>0</v>
      </c>
      <c r="BG111" s="67">
        <f t="shared" si="15"/>
        <v>0</v>
      </c>
      <c r="BH111" s="67">
        <f t="shared" si="15"/>
        <v>0</v>
      </c>
      <c r="BI111" s="67">
        <f t="shared" si="15"/>
        <v>0</v>
      </c>
      <c r="BJ111" s="67">
        <f t="shared" si="15"/>
        <v>0</v>
      </c>
      <c r="BK111" s="67">
        <f t="shared" si="15"/>
        <v>0</v>
      </c>
      <c r="BL111" s="67">
        <f t="shared" si="15"/>
        <v>0</v>
      </c>
      <c r="BM111" s="67">
        <f t="shared" si="15"/>
        <v>0</v>
      </c>
      <c r="BN111" s="67">
        <f t="shared" si="12"/>
        <v>0</v>
      </c>
      <c r="BO111" s="67">
        <f t="shared" si="13"/>
        <v>0</v>
      </c>
      <c r="BP111" s="67">
        <f t="shared" si="13"/>
        <v>0</v>
      </c>
      <c r="BQ111" s="67">
        <f t="shared" si="13"/>
        <v>0</v>
      </c>
      <c r="BR111" s="67">
        <f t="shared" si="13"/>
        <v>0</v>
      </c>
      <c r="BS111" s="67">
        <f t="shared" si="13"/>
        <v>0</v>
      </c>
      <c r="BT111" s="67">
        <f t="shared" si="13"/>
        <v>0</v>
      </c>
      <c r="BU111" s="67">
        <f t="shared" si="13"/>
        <v>0</v>
      </c>
      <c r="BV111" s="67">
        <f t="shared" si="13"/>
        <v>0</v>
      </c>
      <c r="BW111" s="67">
        <f t="shared" si="13"/>
        <v>0</v>
      </c>
      <c r="BX111" s="67">
        <f t="shared" si="13"/>
        <v>0</v>
      </c>
      <c r="BY111" s="67">
        <f t="shared" si="13"/>
        <v>0</v>
      </c>
      <c r="BZ111" s="67">
        <f t="shared" si="13"/>
        <v>0</v>
      </c>
      <c r="CA111" s="67">
        <f t="shared" si="13"/>
        <v>0</v>
      </c>
      <c r="CB111" s="67">
        <f t="shared" si="13"/>
        <v>0</v>
      </c>
      <c r="CC111" s="67">
        <f t="shared" si="13"/>
        <v>0</v>
      </c>
      <c r="CD111" s="67">
        <f t="shared" si="13"/>
        <v>0</v>
      </c>
      <c r="CE111" s="67">
        <f t="shared" si="13"/>
        <v>0</v>
      </c>
      <c r="CF111" s="67">
        <f t="shared" si="13"/>
        <v>0</v>
      </c>
      <c r="CG111" s="67">
        <f t="shared" si="13"/>
        <v>0</v>
      </c>
      <c r="CH111" s="67">
        <f t="shared" si="13"/>
        <v>0</v>
      </c>
      <c r="CI111" s="67">
        <f t="shared" si="13"/>
        <v>0</v>
      </c>
      <c r="CJ111" s="67">
        <f t="shared" si="13"/>
        <v>0</v>
      </c>
      <c r="CK111" s="67">
        <f t="shared" si="13"/>
        <v>0</v>
      </c>
      <c r="CL111" s="67">
        <f t="shared" si="13"/>
        <v>0</v>
      </c>
      <c r="CM111" s="67">
        <f t="shared" si="13"/>
        <v>0</v>
      </c>
      <c r="CN111" s="67">
        <f t="shared" si="13"/>
        <v>0</v>
      </c>
      <c r="CO111" s="67">
        <f t="shared" si="13"/>
        <v>0</v>
      </c>
      <c r="CP111" s="67">
        <f t="shared" si="13"/>
        <v>0</v>
      </c>
      <c r="CQ111" s="67">
        <f t="shared" si="13"/>
        <v>0</v>
      </c>
      <c r="CR111" s="67">
        <f t="shared" si="13"/>
        <v>0</v>
      </c>
      <c r="CS111" s="67">
        <f t="shared" si="13"/>
        <v>0</v>
      </c>
      <c r="CT111" s="67">
        <f t="shared" si="13"/>
        <v>0</v>
      </c>
      <c r="CU111" s="67">
        <f t="shared" si="13"/>
        <v>0</v>
      </c>
      <c r="CV111" s="67">
        <f t="shared" si="13"/>
        <v>0</v>
      </c>
      <c r="CW111" s="67">
        <f t="shared" si="13"/>
        <v>0</v>
      </c>
      <c r="CX111" s="67">
        <f t="shared" si="13"/>
        <v>0</v>
      </c>
      <c r="CY111" s="67">
        <f t="shared" si="13"/>
        <v>0</v>
      </c>
      <c r="CZ111" s="67">
        <f t="shared" si="13"/>
        <v>0</v>
      </c>
      <c r="DA111" s="67">
        <f t="shared" si="13"/>
        <v>0</v>
      </c>
      <c r="DB111" s="67">
        <f t="shared" si="13"/>
        <v>0</v>
      </c>
      <c r="DC111" s="67">
        <f t="shared" si="13"/>
        <v>0</v>
      </c>
      <c r="DD111" s="67">
        <f t="shared" si="13"/>
        <v>0</v>
      </c>
      <c r="DE111" s="67">
        <f t="shared" si="13"/>
        <v>0</v>
      </c>
      <c r="DF111" s="67">
        <f t="shared" si="13"/>
        <v>0</v>
      </c>
      <c r="DG111" s="67">
        <f t="shared" si="13"/>
        <v>0</v>
      </c>
      <c r="DH111" s="67">
        <f t="shared" si="13"/>
        <v>0</v>
      </c>
      <c r="DI111" s="67">
        <f t="shared" si="13"/>
        <v>0</v>
      </c>
      <c r="DJ111" s="67">
        <f t="shared" si="13"/>
        <v>0</v>
      </c>
      <c r="DK111" s="67">
        <f t="shared" si="13"/>
        <v>0</v>
      </c>
      <c r="DL111" s="67">
        <f t="shared" si="13"/>
        <v>0</v>
      </c>
      <c r="DM111" s="67">
        <f t="shared" si="13"/>
        <v>0</v>
      </c>
      <c r="DN111" s="67">
        <f t="shared" si="13"/>
        <v>0</v>
      </c>
      <c r="DO111" s="67">
        <f t="shared" si="13"/>
        <v>0</v>
      </c>
      <c r="DP111" s="67">
        <f t="shared" si="13"/>
        <v>0</v>
      </c>
      <c r="DQ111" s="67">
        <f t="shared" si="13"/>
        <v>0</v>
      </c>
      <c r="DR111" s="67">
        <f t="shared" si="13"/>
        <v>0</v>
      </c>
      <c r="DS111" s="67">
        <f t="shared" si="13"/>
        <v>0</v>
      </c>
      <c r="DT111" s="67">
        <f t="shared" si="13"/>
        <v>0</v>
      </c>
      <c r="DU111" s="67">
        <f t="shared" si="13"/>
        <v>0</v>
      </c>
      <c r="DV111" s="67">
        <f t="shared" si="13"/>
        <v>0</v>
      </c>
      <c r="DW111" s="67">
        <f t="shared" si="13"/>
        <v>0</v>
      </c>
      <c r="DX111" s="67">
        <f t="shared" si="13"/>
        <v>0</v>
      </c>
      <c r="DY111" s="67">
        <f t="shared" si="13"/>
        <v>0</v>
      </c>
      <c r="DZ111" s="67">
        <f t="shared" si="13"/>
        <v>0</v>
      </c>
      <c r="EA111" s="67">
        <f t="shared" si="14"/>
        <v>0</v>
      </c>
      <c r="EB111" s="67">
        <f t="shared" si="14"/>
        <v>0</v>
      </c>
      <c r="EC111" s="67">
        <f t="shared" si="14"/>
        <v>0</v>
      </c>
      <c r="ED111" s="67">
        <f t="shared" si="14"/>
        <v>0</v>
      </c>
      <c r="EE111" s="67">
        <f t="shared" si="14"/>
        <v>0</v>
      </c>
      <c r="EF111" s="67">
        <f t="shared" si="14"/>
        <v>0</v>
      </c>
      <c r="EG111" s="67">
        <f t="shared" si="14"/>
        <v>0</v>
      </c>
      <c r="EH111" s="67">
        <f t="shared" si="14"/>
        <v>0</v>
      </c>
      <c r="EI111" s="67">
        <f t="shared" si="14"/>
        <v>0</v>
      </c>
      <c r="EJ111" s="67">
        <f t="shared" si="14"/>
        <v>0</v>
      </c>
      <c r="EK111" s="67">
        <f t="shared" si="14"/>
        <v>0</v>
      </c>
      <c r="EL111" s="67">
        <f t="shared" si="14"/>
        <v>0</v>
      </c>
      <c r="EM111" s="67">
        <f t="shared" si="14"/>
        <v>0</v>
      </c>
      <c r="EN111" s="67">
        <f t="shared" si="14"/>
        <v>0</v>
      </c>
      <c r="EO111" s="67">
        <f t="shared" si="14"/>
        <v>0</v>
      </c>
      <c r="EP111" s="67">
        <f t="shared" si="14"/>
        <v>0</v>
      </c>
      <c r="EQ111" s="67">
        <f t="shared" si="14"/>
        <v>0</v>
      </c>
      <c r="ER111" s="67">
        <f t="shared" si="14"/>
        <v>0</v>
      </c>
      <c r="ES111" s="67">
        <f t="shared" si="14"/>
        <v>0</v>
      </c>
      <c r="ET111" s="36">
        <f t="shared" ref="ET111:ET132" si="16">SUM(B111:ES111)</f>
        <v>0</v>
      </c>
      <c r="EW111" s="60"/>
    </row>
    <row r="112" spans="1:161" x14ac:dyDescent="0.3">
      <c r="A112" s="37" t="s">
        <v>4</v>
      </c>
      <c r="B112" s="67">
        <f t="shared" si="15"/>
        <v>0</v>
      </c>
      <c r="C112" s="67">
        <f t="shared" si="15"/>
        <v>0</v>
      </c>
      <c r="D112" s="67">
        <f t="shared" si="15"/>
        <v>0</v>
      </c>
      <c r="E112" s="67">
        <f t="shared" si="15"/>
        <v>0</v>
      </c>
      <c r="F112" s="67">
        <f t="shared" si="15"/>
        <v>0</v>
      </c>
      <c r="G112" s="67">
        <f t="shared" si="15"/>
        <v>0</v>
      </c>
      <c r="H112" s="67">
        <f t="shared" si="15"/>
        <v>0</v>
      </c>
      <c r="I112" s="67">
        <f t="shared" si="15"/>
        <v>0</v>
      </c>
      <c r="J112" s="67">
        <f t="shared" si="15"/>
        <v>0</v>
      </c>
      <c r="K112" s="67">
        <f t="shared" si="15"/>
        <v>0</v>
      </c>
      <c r="L112" s="67">
        <f t="shared" si="15"/>
        <v>0</v>
      </c>
      <c r="M112" s="67">
        <f t="shared" si="15"/>
        <v>0</v>
      </c>
      <c r="N112" s="67">
        <f t="shared" si="15"/>
        <v>0</v>
      </c>
      <c r="O112" s="67">
        <f t="shared" si="15"/>
        <v>0</v>
      </c>
      <c r="P112" s="67">
        <f t="shared" si="15"/>
        <v>0</v>
      </c>
      <c r="Q112" s="67">
        <f t="shared" si="15"/>
        <v>0</v>
      </c>
      <c r="R112" s="67">
        <f t="shared" si="15"/>
        <v>0</v>
      </c>
      <c r="S112" s="67">
        <f t="shared" si="15"/>
        <v>0</v>
      </c>
      <c r="T112" s="67">
        <f t="shared" si="15"/>
        <v>0</v>
      </c>
      <c r="U112" s="67">
        <f t="shared" si="15"/>
        <v>0</v>
      </c>
      <c r="V112" s="67">
        <f t="shared" si="15"/>
        <v>0</v>
      </c>
      <c r="W112" s="67">
        <f t="shared" si="15"/>
        <v>0</v>
      </c>
      <c r="X112" s="67">
        <f t="shared" si="15"/>
        <v>0</v>
      </c>
      <c r="Y112" s="67">
        <f t="shared" si="15"/>
        <v>0</v>
      </c>
      <c r="Z112" s="67">
        <f t="shared" si="15"/>
        <v>0</v>
      </c>
      <c r="AA112" s="67">
        <f t="shared" si="15"/>
        <v>0</v>
      </c>
      <c r="AB112" s="67">
        <f t="shared" si="15"/>
        <v>0</v>
      </c>
      <c r="AC112" s="67">
        <f t="shared" si="15"/>
        <v>0</v>
      </c>
      <c r="AD112" s="67">
        <f t="shared" si="15"/>
        <v>0</v>
      </c>
      <c r="AE112" s="67">
        <f t="shared" si="15"/>
        <v>0</v>
      </c>
      <c r="AF112" s="67">
        <f t="shared" si="15"/>
        <v>0</v>
      </c>
      <c r="AG112" s="67">
        <f t="shared" si="15"/>
        <v>0</v>
      </c>
      <c r="AH112" s="67">
        <f t="shared" si="15"/>
        <v>0</v>
      </c>
      <c r="AI112" s="67">
        <f t="shared" si="15"/>
        <v>0</v>
      </c>
      <c r="AJ112" s="67">
        <f t="shared" si="15"/>
        <v>0</v>
      </c>
      <c r="AK112" s="67">
        <f t="shared" si="15"/>
        <v>0</v>
      </c>
      <c r="AL112" s="67">
        <f t="shared" si="15"/>
        <v>0</v>
      </c>
      <c r="AM112" s="67">
        <f t="shared" si="15"/>
        <v>0</v>
      </c>
      <c r="AN112" s="67">
        <f t="shared" si="15"/>
        <v>0</v>
      </c>
      <c r="AO112" s="67">
        <f t="shared" si="15"/>
        <v>0</v>
      </c>
      <c r="AP112" s="67">
        <f t="shared" si="15"/>
        <v>0</v>
      </c>
      <c r="AQ112" s="67">
        <f t="shared" si="15"/>
        <v>0</v>
      </c>
      <c r="AR112" s="67">
        <f t="shared" si="15"/>
        <v>0</v>
      </c>
      <c r="AS112" s="67">
        <f t="shared" si="15"/>
        <v>0</v>
      </c>
      <c r="AT112" s="67">
        <f t="shared" si="15"/>
        <v>0</v>
      </c>
      <c r="AU112" s="67">
        <f t="shared" si="15"/>
        <v>0</v>
      </c>
      <c r="AV112" s="67">
        <f t="shared" si="15"/>
        <v>0</v>
      </c>
      <c r="AW112" s="67">
        <f t="shared" si="15"/>
        <v>0</v>
      </c>
      <c r="AX112" s="67">
        <f t="shared" si="15"/>
        <v>0</v>
      </c>
      <c r="AY112" s="67">
        <f t="shared" si="15"/>
        <v>0</v>
      </c>
      <c r="AZ112" s="67">
        <f t="shared" si="15"/>
        <v>0</v>
      </c>
      <c r="BA112" s="67">
        <f t="shared" si="15"/>
        <v>0</v>
      </c>
      <c r="BB112" s="67">
        <f t="shared" si="15"/>
        <v>0</v>
      </c>
      <c r="BC112" s="67">
        <f t="shared" si="15"/>
        <v>0</v>
      </c>
      <c r="BD112" s="67">
        <f t="shared" si="15"/>
        <v>0</v>
      </c>
      <c r="BE112" s="67">
        <f t="shared" si="15"/>
        <v>0</v>
      </c>
      <c r="BF112" s="67">
        <f t="shared" si="15"/>
        <v>0</v>
      </c>
      <c r="BG112" s="67">
        <f t="shared" si="15"/>
        <v>0</v>
      </c>
      <c r="BH112" s="67">
        <f t="shared" si="15"/>
        <v>0</v>
      </c>
      <c r="BI112" s="67">
        <f t="shared" si="15"/>
        <v>0</v>
      </c>
      <c r="BJ112" s="67">
        <f t="shared" si="15"/>
        <v>0</v>
      </c>
      <c r="BK112" s="67">
        <f t="shared" si="15"/>
        <v>0</v>
      </c>
      <c r="BL112" s="67">
        <f t="shared" si="15"/>
        <v>0</v>
      </c>
      <c r="BM112" s="67">
        <f t="shared" si="15"/>
        <v>0</v>
      </c>
      <c r="BN112" s="67">
        <f t="shared" si="12"/>
        <v>0</v>
      </c>
      <c r="BO112" s="67">
        <f t="shared" si="13"/>
        <v>0</v>
      </c>
      <c r="BP112" s="67">
        <f t="shared" si="13"/>
        <v>0</v>
      </c>
      <c r="BQ112" s="67">
        <f t="shared" si="13"/>
        <v>0</v>
      </c>
      <c r="BR112" s="67">
        <f t="shared" si="13"/>
        <v>0</v>
      </c>
      <c r="BS112" s="67">
        <f t="shared" si="13"/>
        <v>0</v>
      </c>
      <c r="BT112" s="67">
        <f t="shared" si="13"/>
        <v>0</v>
      </c>
      <c r="BU112" s="67">
        <f t="shared" si="13"/>
        <v>0</v>
      </c>
      <c r="BV112" s="67">
        <f t="shared" si="13"/>
        <v>0</v>
      </c>
      <c r="BW112" s="67">
        <f t="shared" si="13"/>
        <v>0</v>
      </c>
      <c r="BX112" s="67">
        <f t="shared" si="13"/>
        <v>0</v>
      </c>
      <c r="BY112" s="67">
        <f t="shared" si="13"/>
        <v>0</v>
      </c>
      <c r="BZ112" s="67">
        <f t="shared" si="13"/>
        <v>0</v>
      </c>
      <c r="CA112" s="67">
        <f t="shared" si="13"/>
        <v>0</v>
      </c>
      <c r="CB112" s="67">
        <f t="shared" si="13"/>
        <v>0</v>
      </c>
      <c r="CC112" s="67">
        <f t="shared" si="13"/>
        <v>0</v>
      </c>
      <c r="CD112" s="67">
        <f t="shared" si="13"/>
        <v>0</v>
      </c>
      <c r="CE112" s="67">
        <f t="shared" si="13"/>
        <v>0</v>
      </c>
      <c r="CF112" s="67">
        <f t="shared" si="13"/>
        <v>0</v>
      </c>
      <c r="CG112" s="67">
        <f t="shared" si="13"/>
        <v>0</v>
      </c>
      <c r="CH112" s="67">
        <f t="shared" si="13"/>
        <v>0</v>
      </c>
      <c r="CI112" s="67">
        <f t="shared" si="13"/>
        <v>0</v>
      </c>
      <c r="CJ112" s="67">
        <f t="shared" si="13"/>
        <v>0</v>
      </c>
      <c r="CK112" s="67">
        <f t="shared" si="13"/>
        <v>0</v>
      </c>
      <c r="CL112" s="67">
        <f t="shared" si="13"/>
        <v>0</v>
      </c>
      <c r="CM112" s="67">
        <f t="shared" si="13"/>
        <v>0</v>
      </c>
      <c r="CN112" s="67">
        <f t="shared" si="13"/>
        <v>0</v>
      </c>
      <c r="CO112" s="67">
        <f t="shared" si="13"/>
        <v>0</v>
      </c>
      <c r="CP112" s="67">
        <f t="shared" si="13"/>
        <v>0</v>
      </c>
      <c r="CQ112" s="67">
        <f t="shared" si="13"/>
        <v>0</v>
      </c>
      <c r="CR112" s="67">
        <f t="shared" si="13"/>
        <v>0</v>
      </c>
      <c r="CS112" s="67">
        <f t="shared" si="13"/>
        <v>0</v>
      </c>
      <c r="CT112" s="67">
        <f t="shared" si="13"/>
        <v>0</v>
      </c>
      <c r="CU112" s="67">
        <f t="shared" si="13"/>
        <v>0</v>
      </c>
      <c r="CV112" s="67">
        <f t="shared" si="13"/>
        <v>0</v>
      </c>
      <c r="CW112" s="67">
        <f t="shared" si="13"/>
        <v>0</v>
      </c>
      <c r="CX112" s="67">
        <f t="shared" si="13"/>
        <v>0</v>
      </c>
      <c r="CY112" s="67">
        <f t="shared" si="13"/>
        <v>0</v>
      </c>
      <c r="CZ112" s="67">
        <f t="shared" si="13"/>
        <v>0</v>
      </c>
      <c r="DA112" s="67">
        <f t="shared" si="13"/>
        <v>0</v>
      </c>
      <c r="DB112" s="67">
        <f t="shared" si="13"/>
        <v>0</v>
      </c>
      <c r="DC112" s="67">
        <f t="shared" si="13"/>
        <v>0</v>
      </c>
      <c r="DD112" s="67">
        <f t="shared" si="13"/>
        <v>0</v>
      </c>
      <c r="DE112" s="67">
        <f t="shared" si="13"/>
        <v>0</v>
      </c>
      <c r="DF112" s="67">
        <f t="shared" si="13"/>
        <v>0</v>
      </c>
      <c r="DG112" s="67">
        <f t="shared" si="13"/>
        <v>0</v>
      </c>
      <c r="DH112" s="67">
        <f t="shared" si="13"/>
        <v>0</v>
      </c>
      <c r="DI112" s="67">
        <f t="shared" si="13"/>
        <v>0</v>
      </c>
      <c r="DJ112" s="67">
        <f t="shared" si="13"/>
        <v>0</v>
      </c>
      <c r="DK112" s="67">
        <f t="shared" si="13"/>
        <v>0</v>
      </c>
      <c r="DL112" s="67">
        <f t="shared" si="13"/>
        <v>0</v>
      </c>
      <c r="DM112" s="67">
        <f t="shared" si="13"/>
        <v>0</v>
      </c>
      <c r="DN112" s="67">
        <f t="shared" si="13"/>
        <v>0</v>
      </c>
      <c r="DO112" s="67">
        <f t="shared" si="13"/>
        <v>0</v>
      </c>
      <c r="DP112" s="67">
        <f t="shared" si="13"/>
        <v>0</v>
      </c>
      <c r="DQ112" s="67">
        <f t="shared" si="13"/>
        <v>0</v>
      </c>
      <c r="DR112" s="67">
        <f t="shared" si="13"/>
        <v>0</v>
      </c>
      <c r="DS112" s="67">
        <f t="shared" si="13"/>
        <v>0</v>
      </c>
      <c r="DT112" s="67">
        <f t="shared" si="13"/>
        <v>0</v>
      </c>
      <c r="DU112" s="67">
        <f t="shared" si="13"/>
        <v>0</v>
      </c>
      <c r="DV112" s="67">
        <f t="shared" si="13"/>
        <v>0</v>
      </c>
      <c r="DW112" s="67">
        <f t="shared" si="13"/>
        <v>0</v>
      </c>
      <c r="DX112" s="67">
        <f t="shared" si="13"/>
        <v>0</v>
      </c>
      <c r="DY112" s="67">
        <f t="shared" si="13"/>
        <v>0</v>
      </c>
      <c r="DZ112" s="67">
        <f t="shared" si="13"/>
        <v>0</v>
      </c>
      <c r="EA112" s="67">
        <f t="shared" si="14"/>
        <v>0</v>
      </c>
      <c r="EB112" s="67">
        <f t="shared" si="14"/>
        <v>0</v>
      </c>
      <c r="EC112" s="67">
        <f t="shared" si="14"/>
        <v>0</v>
      </c>
      <c r="ED112" s="67">
        <f t="shared" si="14"/>
        <v>0</v>
      </c>
      <c r="EE112" s="67">
        <f t="shared" si="14"/>
        <v>0</v>
      </c>
      <c r="EF112" s="67">
        <f t="shared" si="14"/>
        <v>0</v>
      </c>
      <c r="EG112" s="67">
        <f t="shared" si="14"/>
        <v>0</v>
      </c>
      <c r="EH112" s="67">
        <f t="shared" si="14"/>
        <v>0</v>
      </c>
      <c r="EI112" s="67">
        <f t="shared" si="14"/>
        <v>0</v>
      </c>
      <c r="EJ112" s="67">
        <f t="shared" si="14"/>
        <v>0</v>
      </c>
      <c r="EK112" s="67">
        <f t="shared" si="14"/>
        <v>0</v>
      </c>
      <c r="EL112" s="67">
        <f t="shared" si="14"/>
        <v>0</v>
      </c>
      <c r="EM112" s="67">
        <f t="shared" si="14"/>
        <v>0</v>
      </c>
      <c r="EN112" s="67">
        <f t="shared" si="14"/>
        <v>0</v>
      </c>
      <c r="EO112" s="67">
        <f t="shared" si="14"/>
        <v>0</v>
      </c>
      <c r="EP112" s="67">
        <f t="shared" si="14"/>
        <v>0</v>
      </c>
      <c r="EQ112" s="67">
        <f t="shared" si="14"/>
        <v>0</v>
      </c>
      <c r="ER112" s="67">
        <f t="shared" si="14"/>
        <v>0</v>
      </c>
      <c r="ES112" s="67">
        <f t="shared" si="14"/>
        <v>0</v>
      </c>
      <c r="ET112" s="36">
        <f t="shared" si="16"/>
        <v>0</v>
      </c>
      <c r="EW112" s="60"/>
    </row>
    <row r="113" spans="1:150" x14ac:dyDescent="0.3">
      <c r="A113" s="37" t="s">
        <v>20</v>
      </c>
      <c r="B113" s="67">
        <f t="shared" si="15"/>
        <v>0</v>
      </c>
      <c r="C113" s="67">
        <f t="shared" si="15"/>
        <v>0</v>
      </c>
      <c r="D113" s="67">
        <f t="shared" si="15"/>
        <v>0</v>
      </c>
      <c r="E113" s="67">
        <f t="shared" si="15"/>
        <v>0</v>
      </c>
      <c r="F113" s="67">
        <f t="shared" si="15"/>
        <v>0</v>
      </c>
      <c r="G113" s="67">
        <f t="shared" si="15"/>
        <v>0</v>
      </c>
      <c r="H113" s="67">
        <f t="shared" si="15"/>
        <v>0</v>
      </c>
      <c r="I113" s="67">
        <f t="shared" si="15"/>
        <v>0</v>
      </c>
      <c r="J113" s="67">
        <f t="shared" si="15"/>
        <v>0</v>
      </c>
      <c r="K113" s="67">
        <f t="shared" si="15"/>
        <v>0</v>
      </c>
      <c r="L113" s="67">
        <f t="shared" si="15"/>
        <v>0</v>
      </c>
      <c r="M113" s="67">
        <f t="shared" si="15"/>
        <v>0</v>
      </c>
      <c r="N113" s="67">
        <f t="shared" si="15"/>
        <v>311585.95190865517</v>
      </c>
      <c r="O113" s="67">
        <f t="shared" si="15"/>
        <v>0</v>
      </c>
      <c r="P113" s="67">
        <f t="shared" si="15"/>
        <v>0</v>
      </c>
      <c r="Q113" s="67">
        <f t="shared" si="15"/>
        <v>0</v>
      </c>
      <c r="R113" s="67">
        <f t="shared" si="15"/>
        <v>0</v>
      </c>
      <c r="S113" s="67">
        <f t="shared" si="15"/>
        <v>0</v>
      </c>
      <c r="T113" s="67">
        <f t="shared" si="15"/>
        <v>0</v>
      </c>
      <c r="U113" s="67">
        <f t="shared" si="15"/>
        <v>0</v>
      </c>
      <c r="V113" s="67">
        <f t="shared" si="15"/>
        <v>0</v>
      </c>
      <c r="W113" s="67">
        <f t="shared" si="15"/>
        <v>0</v>
      </c>
      <c r="X113" s="67">
        <f t="shared" si="15"/>
        <v>0</v>
      </c>
      <c r="Y113" s="67">
        <f t="shared" si="15"/>
        <v>0</v>
      </c>
      <c r="Z113" s="67">
        <f t="shared" si="15"/>
        <v>0</v>
      </c>
      <c r="AA113" s="67">
        <f t="shared" si="15"/>
        <v>0</v>
      </c>
      <c r="AB113" s="67">
        <f t="shared" si="15"/>
        <v>0</v>
      </c>
      <c r="AC113" s="67">
        <f t="shared" si="15"/>
        <v>0</v>
      </c>
      <c r="AD113" s="67">
        <f t="shared" si="15"/>
        <v>0</v>
      </c>
      <c r="AE113" s="67">
        <f t="shared" si="15"/>
        <v>0</v>
      </c>
      <c r="AF113" s="67">
        <f t="shared" si="15"/>
        <v>0</v>
      </c>
      <c r="AG113" s="67">
        <f t="shared" si="15"/>
        <v>1798666.3554881136</v>
      </c>
      <c r="AH113" s="67">
        <f t="shared" si="15"/>
        <v>204056.91085407147</v>
      </c>
      <c r="AI113" s="67">
        <f t="shared" si="15"/>
        <v>0</v>
      </c>
      <c r="AJ113" s="67">
        <f t="shared" si="15"/>
        <v>0</v>
      </c>
      <c r="AK113" s="67">
        <f t="shared" si="15"/>
        <v>0</v>
      </c>
      <c r="AL113" s="67">
        <f t="shared" si="15"/>
        <v>0</v>
      </c>
      <c r="AM113" s="67">
        <f t="shared" si="15"/>
        <v>0</v>
      </c>
      <c r="AN113" s="67">
        <f t="shared" si="15"/>
        <v>171375.75771527615</v>
      </c>
      <c r="AO113" s="67">
        <f t="shared" si="15"/>
        <v>0</v>
      </c>
      <c r="AP113" s="67">
        <f t="shared" si="15"/>
        <v>0</v>
      </c>
      <c r="AQ113" s="67">
        <f t="shared" si="15"/>
        <v>0</v>
      </c>
      <c r="AR113" s="67">
        <f t="shared" si="15"/>
        <v>0</v>
      </c>
      <c r="AS113" s="67">
        <f t="shared" si="15"/>
        <v>0</v>
      </c>
      <c r="AT113" s="67">
        <f t="shared" si="15"/>
        <v>0</v>
      </c>
      <c r="AU113" s="67">
        <f t="shared" si="15"/>
        <v>0</v>
      </c>
      <c r="AV113" s="67">
        <f t="shared" si="15"/>
        <v>0</v>
      </c>
      <c r="AW113" s="67">
        <f t="shared" si="15"/>
        <v>0</v>
      </c>
      <c r="AX113" s="67">
        <f t="shared" si="15"/>
        <v>0</v>
      </c>
      <c r="AY113" s="67">
        <f t="shared" si="15"/>
        <v>0</v>
      </c>
      <c r="AZ113" s="67">
        <f t="shared" si="15"/>
        <v>0</v>
      </c>
      <c r="BA113" s="67">
        <f t="shared" si="15"/>
        <v>0</v>
      </c>
      <c r="BB113" s="67">
        <f t="shared" si="15"/>
        <v>0</v>
      </c>
      <c r="BC113" s="67">
        <f t="shared" si="15"/>
        <v>0</v>
      </c>
      <c r="BD113" s="67">
        <f t="shared" si="15"/>
        <v>0</v>
      </c>
      <c r="BE113" s="67">
        <f t="shared" si="15"/>
        <v>0</v>
      </c>
      <c r="BF113" s="67">
        <f t="shared" si="15"/>
        <v>0</v>
      </c>
      <c r="BG113" s="67">
        <f t="shared" si="15"/>
        <v>0</v>
      </c>
      <c r="BH113" s="67">
        <f t="shared" si="15"/>
        <v>0</v>
      </c>
      <c r="BI113" s="67">
        <f t="shared" si="15"/>
        <v>0</v>
      </c>
      <c r="BJ113" s="67">
        <f t="shared" si="15"/>
        <v>0</v>
      </c>
      <c r="BK113" s="67">
        <f t="shared" si="15"/>
        <v>0</v>
      </c>
      <c r="BL113" s="67">
        <f t="shared" si="15"/>
        <v>0</v>
      </c>
      <c r="BM113" s="67">
        <f t="shared" si="15"/>
        <v>53384.465745492897</v>
      </c>
      <c r="BN113" s="67">
        <f t="shared" si="12"/>
        <v>0</v>
      </c>
      <c r="BO113" s="67">
        <f t="shared" si="13"/>
        <v>0</v>
      </c>
      <c r="BP113" s="67">
        <f t="shared" si="13"/>
        <v>0</v>
      </c>
      <c r="BQ113" s="67">
        <f t="shared" si="13"/>
        <v>0</v>
      </c>
      <c r="BR113" s="67">
        <f t="shared" si="13"/>
        <v>0</v>
      </c>
      <c r="BS113" s="67">
        <f t="shared" si="13"/>
        <v>0</v>
      </c>
      <c r="BT113" s="67">
        <f t="shared" si="13"/>
        <v>0</v>
      </c>
      <c r="BU113" s="67">
        <f t="shared" si="13"/>
        <v>0</v>
      </c>
      <c r="BV113" s="67">
        <f t="shared" si="13"/>
        <v>0</v>
      </c>
      <c r="BW113" s="67">
        <f t="shared" si="13"/>
        <v>0</v>
      </c>
      <c r="BX113" s="67">
        <f t="shared" si="13"/>
        <v>0</v>
      </c>
      <c r="BY113" s="67">
        <f t="shared" si="13"/>
        <v>0</v>
      </c>
      <c r="BZ113" s="67">
        <f t="shared" si="13"/>
        <v>0</v>
      </c>
      <c r="CA113" s="67">
        <f t="shared" si="13"/>
        <v>0</v>
      </c>
      <c r="CB113" s="67">
        <f t="shared" si="13"/>
        <v>0</v>
      </c>
      <c r="CC113" s="67">
        <f t="shared" si="13"/>
        <v>0</v>
      </c>
      <c r="CD113" s="67">
        <f t="shared" si="13"/>
        <v>0</v>
      </c>
      <c r="CE113" s="67">
        <f t="shared" si="13"/>
        <v>0</v>
      </c>
      <c r="CF113" s="67">
        <f t="shared" si="13"/>
        <v>0</v>
      </c>
      <c r="CG113" s="67">
        <f t="shared" si="13"/>
        <v>0</v>
      </c>
      <c r="CH113" s="67">
        <f t="shared" si="13"/>
        <v>0</v>
      </c>
      <c r="CI113" s="67">
        <f t="shared" si="13"/>
        <v>0</v>
      </c>
      <c r="CJ113" s="67">
        <f t="shared" si="13"/>
        <v>0</v>
      </c>
      <c r="CK113" s="67">
        <f t="shared" si="13"/>
        <v>0</v>
      </c>
      <c r="CL113" s="67">
        <f t="shared" si="13"/>
        <v>0</v>
      </c>
      <c r="CM113" s="67">
        <f t="shared" si="13"/>
        <v>0</v>
      </c>
      <c r="CN113" s="67">
        <f t="shared" si="13"/>
        <v>0</v>
      </c>
      <c r="CO113" s="67">
        <f t="shared" si="13"/>
        <v>0</v>
      </c>
      <c r="CP113" s="67">
        <f t="shared" si="13"/>
        <v>304631.34889985149</v>
      </c>
      <c r="CQ113" s="67">
        <f t="shared" si="13"/>
        <v>0</v>
      </c>
      <c r="CR113" s="67">
        <f t="shared" si="13"/>
        <v>0</v>
      </c>
      <c r="CS113" s="67">
        <f t="shared" si="13"/>
        <v>0</v>
      </c>
      <c r="CT113" s="67">
        <f t="shared" si="13"/>
        <v>0</v>
      </c>
      <c r="CU113" s="67">
        <f t="shared" si="13"/>
        <v>0</v>
      </c>
      <c r="CV113" s="67">
        <f t="shared" si="13"/>
        <v>0</v>
      </c>
      <c r="CW113" s="67">
        <f t="shared" si="13"/>
        <v>0</v>
      </c>
      <c r="CX113" s="67">
        <f t="shared" si="13"/>
        <v>0</v>
      </c>
      <c r="CY113" s="67">
        <f t="shared" si="13"/>
        <v>0</v>
      </c>
      <c r="CZ113" s="67">
        <f t="shared" si="13"/>
        <v>0</v>
      </c>
      <c r="DA113" s="67">
        <f t="shared" si="13"/>
        <v>0</v>
      </c>
      <c r="DB113" s="67">
        <f t="shared" si="13"/>
        <v>0</v>
      </c>
      <c r="DC113" s="67">
        <f t="shared" si="13"/>
        <v>0</v>
      </c>
      <c r="DD113" s="67">
        <f t="shared" si="13"/>
        <v>0</v>
      </c>
      <c r="DE113" s="67">
        <f t="shared" si="13"/>
        <v>0</v>
      </c>
      <c r="DF113" s="67">
        <f t="shared" si="13"/>
        <v>0</v>
      </c>
      <c r="DG113" s="67">
        <f t="shared" si="13"/>
        <v>0</v>
      </c>
      <c r="DH113" s="67">
        <f t="shared" si="13"/>
        <v>0</v>
      </c>
      <c r="DI113" s="67">
        <f t="shared" si="13"/>
        <v>0</v>
      </c>
      <c r="DJ113" s="67">
        <f t="shared" si="13"/>
        <v>0</v>
      </c>
      <c r="DK113" s="67">
        <f t="shared" si="13"/>
        <v>0</v>
      </c>
      <c r="DL113" s="67">
        <f t="shared" si="13"/>
        <v>0</v>
      </c>
      <c r="DM113" s="67">
        <f t="shared" si="13"/>
        <v>0</v>
      </c>
      <c r="DN113" s="67">
        <f t="shared" si="13"/>
        <v>0</v>
      </c>
      <c r="DO113" s="67">
        <f t="shared" si="13"/>
        <v>0</v>
      </c>
      <c r="DP113" s="67">
        <f t="shared" si="13"/>
        <v>0</v>
      </c>
      <c r="DQ113" s="67">
        <f t="shared" si="13"/>
        <v>0</v>
      </c>
      <c r="DR113" s="67">
        <f t="shared" si="13"/>
        <v>0</v>
      </c>
      <c r="DS113" s="67">
        <f t="shared" si="13"/>
        <v>0</v>
      </c>
      <c r="DT113" s="67">
        <f t="shared" si="13"/>
        <v>0</v>
      </c>
      <c r="DU113" s="67">
        <f t="shared" si="13"/>
        <v>0</v>
      </c>
      <c r="DV113" s="67">
        <f t="shared" si="13"/>
        <v>0</v>
      </c>
      <c r="DW113" s="67">
        <f t="shared" si="13"/>
        <v>0</v>
      </c>
      <c r="DX113" s="67">
        <f t="shared" si="13"/>
        <v>0</v>
      </c>
      <c r="DY113" s="67">
        <f t="shared" si="13"/>
        <v>0</v>
      </c>
      <c r="DZ113" s="67">
        <f t="shared" ref="DZ113:ES125" si="17">DZ61*DZ87</f>
        <v>0</v>
      </c>
      <c r="EA113" s="67">
        <f t="shared" si="17"/>
        <v>0</v>
      </c>
      <c r="EB113" s="67">
        <f t="shared" si="17"/>
        <v>0</v>
      </c>
      <c r="EC113" s="67">
        <f t="shared" si="17"/>
        <v>0</v>
      </c>
      <c r="ED113" s="67">
        <f t="shared" si="17"/>
        <v>0</v>
      </c>
      <c r="EE113" s="67">
        <f t="shared" si="17"/>
        <v>0</v>
      </c>
      <c r="EF113" s="67">
        <f t="shared" si="17"/>
        <v>0</v>
      </c>
      <c r="EG113" s="67">
        <f t="shared" si="17"/>
        <v>0</v>
      </c>
      <c r="EH113" s="67">
        <f t="shared" si="17"/>
        <v>0</v>
      </c>
      <c r="EI113" s="67">
        <f t="shared" si="17"/>
        <v>0</v>
      </c>
      <c r="EJ113" s="67">
        <f t="shared" si="17"/>
        <v>0</v>
      </c>
      <c r="EK113" s="67">
        <f t="shared" si="17"/>
        <v>0</v>
      </c>
      <c r="EL113" s="67">
        <f t="shared" si="17"/>
        <v>0</v>
      </c>
      <c r="EM113" s="67">
        <f t="shared" si="17"/>
        <v>0</v>
      </c>
      <c r="EN113" s="67">
        <f t="shared" si="17"/>
        <v>0</v>
      </c>
      <c r="EO113" s="67">
        <f t="shared" si="17"/>
        <v>0</v>
      </c>
      <c r="EP113" s="67">
        <f t="shared" si="17"/>
        <v>0</v>
      </c>
      <c r="EQ113" s="67">
        <f t="shared" si="17"/>
        <v>0</v>
      </c>
      <c r="ER113" s="67">
        <f t="shared" si="17"/>
        <v>0</v>
      </c>
      <c r="ES113" s="67">
        <f t="shared" si="17"/>
        <v>0</v>
      </c>
      <c r="ET113" s="36">
        <f t="shared" si="16"/>
        <v>2843700.7906114603</v>
      </c>
    </row>
    <row r="114" spans="1:150" x14ac:dyDescent="0.3">
      <c r="A114" s="37" t="s">
        <v>24</v>
      </c>
      <c r="B114" s="67">
        <f t="shared" si="15"/>
        <v>0</v>
      </c>
      <c r="C114" s="67">
        <f t="shared" si="15"/>
        <v>0</v>
      </c>
      <c r="D114" s="67">
        <f t="shared" si="15"/>
        <v>0</v>
      </c>
      <c r="E114" s="67">
        <f t="shared" si="15"/>
        <v>0</v>
      </c>
      <c r="F114" s="67">
        <f t="shared" si="15"/>
        <v>0</v>
      </c>
      <c r="G114" s="67">
        <f t="shared" si="15"/>
        <v>0</v>
      </c>
      <c r="H114" s="67">
        <f t="shared" si="15"/>
        <v>0</v>
      </c>
      <c r="I114" s="67">
        <f t="shared" si="15"/>
        <v>0</v>
      </c>
      <c r="J114" s="67">
        <f t="shared" si="15"/>
        <v>0</v>
      </c>
      <c r="K114" s="67">
        <f t="shared" si="15"/>
        <v>0</v>
      </c>
      <c r="L114" s="67">
        <f t="shared" si="15"/>
        <v>0</v>
      </c>
      <c r="M114" s="67">
        <f t="shared" si="15"/>
        <v>0</v>
      </c>
      <c r="N114" s="67">
        <f t="shared" si="15"/>
        <v>0</v>
      </c>
      <c r="O114" s="67">
        <f t="shared" si="15"/>
        <v>0</v>
      </c>
      <c r="P114" s="67">
        <f t="shared" si="15"/>
        <v>0</v>
      </c>
      <c r="Q114" s="67">
        <f t="shared" si="15"/>
        <v>0</v>
      </c>
      <c r="R114" s="67">
        <f t="shared" si="15"/>
        <v>0</v>
      </c>
      <c r="S114" s="67">
        <f t="shared" si="15"/>
        <v>0</v>
      </c>
      <c r="T114" s="67">
        <f t="shared" si="15"/>
        <v>0</v>
      </c>
      <c r="U114" s="67">
        <f t="shared" si="15"/>
        <v>0</v>
      </c>
      <c r="V114" s="67">
        <f t="shared" si="15"/>
        <v>0</v>
      </c>
      <c r="W114" s="67">
        <f t="shared" si="15"/>
        <v>0</v>
      </c>
      <c r="X114" s="67">
        <f t="shared" si="15"/>
        <v>0</v>
      </c>
      <c r="Y114" s="67">
        <f t="shared" si="15"/>
        <v>0</v>
      </c>
      <c r="Z114" s="67">
        <f t="shared" si="15"/>
        <v>0</v>
      </c>
      <c r="AA114" s="67">
        <f t="shared" si="15"/>
        <v>0</v>
      </c>
      <c r="AB114" s="67">
        <f t="shared" si="15"/>
        <v>0</v>
      </c>
      <c r="AC114" s="67">
        <f t="shared" si="15"/>
        <v>0</v>
      </c>
      <c r="AD114" s="67">
        <f t="shared" si="15"/>
        <v>216862.70119692941</v>
      </c>
      <c r="AE114" s="67">
        <f t="shared" si="15"/>
        <v>0</v>
      </c>
      <c r="AF114" s="67">
        <f t="shared" si="15"/>
        <v>0</v>
      </c>
      <c r="AG114" s="67">
        <f t="shared" si="15"/>
        <v>0</v>
      </c>
      <c r="AH114" s="67">
        <f t="shared" si="15"/>
        <v>0</v>
      </c>
      <c r="AI114" s="67">
        <f t="shared" si="15"/>
        <v>0</v>
      </c>
      <c r="AJ114" s="67">
        <f t="shared" si="15"/>
        <v>0</v>
      </c>
      <c r="AK114" s="67">
        <f t="shared" si="15"/>
        <v>0</v>
      </c>
      <c r="AL114" s="67">
        <f t="shared" si="15"/>
        <v>0</v>
      </c>
      <c r="AM114" s="67">
        <f t="shared" si="15"/>
        <v>0</v>
      </c>
      <c r="AN114" s="67">
        <f t="shared" si="15"/>
        <v>0</v>
      </c>
      <c r="AO114" s="67">
        <f t="shared" si="15"/>
        <v>0</v>
      </c>
      <c r="AP114" s="67">
        <f t="shared" si="15"/>
        <v>0</v>
      </c>
      <c r="AQ114" s="67">
        <f t="shared" si="15"/>
        <v>0</v>
      </c>
      <c r="AR114" s="67">
        <f t="shared" si="15"/>
        <v>0</v>
      </c>
      <c r="AS114" s="67">
        <f t="shared" si="15"/>
        <v>335830.28170568979</v>
      </c>
      <c r="AT114" s="67">
        <f t="shared" si="15"/>
        <v>0</v>
      </c>
      <c r="AU114" s="67">
        <f t="shared" si="15"/>
        <v>0</v>
      </c>
      <c r="AV114" s="67">
        <f t="shared" si="15"/>
        <v>0</v>
      </c>
      <c r="AW114" s="67">
        <f t="shared" si="15"/>
        <v>0</v>
      </c>
      <c r="AX114" s="67">
        <f t="shared" si="15"/>
        <v>0</v>
      </c>
      <c r="AY114" s="67">
        <f t="shared" si="15"/>
        <v>0</v>
      </c>
      <c r="AZ114" s="67">
        <f t="shared" si="15"/>
        <v>0</v>
      </c>
      <c r="BA114" s="67">
        <f t="shared" si="15"/>
        <v>0</v>
      </c>
      <c r="BB114" s="67">
        <f t="shared" si="15"/>
        <v>0</v>
      </c>
      <c r="BC114" s="67">
        <f t="shared" si="15"/>
        <v>0</v>
      </c>
      <c r="BD114" s="67">
        <f t="shared" si="15"/>
        <v>0</v>
      </c>
      <c r="BE114" s="67">
        <f t="shared" si="15"/>
        <v>0</v>
      </c>
      <c r="BF114" s="67">
        <f t="shared" si="15"/>
        <v>0</v>
      </c>
      <c r="BG114" s="67">
        <f t="shared" si="15"/>
        <v>0</v>
      </c>
      <c r="BH114" s="67">
        <f t="shared" si="15"/>
        <v>0</v>
      </c>
      <c r="BI114" s="67">
        <f t="shared" si="15"/>
        <v>0</v>
      </c>
      <c r="BJ114" s="67">
        <f t="shared" si="15"/>
        <v>0</v>
      </c>
      <c r="BK114" s="67">
        <f t="shared" si="15"/>
        <v>0</v>
      </c>
      <c r="BL114" s="67">
        <f t="shared" si="15"/>
        <v>0</v>
      </c>
      <c r="BM114" s="67">
        <f t="shared" ref="BM114" si="18">BM62*BM88</f>
        <v>0</v>
      </c>
      <c r="BN114" s="67">
        <f t="shared" si="12"/>
        <v>0</v>
      </c>
      <c r="BO114" s="67">
        <f t="shared" ref="BO114:DY118" si="19">BO62*BO88</f>
        <v>0</v>
      </c>
      <c r="BP114" s="67">
        <f t="shared" si="19"/>
        <v>0</v>
      </c>
      <c r="BQ114" s="67">
        <f t="shared" si="19"/>
        <v>0</v>
      </c>
      <c r="BR114" s="67">
        <f t="shared" si="19"/>
        <v>0</v>
      </c>
      <c r="BS114" s="67">
        <f t="shared" si="19"/>
        <v>0</v>
      </c>
      <c r="BT114" s="67">
        <f t="shared" si="19"/>
        <v>0</v>
      </c>
      <c r="BU114" s="67">
        <f t="shared" si="19"/>
        <v>0</v>
      </c>
      <c r="BV114" s="67">
        <f t="shared" si="19"/>
        <v>0</v>
      </c>
      <c r="BW114" s="67">
        <f t="shared" si="19"/>
        <v>0</v>
      </c>
      <c r="BX114" s="67">
        <f t="shared" si="19"/>
        <v>0</v>
      </c>
      <c r="BY114" s="67">
        <f t="shared" si="19"/>
        <v>0</v>
      </c>
      <c r="BZ114" s="67">
        <f t="shared" si="19"/>
        <v>259958.44484000446</v>
      </c>
      <c r="CA114" s="67">
        <f t="shared" si="19"/>
        <v>0</v>
      </c>
      <c r="CB114" s="67">
        <f t="shared" si="19"/>
        <v>0</v>
      </c>
      <c r="CC114" s="67">
        <f t="shared" si="19"/>
        <v>0</v>
      </c>
      <c r="CD114" s="67">
        <f t="shared" si="19"/>
        <v>0</v>
      </c>
      <c r="CE114" s="67">
        <f t="shared" si="19"/>
        <v>0</v>
      </c>
      <c r="CF114" s="67">
        <f t="shared" si="19"/>
        <v>0</v>
      </c>
      <c r="CG114" s="67">
        <f t="shared" si="19"/>
        <v>0</v>
      </c>
      <c r="CH114" s="67">
        <f t="shared" si="19"/>
        <v>208582.94781341986</v>
      </c>
      <c r="CI114" s="67">
        <f t="shared" si="19"/>
        <v>0</v>
      </c>
      <c r="CJ114" s="67">
        <f t="shared" si="19"/>
        <v>0</v>
      </c>
      <c r="CK114" s="67">
        <f t="shared" si="19"/>
        <v>0</v>
      </c>
      <c r="CL114" s="67">
        <f t="shared" si="19"/>
        <v>0</v>
      </c>
      <c r="CM114" s="67">
        <f t="shared" si="19"/>
        <v>0</v>
      </c>
      <c r="CN114" s="67">
        <f t="shared" si="19"/>
        <v>0</v>
      </c>
      <c r="CO114" s="67">
        <f t="shared" si="19"/>
        <v>0</v>
      </c>
      <c r="CP114" s="67">
        <f t="shared" si="19"/>
        <v>0</v>
      </c>
      <c r="CQ114" s="67">
        <f t="shared" si="19"/>
        <v>0</v>
      </c>
      <c r="CR114" s="67">
        <f t="shared" si="19"/>
        <v>0</v>
      </c>
      <c r="CS114" s="67">
        <f t="shared" si="19"/>
        <v>0</v>
      </c>
      <c r="CT114" s="67">
        <f t="shared" si="19"/>
        <v>0</v>
      </c>
      <c r="CU114" s="67">
        <f t="shared" si="19"/>
        <v>0</v>
      </c>
      <c r="CV114" s="67">
        <f t="shared" si="19"/>
        <v>0</v>
      </c>
      <c r="CW114" s="67">
        <f t="shared" si="19"/>
        <v>0</v>
      </c>
      <c r="CX114" s="67">
        <f t="shared" si="19"/>
        <v>0</v>
      </c>
      <c r="CY114" s="67">
        <f t="shared" si="19"/>
        <v>0</v>
      </c>
      <c r="CZ114" s="67">
        <f t="shared" si="19"/>
        <v>0</v>
      </c>
      <c r="DA114" s="67">
        <f t="shared" si="19"/>
        <v>0</v>
      </c>
      <c r="DB114" s="67">
        <f t="shared" si="19"/>
        <v>0</v>
      </c>
      <c r="DC114" s="67">
        <f t="shared" si="19"/>
        <v>0</v>
      </c>
      <c r="DD114" s="67">
        <f t="shared" si="19"/>
        <v>0</v>
      </c>
      <c r="DE114" s="67">
        <f t="shared" si="19"/>
        <v>0</v>
      </c>
      <c r="DF114" s="67">
        <f t="shared" si="19"/>
        <v>0</v>
      </c>
      <c r="DG114" s="67">
        <f t="shared" si="19"/>
        <v>0</v>
      </c>
      <c r="DH114" s="67">
        <f t="shared" si="19"/>
        <v>0</v>
      </c>
      <c r="DI114" s="67">
        <f t="shared" si="19"/>
        <v>0</v>
      </c>
      <c r="DJ114" s="67">
        <f t="shared" si="19"/>
        <v>0</v>
      </c>
      <c r="DK114" s="67">
        <f t="shared" si="19"/>
        <v>0</v>
      </c>
      <c r="DL114" s="67">
        <f t="shared" si="19"/>
        <v>0</v>
      </c>
      <c r="DM114" s="67">
        <f t="shared" si="19"/>
        <v>0</v>
      </c>
      <c r="DN114" s="67">
        <f t="shared" si="19"/>
        <v>0</v>
      </c>
      <c r="DO114" s="67">
        <f t="shared" si="19"/>
        <v>0</v>
      </c>
      <c r="DP114" s="67">
        <f t="shared" si="19"/>
        <v>0</v>
      </c>
      <c r="DQ114" s="67">
        <f t="shared" si="19"/>
        <v>0</v>
      </c>
      <c r="DR114" s="67">
        <f t="shared" si="19"/>
        <v>0</v>
      </c>
      <c r="DS114" s="67">
        <f t="shared" si="19"/>
        <v>0</v>
      </c>
      <c r="DT114" s="67">
        <f t="shared" si="19"/>
        <v>0</v>
      </c>
      <c r="DU114" s="67">
        <f t="shared" si="19"/>
        <v>0</v>
      </c>
      <c r="DV114" s="67">
        <f t="shared" si="19"/>
        <v>0</v>
      </c>
      <c r="DW114" s="67">
        <f t="shared" si="19"/>
        <v>0</v>
      </c>
      <c r="DX114" s="67">
        <f t="shared" si="19"/>
        <v>0</v>
      </c>
      <c r="DY114" s="67">
        <f t="shared" si="19"/>
        <v>0</v>
      </c>
      <c r="DZ114" s="67">
        <f t="shared" si="17"/>
        <v>0</v>
      </c>
      <c r="EA114" s="67">
        <f t="shared" si="17"/>
        <v>0</v>
      </c>
      <c r="EB114" s="67">
        <f t="shared" si="17"/>
        <v>0</v>
      </c>
      <c r="EC114" s="67">
        <f t="shared" si="17"/>
        <v>0</v>
      </c>
      <c r="ED114" s="67">
        <f t="shared" si="17"/>
        <v>0</v>
      </c>
      <c r="EE114" s="67">
        <f t="shared" si="17"/>
        <v>0</v>
      </c>
      <c r="EF114" s="67">
        <f t="shared" si="17"/>
        <v>0</v>
      </c>
      <c r="EG114" s="67">
        <f t="shared" si="17"/>
        <v>0</v>
      </c>
      <c r="EH114" s="67">
        <f t="shared" si="17"/>
        <v>0</v>
      </c>
      <c r="EI114" s="67">
        <f t="shared" si="17"/>
        <v>0</v>
      </c>
      <c r="EJ114" s="67">
        <f t="shared" si="17"/>
        <v>0</v>
      </c>
      <c r="EK114" s="67">
        <f t="shared" si="17"/>
        <v>0</v>
      </c>
      <c r="EL114" s="67">
        <f t="shared" si="17"/>
        <v>105666.13387003083</v>
      </c>
      <c r="EM114" s="67">
        <f t="shared" si="17"/>
        <v>136150.17786699004</v>
      </c>
      <c r="EN114" s="67">
        <f t="shared" si="17"/>
        <v>0</v>
      </c>
      <c r="EO114" s="67">
        <f t="shared" si="17"/>
        <v>0</v>
      </c>
      <c r="EP114" s="67">
        <f t="shared" si="17"/>
        <v>0</v>
      </c>
      <c r="EQ114" s="67">
        <f t="shared" si="17"/>
        <v>0</v>
      </c>
      <c r="ER114" s="67">
        <f t="shared" si="17"/>
        <v>0</v>
      </c>
      <c r="ES114" s="67">
        <f t="shared" si="17"/>
        <v>0</v>
      </c>
      <c r="ET114" s="36">
        <f t="shared" si="16"/>
        <v>1263050.6872930643</v>
      </c>
    </row>
    <row r="115" spans="1:150" x14ac:dyDescent="0.3">
      <c r="A115" s="37" t="s">
        <v>21</v>
      </c>
      <c r="B115" s="67">
        <f t="shared" ref="B115:BM118" si="20">B63*B89</f>
        <v>0</v>
      </c>
      <c r="C115" s="67">
        <f t="shared" si="20"/>
        <v>0</v>
      </c>
      <c r="D115" s="67">
        <f t="shared" si="20"/>
        <v>0</v>
      </c>
      <c r="E115" s="67">
        <f t="shared" si="20"/>
        <v>0</v>
      </c>
      <c r="F115" s="67">
        <f t="shared" si="20"/>
        <v>0</v>
      </c>
      <c r="G115" s="67">
        <f t="shared" si="20"/>
        <v>0</v>
      </c>
      <c r="H115" s="67">
        <f t="shared" si="20"/>
        <v>0</v>
      </c>
      <c r="I115" s="67">
        <f t="shared" si="20"/>
        <v>0</v>
      </c>
      <c r="J115" s="67">
        <f t="shared" si="20"/>
        <v>0</v>
      </c>
      <c r="K115" s="67">
        <f t="shared" si="20"/>
        <v>0</v>
      </c>
      <c r="L115" s="67">
        <f t="shared" si="20"/>
        <v>0</v>
      </c>
      <c r="M115" s="67">
        <f t="shared" si="20"/>
        <v>0</v>
      </c>
      <c r="N115" s="67">
        <f t="shared" si="20"/>
        <v>0</v>
      </c>
      <c r="O115" s="67">
        <f t="shared" si="20"/>
        <v>0</v>
      </c>
      <c r="P115" s="67">
        <f t="shared" si="20"/>
        <v>0</v>
      </c>
      <c r="Q115" s="67">
        <f t="shared" si="20"/>
        <v>0</v>
      </c>
      <c r="R115" s="67">
        <f t="shared" si="20"/>
        <v>0</v>
      </c>
      <c r="S115" s="67">
        <f t="shared" si="20"/>
        <v>0</v>
      </c>
      <c r="T115" s="67">
        <f t="shared" si="20"/>
        <v>0</v>
      </c>
      <c r="U115" s="67">
        <f t="shared" si="20"/>
        <v>301000.83811503788</v>
      </c>
      <c r="V115" s="67">
        <f t="shared" si="20"/>
        <v>0</v>
      </c>
      <c r="W115" s="67">
        <f t="shared" si="20"/>
        <v>0</v>
      </c>
      <c r="X115" s="67">
        <f t="shared" si="20"/>
        <v>0</v>
      </c>
      <c r="Y115" s="67">
        <f t="shared" si="20"/>
        <v>0</v>
      </c>
      <c r="Z115" s="67">
        <f t="shared" si="20"/>
        <v>0</v>
      </c>
      <c r="AA115" s="67">
        <f t="shared" si="20"/>
        <v>0</v>
      </c>
      <c r="AB115" s="67">
        <f t="shared" si="20"/>
        <v>0</v>
      </c>
      <c r="AC115" s="67">
        <f t="shared" si="20"/>
        <v>0</v>
      </c>
      <c r="AD115" s="67">
        <f t="shared" si="20"/>
        <v>0</v>
      </c>
      <c r="AE115" s="67">
        <f t="shared" si="20"/>
        <v>0</v>
      </c>
      <c r="AF115" s="67">
        <f t="shared" si="20"/>
        <v>0</v>
      </c>
      <c r="AG115" s="67">
        <f t="shared" si="20"/>
        <v>0</v>
      </c>
      <c r="AH115" s="67">
        <f t="shared" si="20"/>
        <v>0</v>
      </c>
      <c r="AI115" s="67">
        <f t="shared" si="20"/>
        <v>198133.56902179582</v>
      </c>
      <c r="AJ115" s="67">
        <f t="shared" si="20"/>
        <v>572677.28175204701</v>
      </c>
      <c r="AK115" s="67">
        <f t="shared" si="20"/>
        <v>152959.65928782613</v>
      </c>
      <c r="AL115" s="67">
        <f t="shared" si="20"/>
        <v>0</v>
      </c>
      <c r="AM115" s="67">
        <f t="shared" si="20"/>
        <v>0</v>
      </c>
      <c r="AN115" s="67">
        <f t="shared" si="20"/>
        <v>0</v>
      </c>
      <c r="AO115" s="67">
        <f t="shared" si="20"/>
        <v>0</v>
      </c>
      <c r="AP115" s="67">
        <f t="shared" si="20"/>
        <v>0</v>
      </c>
      <c r="AQ115" s="67">
        <f t="shared" si="20"/>
        <v>0</v>
      </c>
      <c r="AR115" s="67">
        <f t="shared" si="20"/>
        <v>0</v>
      </c>
      <c r="AS115" s="67">
        <f t="shared" si="20"/>
        <v>0</v>
      </c>
      <c r="AT115" s="67">
        <f t="shared" si="20"/>
        <v>74342.786856973107</v>
      </c>
      <c r="AU115" s="67">
        <f t="shared" si="20"/>
        <v>0</v>
      </c>
      <c r="AV115" s="67">
        <f t="shared" si="20"/>
        <v>0</v>
      </c>
      <c r="AW115" s="67">
        <f t="shared" si="20"/>
        <v>0</v>
      </c>
      <c r="AX115" s="67">
        <f t="shared" si="20"/>
        <v>0</v>
      </c>
      <c r="AY115" s="67">
        <f t="shared" si="20"/>
        <v>0</v>
      </c>
      <c r="AZ115" s="67">
        <f t="shared" si="20"/>
        <v>0</v>
      </c>
      <c r="BA115" s="67">
        <f t="shared" si="20"/>
        <v>0</v>
      </c>
      <c r="BB115" s="67">
        <f t="shared" si="20"/>
        <v>0</v>
      </c>
      <c r="BC115" s="67">
        <f t="shared" si="20"/>
        <v>0</v>
      </c>
      <c r="BD115" s="67">
        <f t="shared" si="20"/>
        <v>0</v>
      </c>
      <c r="BE115" s="67">
        <f t="shared" si="20"/>
        <v>0</v>
      </c>
      <c r="BF115" s="67">
        <f t="shared" si="20"/>
        <v>0</v>
      </c>
      <c r="BG115" s="67">
        <f t="shared" si="20"/>
        <v>0</v>
      </c>
      <c r="BH115" s="67">
        <f t="shared" si="20"/>
        <v>0</v>
      </c>
      <c r="BI115" s="67">
        <f t="shared" si="20"/>
        <v>0</v>
      </c>
      <c r="BJ115" s="67">
        <f t="shared" si="20"/>
        <v>0</v>
      </c>
      <c r="BK115" s="67">
        <f t="shared" si="20"/>
        <v>0</v>
      </c>
      <c r="BL115" s="67">
        <f t="shared" si="20"/>
        <v>0</v>
      </c>
      <c r="BM115" s="67">
        <f t="shared" si="20"/>
        <v>0</v>
      </c>
      <c r="BN115" s="67">
        <f t="shared" si="12"/>
        <v>0</v>
      </c>
      <c r="BO115" s="67">
        <f t="shared" si="19"/>
        <v>0</v>
      </c>
      <c r="BP115" s="67">
        <f t="shared" si="19"/>
        <v>0</v>
      </c>
      <c r="BQ115" s="67">
        <f t="shared" si="19"/>
        <v>0</v>
      </c>
      <c r="BR115" s="67">
        <f t="shared" si="19"/>
        <v>0</v>
      </c>
      <c r="BS115" s="67">
        <f t="shared" si="19"/>
        <v>0</v>
      </c>
      <c r="BT115" s="67">
        <f t="shared" si="19"/>
        <v>0</v>
      </c>
      <c r="BU115" s="67">
        <f t="shared" si="19"/>
        <v>0</v>
      </c>
      <c r="BV115" s="67">
        <f t="shared" si="19"/>
        <v>0</v>
      </c>
      <c r="BW115" s="67">
        <f t="shared" si="19"/>
        <v>0</v>
      </c>
      <c r="BX115" s="67">
        <f t="shared" si="19"/>
        <v>0</v>
      </c>
      <c r="BY115" s="67">
        <f t="shared" si="19"/>
        <v>0</v>
      </c>
      <c r="BZ115" s="67">
        <f t="shared" si="19"/>
        <v>0</v>
      </c>
      <c r="CA115" s="67">
        <f t="shared" si="19"/>
        <v>0</v>
      </c>
      <c r="CB115" s="67">
        <f t="shared" si="19"/>
        <v>0</v>
      </c>
      <c r="CC115" s="67">
        <f t="shared" si="19"/>
        <v>0</v>
      </c>
      <c r="CD115" s="67">
        <f t="shared" si="19"/>
        <v>0</v>
      </c>
      <c r="CE115" s="67">
        <f t="shared" si="19"/>
        <v>0</v>
      </c>
      <c r="CF115" s="67">
        <f t="shared" si="19"/>
        <v>0</v>
      </c>
      <c r="CG115" s="67">
        <f t="shared" si="19"/>
        <v>0</v>
      </c>
      <c r="CH115" s="67">
        <f t="shared" si="19"/>
        <v>0</v>
      </c>
      <c r="CI115" s="67">
        <f t="shared" si="19"/>
        <v>0</v>
      </c>
      <c r="CJ115" s="67">
        <f t="shared" si="19"/>
        <v>178828.38753568134</v>
      </c>
      <c r="CK115" s="67">
        <f t="shared" si="19"/>
        <v>0</v>
      </c>
      <c r="CL115" s="67">
        <f t="shared" si="19"/>
        <v>0</v>
      </c>
      <c r="CM115" s="67">
        <f t="shared" si="19"/>
        <v>0</v>
      </c>
      <c r="CN115" s="67">
        <f t="shared" si="19"/>
        <v>0</v>
      </c>
      <c r="CO115" s="67">
        <f t="shared" si="19"/>
        <v>200207.75658181802</v>
      </c>
      <c r="CP115" s="67">
        <f t="shared" si="19"/>
        <v>0</v>
      </c>
      <c r="CQ115" s="67">
        <f t="shared" si="19"/>
        <v>0</v>
      </c>
      <c r="CR115" s="67">
        <f t="shared" si="19"/>
        <v>0</v>
      </c>
      <c r="CS115" s="67">
        <f t="shared" si="19"/>
        <v>0</v>
      </c>
      <c r="CT115" s="67">
        <f t="shared" si="19"/>
        <v>0</v>
      </c>
      <c r="CU115" s="67">
        <f t="shared" si="19"/>
        <v>0</v>
      </c>
      <c r="CV115" s="67">
        <f t="shared" si="19"/>
        <v>0</v>
      </c>
      <c r="CW115" s="67">
        <f t="shared" si="19"/>
        <v>0</v>
      </c>
      <c r="CX115" s="67">
        <f t="shared" si="19"/>
        <v>0</v>
      </c>
      <c r="CY115" s="67">
        <f t="shared" si="19"/>
        <v>0</v>
      </c>
      <c r="CZ115" s="67">
        <f t="shared" si="19"/>
        <v>0</v>
      </c>
      <c r="DA115" s="67">
        <f t="shared" si="19"/>
        <v>69969.370897911111</v>
      </c>
      <c r="DB115" s="67">
        <f t="shared" si="19"/>
        <v>0</v>
      </c>
      <c r="DC115" s="67">
        <f t="shared" si="19"/>
        <v>557845.48299714189</v>
      </c>
      <c r="DD115" s="67">
        <f t="shared" si="19"/>
        <v>0</v>
      </c>
      <c r="DE115" s="67">
        <f t="shared" si="19"/>
        <v>0</v>
      </c>
      <c r="DF115" s="67">
        <f t="shared" si="19"/>
        <v>0</v>
      </c>
      <c r="DG115" s="67">
        <f t="shared" si="19"/>
        <v>0</v>
      </c>
      <c r="DH115" s="67">
        <f t="shared" si="19"/>
        <v>0</v>
      </c>
      <c r="DI115" s="67">
        <f t="shared" si="19"/>
        <v>0</v>
      </c>
      <c r="DJ115" s="67">
        <f t="shared" si="19"/>
        <v>0</v>
      </c>
      <c r="DK115" s="67">
        <f t="shared" si="19"/>
        <v>0</v>
      </c>
      <c r="DL115" s="67">
        <f t="shared" si="19"/>
        <v>0</v>
      </c>
      <c r="DM115" s="67">
        <f t="shared" si="19"/>
        <v>0</v>
      </c>
      <c r="DN115" s="67">
        <f t="shared" si="19"/>
        <v>0</v>
      </c>
      <c r="DO115" s="67">
        <f t="shared" si="19"/>
        <v>0</v>
      </c>
      <c r="DP115" s="67">
        <f t="shared" si="19"/>
        <v>0</v>
      </c>
      <c r="DQ115" s="67">
        <f t="shared" si="19"/>
        <v>0</v>
      </c>
      <c r="DR115" s="67">
        <f t="shared" si="19"/>
        <v>0</v>
      </c>
      <c r="DS115" s="67">
        <f t="shared" si="19"/>
        <v>0</v>
      </c>
      <c r="DT115" s="67">
        <f t="shared" si="19"/>
        <v>0</v>
      </c>
      <c r="DU115" s="67">
        <f t="shared" si="19"/>
        <v>41341.043804515073</v>
      </c>
      <c r="DV115" s="67">
        <f t="shared" si="19"/>
        <v>0</v>
      </c>
      <c r="DW115" s="67">
        <f t="shared" si="19"/>
        <v>0</v>
      </c>
      <c r="DX115" s="67">
        <f t="shared" si="19"/>
        <v>0</v>
      </c>
      <c r="DY115" s="67">
        <f t="shared" si="19"/>
        <v>0</v>
      </c>
      <c r="DZ115" s="67">
        <f t="shared" si="17"/>
        <v>0</v>
      </c>
      <c r="EA115" s="67">
        <f t="shared" si="17"/>
        <v>109247.02187772546</v>
      </c>
      <c r="EB115" s="67">
        <f t="shared" si="17"/>
        <v>0</v>
      </c>
      <c r="EC115" s="67">
        <f t="shared" si="17"/>
        <v>0</v>
      </c>
      <c r="ED115" s="67">
        <f t="shared" si="17"/>
        <v>0</v>
      </c>
      <c r="EE115" s="67">
        <f t="shared" si="17"/>
        <v>0</v>
      </c>
      <c r="EF115" s="67">
        <f t="shared" si="17"/>
        <v>0</v>
      </c>
      <c r="EG115" s="67">
        <f t="shared" si="17"/>
        <v>0</v>
      </c>
      <c r="EH115" s="67">
        <f t="shared" si="17"/>
        <v>0</v>
      </c>
      <c r="EI115" s="67">
        <f t="shared" si="17"/>
        <v>0</v>
      </c>
      <c r="EJ115" s="67">
        <f t="shared" si="17"/>
        <v>0</v>
      </c>
      <c r="EK115" s="67">
        <f t="shared" si="17"/>
        <v>81264.126393751067</v>
      </c>
      <c r="EL115" s="67">
        <f t="shared" si="17"/>
        <v>0</v>
      </c>
      <c r="EM115" s="67">
        <f t="shared" si="17"/>
        <v>0</v>
      </c>
      <c r="EN115" s="67">
        <f t="shared" si="17"/>
        <v>0</v>
      </c>
      <c r="EO115" s="67">
        <f t="shared" si="17"/>
        <v>0</v>
      </c>
      <c r="EP115" s="67">
        <f t="shared" si="17"/>
        <v>0</v>
      </c>
      <c r="EQ115" s="67">
        <f t="shared" si="17"/>
        <v>105295.39122063914</v>
      </c>
      <c r="ER115" s="67">
        <f t="shared" si="17"/>
        <v>0</v>
      </c>
      <c r="ES115" s="67">
        <f t="shared" si="17"/>
        <v>100016.56668315205</v>
      </c>
      <c r="ET115" s="36">
        <f t="shared" si="16"/>
        <v>2743129.2830260154</v>
      </c>
    </row>
    <row r="116" spans="1:150" x14ac:dyDescent="0.3">
      <c r="A116" s="37" t="s">
        <v>5</v>
      </c>
      <c r="B116" s="67">
        <f t="shared" si="20"/>
        <v>0</v>
      </c>
      <c r="C116" s="67">
        <f t="shared" si="20"/>
        <v>0</v>
      </c>
      <c r="D116" s="67">
        <f t="shared" si="20"/>
        <v>0</v>
      </c>
      <c r="E116" s="67">
        <f t="shared" si="20"/>
        <v>0</v>
      </c>
      <c r="F116" s="67">
        <f t="shared" si="20"/>
        <v>0</v>
      </c>
      <c r="G116" s="67">
        <f t="shared" si="20"/>
        <v>0</v>
      </c>
      <c r="H116" s="67">
        <f t="shared" si="20"/>
        <v>0</v>
      </c>
      <c r="I116" s="67">
        <f t="shared" si="20"/>
        <v>0</v>
      </c>
      <c r="J116" s="67">
        <f t="shared" si="20"/>
        <v>0</v>
      </c>
      <c r="K116" s="67">
        <f t="shared" si="20"/>
        <v>0</v>
      </c>
      <c r="L116" s="67">
        <f t="shared" si="20"/>
        <v>420654.78573204344</v>
      </c>
      <c r="M116" s="67">
        <f t="shared" si="20"/>
        <v>0</v>
      </c>
      <c r="N116" s="67">
        <f t="shared" si="20"/>
        <v>0</v>
      </c>
      <c r="O116" s="67">
        <f t="shared" si="20"/>
        <v>0</v>
      </c>
      <c r="P116" s="67">
        <f t="shared" si="20"/>
        <v>0</v>
      </c>
      <c r="Q116" s="67">
        <f t="shared" si="20"/>
        <v>0</v>
      </c>
      <c r="R116" s="67">
        <f t="shared" si="20"/>
        <v>0</v>
      </c>
      <c r="S116" s="67">
        <f t="shared" si="20"/>
        <v>0</v>
      </c>
      <c r="T116" s="67">
        <f t="shared" si="20"/>
        <v>0</v>
      </c>
      <c r="U116" s="67">
        <f t="shared" si="20"/>
        <v>0</v>
      </c>
      <c r="V116" s="67">
        <f t="shared" si="20"/>
        <v>0</v>
      </c>
      <c r="W116" s="67">
        <f t="shared" si="20"/>
        <v>0</v>
      </c>
      <c r="X116" s="67">
        <f t="shared" si="20"/>
        <v>0</v>
      </c>
      <c r="Y116" s="67">
        <f t="shared" si="20"/>
        <v>0</v>
      </c>
      <c r="Z116" s="67">
        <f t="shared" si="20"/>
        <v>57928.458888343688</v>
      </c>
      <c r="AA116" s="67">
        <f t="shared" si="20"/>
        <v>0</v>
      </c>
      <c r="AB116" s="67">
        <f t="shared" si="20"/>
        <v>0</v>
      </c>
      <c r="AC116" s="67">
        <f t="shared" si="20"/>
        <v>0</v>
      </c>
      <c r="AD116" s="67">
        <f t="shared" si="20"/>
        <v>0</v>
      </c>
      <c r="AE116" s="67">
        <f t="shared" si="20"/>
        <v>0</v>
      </c>
      <c r="AF116" s="67">
        <f t="shared" si="20"/>
        <v>0</v>
      </c>
      <c r="AG116" s="67">
        <f t="shared" si="20"/>
        <v>0</v>
      </c>
      <c r="AH116" s="67">
        <f t="shared" si="20"/>
        <v>0</v>
      </c>
      <c r="AI116" s="67">
        <f t="shared" si="20"/>
        <v>0</v>
      </c>
      <c r="AJ116" s="67">
        <f t="shared" si="20"/>
        <v>0</v>
      </c>
      <c r="AK116" s="67">
        <f t="shared" si="20"/>
        <v>0</v>
      </c>
      <c r="AL116" s="67">
        <f t="shared" si="20"/>
        <v>219077.61528162137</v>
      </c>
      <c r="AM116" s="67">
        <f t="shared" si="20"/>
        <v>0</v>
      </c>
      <c r="AN116" s="67">
        <f t="shared" si="20"/>
        <v>0</v>
      </c>
      <c r="AO116" s="67">
        <f t="shared" si="20"/>
        <v>0</v>
      </c>
      <c r="AP116" s="67">
        <f t="shared" si="20"/>
        <v>0</v>
      </c>
      <c r="AQ116" s="67">
        <f t="shared" si="20"/>
        <v>0</v>
      </c>
      <c r="AR116" s="67">
        <f t="shared" si="20"/>
        <v>0</v>
      </c>
      <c r="AS116" s="67">
        <f t="shared" si="20"/>
        <v>0</v>
      </c>
      <c r="AT116" s="67">
        <f t="shared" si="20"/>
        <v>0</v>
      </c>
      <c r="AU116" s="67">
        <f t="shared" si="20"/>
        <v>0</v>
      </c>
      <c r="AV116" s="67">
        <f t="shared" si="20"/>
        <v>0</v>
      </c>
      <c r="AW116" s="67">
        <f t="shared" si="20"/>
        <v>0</v>
      </c>
      <c r="AX116" s="67">
        <f t="shared" si="20"/>
        <v>0</v>
      </c>
      <c r="AY116" s="67">
        <f t="shared" si="20"/>
        <v>0</v>
      </c>
      <c r="AZ116" s="67">
        <f t="shared" si="20"/>
        <v>0</v>
      </c>
      <c r="BA116" s="67">
        <f t="shared" si="20"/>
        <v>0</v>
      </c>
      <c r="BB116" s="67">
        <f t="shared" si="20"/>
        <v>0</v>
      </c>
      <c r="BC116" s="67">
        <f t="shared" si="20"/>
        <v>0</v>
      </c>
      <c r="BD116" s="67">
        <f t="shared" si="20"/>
        <v>0</v>
      </c>
      <c r="BE116" s="67">
        <f t="shared" si="20"/>
        <v>0</v>
      </c>
      <c r="BF116" s="67">
        <f t="shared" si="20"/>
        <v>0</v>
      </c>
      <c r="BG116" s="67">
        <f t="shared" si="20"/>
        <v>0</v>
      </c>
      <c r="BH116" s="67">
        <f t="shared" si="20"/>
        <v>0</v>
      </c>
      <c r="BI116" s="67">
        <f t="shared" si="20"/>
        <v>0</v>
      </c>
      <c r="BJ116" s="67">
        <f t="shared" si="20"/>
        <v>0</v>
      </c>
      <c r="BK116" s="67">
        <f t="shared" si="20"/>
        <v>0</v>
      </c>
      <c r="BL116" s="67">
        <f t="shared" si="20"/>
        <v>0</v>
      </c>
      <c r="BM116" s="67">
        <f t="shared" si="20"/>
        <v>0</v>
      </c>
      <c r="BN116" s="67">
        <f t="shared" si="12"/>
        <v>0</v>
      </c>
      <c r="BO116" s="67">
        <f t="shared" si="19"/>
        <v>0</v>
      </c>
      <c r="BP116" s="67">
        <f t="shared" si="19"/>
        <v>0</v>
      </c>
      <c r="BQ116" s="67">
        <f t="shared" si="19"/>
        <v>0</v>
      </c>
      <c r="BR116" s="67">
        <f t="shared" si="19"/>
        <v>0</v>
      </c>
      <c r="BS116" s="67">
        <f t="shared" si="19"/>
        <v>0</v>
      </c>
      <c r="BT116" s="67">
        <f t="shared" si="19"/>
        <v>0</v>
      </c>
      <c r="BU116" s="67">
        <f t="shared" si="19"/>
        <v>0</v>
      </c>
      <c r="BV116" s="67">
        <f t="shared" si="19"/>
        <v>0</v>
      </c>
      <c r="BW116" s="67">
        <f t="shared" si="19"/>
        <v>0</v>
      </c>
      <c r="BX116" s="67">
        <f t="shared" si="19"/>
        <v>0</v>
      </c>
      <c r="BY116" s="67">
        <f t="shared" si="19"/>
        <v>0</v>
      </c>
      <c r="BZ116" s="67">
        <f t="shared" si="19"/>
        <v>0</v>
      </c>
      <c r="CA116" s="67">
        <f t="shared" si="19"/>
        <v>0</v>
      </c>
      <c r="CB116" s="67">
        <f t="shared" si="19"/>
        <v>0</v>
      </c>
      <c r="CC116" s="67">
        <f t="shared" si="19"/>
        <v>0</v>
      </c>
      <c r="CD116" s="67">
        <f t="shared" si="19"/>
        <v>0</v>
      </c>
      <c r="CE116" s="67">
        <f t="shared" si="19"/>
        <v>0</v>
      </c>
      <c r="CF116" s="67">
        <f t="shared" si="19"/>
        <v>305364.67507939768</v>
      </c>
      <c r="CG116" s="67">
        <f t="shared" si="19"/>
        <v>0</v>
      </c>
      <c r="CH116" s="67">
        <f t="shared" si="19"/>
        <v>0</v>
      </c>
      <c r="CI116" s="67">
        <f t="shared" si="19"/>
        <v>0</v>
      </c>
      <c r="CJ116" s="67">
        <f t="shared" si="19"/>
        <v>0</v>
      </c>
      <c r="CK116" s="67">
        <f t="shared" si="19"/>
        <v>0</v>
      </c>
      <c r="CL116" s="67">
        <f t="shared" si="19"/>
        <v>0</v>
      </c>
      <c r="CM116" s="67">
        <f t="shared" si="19"/>
        <v>0</v>
      </c>
      <c r="CN116" s="67">
        <f t="shared" si="19"/>
        <v>0</v>
      </c>
      <c r="CO116" s="67">
        <f t="shared" si="19"/>
        <v>0</v>
      </c>
      <c r="CP116" s="67">
        <f t="shared" si="19"/>
        <v>0</v>
      </c>
      <c r="CQ116" s="67">
        <f t="shared" si="19"/>
        <v>0</v>
      </c>
      <c r="CR116" s="67">
        <f t="shared" si="19"/>
        <v>0</v>
      </c>
      <c r="CS116" s="67">
        <f t="shared" si="19"/>
        <v>0</v>
      </c>
      <c r="CT116" s="67">
        <f t="shared" si="19"/>
        <v>307424.32203375036</v>
      </c>
      <c r="CU116" s="67">
        <f t="shared" si="19"/>
        <v>0</v>
      </c>
      <c r="CV116" s="67">
        <f t="shared" si="19"/>
        <v>0</v>
      </c>
      <c r="CW116" s="67">
        <f t="shared" si="19"/>
        <v>0</v>
      </c>
      <c r="CX116" s="67">
        <f t="shared" si="19"/>
        <v>0</v>
      </c>
      <c r="CY116" s="67">
        <f t="shared" si="19"/>
        <v>0</v>
      </c>
      <c r="CZ116" s="67">
        <f t="shared" si="19"/>
        <v>0</v>
      </c>
      <c r="DA116" s="67">
        <f t="shared" si="19"/>
        <v>0</v>
      </c>
      <c r="DB116" s="67">
        <f t="shared" si="19"/>
        <v>0</v>
      </c>
      <c r="DC116" s="67">
        <f t="shared" si="19"/>
        <v>0</v>
      </c>
      <c r="DD116" s="67">
        <f t="shared" si="19"/>
        <v>0</v>
      </c>
      <c r="DE116" s="67">
        <f t="shared" si="19"/>
        <v>0</v>
      </c>
      <c r="DF116" s="67">
        <f t="shared" si="19"/>
        <v>0</v>
      </c>
      <c r="DG116" s="67">
        <f t="shared" si="19"/>
        <v>0</v>
      </c>
      <c r="DH116" s="67">
        <f t="shared" si="19"/>
        <v>0</v>
      </c>
      <c r="DI116" s="67">
        <f t="shared" si="19"/>
        <v>0</v>
      </c>
      <c r="DJ116" s="67">
        <f t="shared" si="19"/>
        <v>0</v>
      </c>
      <c r="DK116" s="67">
        <f t="shared" si="19"/>
        <v>0</v>
      </c>
      <c r="DL116" s="67">
        <f t="shared" si="19"/>
        <v>0</v>
      </c>
      <c r="DM116" s="67">
        <f t="shared" si="19"/>
        <v>0</v>
      </c>
      <c r="DN116" s="67">
        <f t="shared" si="19"/>
        <v>0</v>
      </c>
      <c r="DO116" s="67">
        <f t="shared" si="19"/>
        <v>0</v>
      </c>
      <c r="DP116" s="67">
        <f t="shared" si="19"/>
        <v>0</v>
      </c>
      <c r="DQ116" s="67">
        <f t="shared" si="19"/>
        <v>0</v>
      </c>
      <c r="DR116" s="67">
        <f t="shared" si="19"/>
        <v>0</v>
      </c>
      <c r="DS116" s="67">
        <f t="shared" si="19"/>
        <v>0</v>
      </c>
      <c r="DT116" s="67">
        <f t="shared" si="19"/>
        <v>0</v>
      </c>
      <c r="DU116" s="67">
        <f t="shared" si="19"/>
        <v>0</v>
      </c>
      <c r="DV116" s="67">
        <f t="shared" si="19"/>
        <v>0</v>
      </c>
      <c r="DW116" s="67">
        <f t="shared" si="19"/>
        <v>0</v>
      </c>
      <c r="DX116" s="67">
        <f t="shared" si="19"/>
        <v>0</v>
      </c>
      <c r="DY116" s="67">
        <f t="shared" si="19"/>
        <v>0</v>
      </c>
      <c r="DZ116" s="67">
        <f t="shared" si="17"/>
        <v>0</v>
      </c>
      <c r="EA116" s="67">
        <f t="shared" si="17"/>
        <v>0</v>
      </c>
      <c r="EB116" s="67">
        <f t="shared" si="17"/>
        <v>0</v>
      </c>
      <c r="EC116" s="67">
        <f t="shared" si="17"/>
        <v>0</v>
      </c>
      <c r="ED116" s="67">
        <f t="shared" si="17"/>
        <v>0</v>
      </c>
      <c r="EE116" s="67">
        <f t="shared" si="17"/>
        <v>0</v>
      </c>
      <c r="EF116" s="67">
        <f t="shared" si="17"/>
        <v>0</v>
      </c>
      <c r="EG116" s="67">
        <f t="shared" si="17"/>
        <v>0</v>
      </c>
      <c r="EH116" s="67">
        <f t="shared" si="17"/>
        <v>0</v>
      </c>
      <c r="EI116" s="67">
        <f t="shared" si="17"/>
        <v>0</v>
      </c>
      <c r="EJ116" s="67">
        <f t="shared" si="17"/>
        <v>0</v>
      </c>
      <c r="EK116" s="67">
        <f t="shared" si="17"/>
        <v>0</v>
      </c>
      <c r="EL116" s="67">
        <f t="shared" si="17"/>
        <v>0</v>
      </c>
      <c r="EM116" s="67">
        <f t="shared" si="17"/>
        <v>0</v>
      </c>
      <c r="EN116" s="67">
        <f t="shared" si="17"/>
        <v>0</v>
      </c>
      <c r="EO116" s="67">
        <f t="shared" si="17"/>
        <v>0</v>
      </c>
      <c r="EP116" s="67">
        <f t="shared" si="17"/>
        <v>0</v>
      </c>
      <c r="EQ116" s="67">
        <f t="shared" si="17"/>
        <v>0</v>
      </c>
      <c r="ER116" s="67">
        <f t="shared" si="17"/>
        <v>0</v>
      </c>
      <c r="ES116" s="67">
        <f t="shared" si="17"/>
        <v>0</v>
      </c>
      <c r="ET116" s="36">
        <f t="shared" si="16"/>
        <v>1310449.8570151567</v>
      </c>
    </row>
    <row r="117" spans="1:150" x14ac:dyDescent="0.3">
      <c r="A117" s="37" t="s">
        <v>16</v>
      </c>
      <c r="B117" s="67">
        <f t="shared" si="20"/>
        <v>0</v>
      </c>
      <c r="C117" s="67">
        <f t="shared" si="20"/>
        <v>0</v>
      </c>
      <c r="D117" s="67">
        <f t="shared" si="20"/>
        <v>0</v>
      </c>
      <c r="E117" s="67">
        <f t="shared" si="20"/>
        <v>0</v>
      </c>
      <c r="F117" s="67">
        <f t="shared" si="20"/>
        <v>0</v>
      </c>
      <c r="G117" s="67">
        <f t="shared" si="20"/>
        <v>0</v>
      </c>
      <c r="H117" s="67">
        <f t="shared" si="20"/>
        <v>0</v>
      </c>
      <c r="I117" s="67">
        <f t="shared" si="20"/>
        <v>0</v>
      </c>
      <c r="J117" s="67">
        <f t="shared" si="20"/>
        <v>0</v>
      </c>
      <c r="K117" s="67">
        <f t="shared" si="20"/>
        <v>0</v>
      </c>
      <c r="L117" s="67">
        <f t="shared" si="20"/>
        <v>0</v>
      </c>
      <c r="M117" s="67">
        <f t="shared" si="20"/>
        <v>0</v>
      </c>
      <c r="N117" s="67">
        <f t="shared" si="20"/>
        <v>0</v>
      </c>
      <c r="O117" s="67">
        <f t="shared" si="20"/>
        <v>0</v>
      </c>
      <c r="P117" s="67">
        <f t="shared" si="20"/>
        <v>0</v>
      </c>
      <c r="Q117" s="67">
        <f t="shared" si="20"/>
        <v>0</v>
      </c>
      <c r="R117" s="67">
        <f t="shared" si="20"/>
        <v>0</v>
      </c>
      <c r="S117" s="67">
        <f t="shared" si="20"/>
        <v>0</v>
      </c>
      <c r="T117" s="67">
        <f t="shared" si="20"/>
        <v>0</v>
      </c>
      <c r="U117" s="67">
        <f t="shared" si="20"/>
        <v>0</v>
      </c>
      <c r="V117" s="67">
        <f t="shared" si="20"/>
        <v>0</v>
      </c>
      <c r="W117" s="67">
        <f t="shared" si="20"/>
        <v>0</v>
      </c>
      <c r="X117" s="67">
        <f t="shared" si="20"/>
        <v>0</v>
      </c>
      <c r="Y117" s="67">
        <f t="shared" si="20"/>
        <v>0</v>
      </c>
      <c r="Z117" s="67">
        <f t="shared" si="20"/>
        <v>0</v>
      </c>
      <c r="AA117" s="67">
        <f t="shared" si="20"/>
        <v>0</v>
      </c>
      <c r="AB117" s="67">
        <f t="shared" si="20"/>
        <v>0</v>
      </c>
      <c r="AC117" s="67">
        <f t="shared" si="20"/>
        <v>0</v>
      </c>
      <c r="AD117" s="67">
        <f t="shared" si="20"/>
        <v>0</v>
      </c>
      <c r="AE117" s="67">
        <f t="shared" si="20"/>
        <v>0</v>
      </c>
      <c r="AF117" s="67">
        <f t="shared" si="20"/>
        <v>0</v>
      </c>
      <c r="AG117" s="67">
        <f t="shared" si="20"/>
        <v>0</v>
      </c>
      <c r="AH117" s="67">
        <f t="shared" si="20"/>
        <v>0</v>
      </c>
      <c r="AI117" s="67">
        <f t="shared" si="20"/>
        <v>0</v>
      </c>
      <c r="AJ117" s="67">
        <f t="shared" si="20"/>
        <v>0</v>
      </c>
      <c r="AK117" s="67">
        <f t="shared" si="20"/>
        <v>0</v>
      </c>
      <c r="AL117" s="67">
        <f t="shared" si="20"/>
        <v>0</v>
      </c>
      <c r="AM117" s="67">
        <f t="shared" si="20"/>
        <v>0</v>
      </c>
      <c r="AN117" s="67">
        <f t="shared" si="20"/>
        <v>0</v>
      </c>
      <c r="AO117" s="67">
        <f t="shared" si="20"/>
        <v>0</v>
      </c>
      <c r="AP117" s="67">
        <f t="shared" si="20"/>
        <v>0</v>
      </c>
      <c r="AQ117" s="67">
        <f t="shared" si="20"/>
        <v>0</v>
      </c>
      <c r="AR117" s="67">
        <f t="shared" si="20"/>
        <v>0</v>
      </c>
      <c r="AS117" s="67">
        <f t="shared" si="20"/>
        <v>0</v>
      </c>
      <c r="AT117" s="67">
        <f t="shared" si="20"/>
        <v>0</v>
      </c>
      <c r="AU117" s="67">
        <f t="shared" si="20"/>
        <v>0</v>
      </c>
      <c r="AV117" s="67">
        <f t="shared" si="20"/>
        <v>0</v>
      </c>
      <c r="AW117" s="67">
        <f t="shared" si="20"/>
        <v>0</v>
      </c>
      <c r="AX117" s="67">
        <f t="shared" si="20"/>
        <v>0</v>
      </c>
      <c r="AY117" s="67">
        <f t="shared" si="20"/>
        <v>0</v>
      </c>
      <c r="AZ117" s="67">
        <f t="shared" si="20"/>
        <v>0</v>
      </c>
      <c r="BA117" s="67">
        <f t="shared" si="20"/>
        <v>0</v>
      </c>
      <c r="BB117" s="67">
        <f t="shared" si="20"/>
        <v>0</v>
      </c>
      <c r="BC117" s="67">
        <f t="shared" si="20"/>
        <v>0</v>
      </c>
      <c r="BD117" s="67">
        <f t="shared" si="20"/>
        <v>0</v>
      </c>
      <c r="BE117" s="67">
        <f t="shared" si="20"/>
        <v>0</v>
      </c>
      <c r="BF117" s="67">
        <f t="shared" si="20"/>
        <v>0</v>
      </c>
      <c r="BG117" s="67">
        <f t="shared" si="20"/>
        <v>0</v>
      </c>
      <c r="BH117" s="67">
        <f t="shared" si="20"/>
        <v>0</v>
      </c>
      <c r="BI117" s="67">
        <f t="shared" si="20"/>
        <v>0</v>
      </c>
      <c r="BJ117" s="67">
        <f t="shared" si="20"/>
        <v>0</v>
      </c>
      <c r="BK117" s="67">
        <f t="shared" si="20"/>
        <v>0</v>
      </c>
      <c r="BL117" s="67">
        <f t="shared" si="20"/>
        <v>0</v>
      </c>
      <c r="BM117" s="67">
        <f t="shared" si="20"/>
        <v>0</v>
      </c>
      <c r="BN117" s="67">
        <f t="shared" si="12"/>
        <v>0</v>
      </c>
      <c r="BO117" s="67">
        <f t="shared" si="19"/>
        <v>0</v>
      </c>
      <c r="BP117" s="67">
        <f t="shared" si="19"/>
        <v>0</v>
      </c>
      <c r="BQ117" s="67">
        <f t="shared" si="19"/>
        <v>0</v>
      </c>
      <c r="BR117" s="67">
        <f t="shared" si="19"/>
        <v>0</v>
      </c>
      <c r="BS117" s="67">
        <f t="shared" si="19"/>
        <v>0</v>
      </c>
      <c r="BT117" s="67">
        <f t="shared" si="19"/>
        <v>0</v>
      </c>
      <c r="BU117" s="67">
        <f t="shared" si="19"/>
        <v>0</v>
      </c>
      <c r="BV117" s="67">
        <f t="shared" si="19"/>
        <v>0</v>
      </c>
      <c r="BW117" s="67">
        <f t="shared" si="19"/>
        <v>0</v>
      </c>
      <c r="BX117" s="67">
        <f t="shared" si="19"/>
        <v>0</v>
      </c>
      <c r="BY117" s="67">
        <f t="shared" si="19"/>
        <v>0</v>
      </c>
      <c r="BZ117" s="67">
        <f t="shared" si="19"/>
        <v>0</v>
      </c>
      <c r="CA117" s="67">
        <f t="shared" si="19"/>
        <v>0</v>
      </c>
      <c r="CB117" s="67">
        <f t="shared" si="19"/>
        <v>0</v>
      </c>
      <c r="CC117" s="67">
        <f t="shared" si="19"/>
        <v>0</v>
      </c>
      <c r="CD117" s="67">
        <f t="shared" si="19"/>
        <v>0</v>
      </c>
      <c r="CE117" s="67">
        <f t="shared" si="19"/>
        <v>0</v>
      </c>
      <c r="CF117" s="67">
        <f t="shared" si="19"/>
        <v>0</v>
      </c>
      <c r="CG117" s="67">
        <f t="shared" si="19"/>
        <v>0</v>
      </c>
      <c r="CH117" s="67">
        <f t="shared" si="19"/>
        <v>0</v>
      </c>
      <c r="CI117" s="67">
        <f t="shared" si="19"/>
        <v>0</v>
      </c>
      <c r="CJ117" s="67">
        <f t="shared" si="19"/>
        <v>0</v>
      </c>
      <c r="CK117" s="67">
        <f t="shared" si="19"/>
        <v>0</v>
      </c>
      <c r="CL117" s="67">
        <f t="shared" si="19"/>
        <v>0</v>
      </c>
      <c r="CM117" s="67">
        <f t="shared" si="19"/>
        <v>0</v>
      </c>
      <c r="CN117" s="67">
        <f t="shared" si="19"/>
        <v>0</v>
      </c>
      <c r="CO117" s="67">
        <f t="shared" si="19"/>
        <v>0</v>
      </c>
      <c r="CP117" s="67">
        <f t="shared" si="19"/>
        <v>0</v>
      </c>
      <c r="CQ117" s="67">
        <f t="shared" si="19"/>
        <v>0</v>
      </c>
      <c r="CR117" s="67">
        <f t="shared" si="19"/>
        <v>0</v>
      </c>
      <c r="CS117" s="67">
        <f t="shared" si="19"/>
        <v>0</v>
      </c>
      <c r="CT117" s="67">
        <f t="shared" si="19"/>
        <v>0</v>
      </c>
      <c r="CU117" s="67">
        <f t="shared" si="19"/>
        <v>0</v>
      </c>
      <c r="CV117" s="67">
        <f t="shared" si="19"/>
        <v>0</v>
      </c>
      <c r="CW117" s="67">
        <f t="shared" si="19"/>
        <v>0</v>
      </c>
      <c r="CX117" s="67">
        <f t="shared" si="19"/>
        <v>0</v>
      </c>
      <c r="CY117" s="67">
        <f t="shared" si="19"/>
        <v>0</v>
      </c>
      <c r="CZ117" s="67">
        <f t="shared" si="19"/>
        <v>0</v>
      </c>
      <c r="DA117" s="67">
        <f t="shared" si="19"/>
        <v>0</v>
      </c>
      <c r="DB117" s="67">
        <f t="shared" si="19"/>
        <v>0</v>
      </c>
      <c r="DC117" s="67">
        <f t="shared" si="19"/>
        <v>0</v>
      </c>
      <c r="DD117" s="67">
        <f t="shared" si="19"/>
        <v>0</v>
      </c>
      <c r="DE117" s="67">
        <f t="shared" si="19"/>
        <v>0</v>
      </c>
      <c r="DF117" s="67">
        <f t="shared" si="19"/>
        <v>0</v>
      </c>
      <c r="DG117" s="67">
        <f t="shared" si="19"/>
        <v>0</v>
      </c>
      <c r="DH117" s="67">
        <f t="shared" si="19"/>
        <v>0</v>
      </c>
      <c r="DI117" s="67">
        <f t="shared" si="19"/>
        <v>0</v>
      </c>
      <c r="DJ117" s="67">
        <f t="shared" si="19"/>
        <v>0</v>
      </c>
      <c r="DK117" s="67">
        <f t="shared" si="19"/>
        <v>0</v>
      </c>
      <c r="DL117" s="67">
        <f t="shared" si="19"/>
        <v>0</v>
      </c>
      <c r="DM117" s="67">
        <f t="shared" si="19"/>
        <v>0</v>
      </c>
      <c r="DN117" s="67">
        <f t="shared" si="19"/>
        <v>0</v>
      </c>
      <c r="DO117" s="67">
        <f t="shared" si="19"/>
        <v>0</v>
      </c>
      <c r="DP117" s="67">
        <f t="shared" si="19"/>
        <v>0</v>
      </c>
      <c r="DQ117" s="67">
        <f t="shared" si="19"/>
        <v>0</v>
      </c>
      <c r="DR117" s="67">
        <f t="shared" si="19"/>
        <v>0</v>
      </c>
      <c r="DS117" s="67">
        <f t="shared" si="19"/>
        <v>0</v>
      </c>
      <c r="DT117" s="67">
        <f t="shared" si="19"/>
        <v>0</v>
      </c>
      <c r="DU117" s="67">
        <f t="shared" si="19"/>
        <v>0</v>
      </c>
      <c r="DV117" s="67">
        <f t="shared" si="19"/>
        <v>0</v>
      </c>
      <c r="DW117" s="67">
        <f t="shared" si="19"/>
        <v>0</v>
      </c>
      <c r="DX117" s="67">
        <f t="shared" si="19"/>
        <v>0</v>
      </c>
      <c r="DY117" s="67">
        <f t="shared" si="19"/>
        <v>0</v>
      </c>
      <c r="DZ117" s="67">
        <f t="shared" si="17"/>
        <v>0</v>
      </c>
      <c r="EA117" s="67">
        <f t="shared" si="17"/>
        <v>0</v>
      </c>
      <c r="EB117" s="67">
        <f t="shared" si="17"/>
        <v>0</v>
      </c>
      <c r="EC117" s="67">
        <f t="shared" si="17"/>
        <v>0</v>
      </c>
      <c r="ED117" s="67">
        <f t="shared" si="17"/>
        <v>0</v>
      </c>
      <c r="EE117" s="67">
        <f t="shared" si="17"/>
        <v>0</v>
      </c>
      <c r="EF117" s="67">
        <f t="shared" si="17"/>
        <v>0</v>
      </c>
      <c r="EG117" s="67">
        <f t="shared" si="17"/>
        <v>0</v>
      </c>
      <c r="EH117" s="67">
        <f t="shared" si="17"/>
        <v>0</v>
      </c>
      <c r="EI117" s="67">
        <f t="shared" si="17"/>
        <v>0</v>
      </c>
      <c r="EJ117" s="67">
        <f t="shared" si="17"/>
        <v>0</v>
      </c>
      <c r="EK117" s="67">
        <f t="shared" si="17"/>
        <v>0</v>
      </c>
      <c r="EL117" s="67">
        <f t="shared" si="17"/>
        <v>0</v>
      </c>
      <c r="EM117" s="67">
        <f t="shared" si="17"/>
        <v>0</v>
      </c>
      <c r="EN117" s="67">
        <f t="shared" si="17"/>
        <v>0</v>
      </c>
      <c r="EO117" s="67">
        <f t="shared" si="17"/>
        <v>0</v>
      </c>
      <c r="EP117" s="67">
        <f t="shared" si="17"/>
        <v>0</v>
      </c>
      <c r="EQ117" s="67">
        <f t="shared" si="17"/>
        <v>0</v>
      </c>
      <c r="ER117" s="67">
        <f t="shared" si="17"/>
        <v>0</v>
      </c>
      <c r="ES117" s="67">
        <f t="shared" si="17"/>
        <v>0</v>
      </c>
      <c r="ET117" s="36">
        <f t="shared" si="16"/>
        <v>0</v>
      </c>
    </row>
    <row r="118" spans="1:150" x14ac:dyDescent="0.3">
      <c r="A118" s="37" t="s">
        <v>17</v>
      </c>
      <c r="B118" s="67">
        <f t="shared" si="20"/>
        <v>0</v>
      </c>
      <c r="C118" s="67">
        <f t="shared" si="20"/>
        <v>0</v>
      </c>
      <c r="D118" s="67">
        <f t="shared" si="20"/>
        <v>0</v>
      </c>
      <c r="E118" s="67">
        <f t="shared" si="20"/>
        <v>0</v>
      </c>
      <c r="F118" s="67">
        <f t="shared" si="20"/>
        <v>0</v>
      </c>
      <c r="G118" s="67">
        <f t="shared" si="20"/>
        <v>0</v>
      </c>
      <c r="H118" s="67">
        <f t="shared" si="20"/>
        <v>0</v>
      </c>
      <c r="I118" s="67">
        <f t="shared" si="20"/>
        <v>0</v>
      </c>
      <c r="J118" s="67">
        <f t="shared" si="20"/>
        <v>0</v>
      </c>
      <c r="K118" s="67">
        <f t="shared" si="20"/>
        <v>0</v>
      </c>
      <c r="L118" s="67">
        <f t="shared" si="20"/>
        <v>0</v>
      </c>
      <c r="M118" s="67">
        <f t="shared" si="20"/>
        <v>0</v>
      </c>
      <c r="N118" s="67">
        <f t="shared" si="20"/>
        <v>0</v>
      </c>
      <c r="O118" s="67">
        <f t="shared" si="20"/>
        <v>0</v>
      </c>
      <c r="P118" s="67">
        <f t="shared" si="20"/>
        <v>0</v>
      </c>
      <c r="Q118" s="67">
        <f t="shared" si="20"/>
        <v>0</v>
      </c>
      <c r="R118" s="67">
        <f t="shared" si="20"/>
        <v>0</v>
      </c>
      <c r="S118" s="67">
        <f t="shared" si="20"/>
        <v>0</v>
      </c>
      <c r="T118" s="67">
        <f t="shared" si="20"/>
        <v>0</v>
      </c>
      <c r="U118" s="67">
        <f t="shared" si="20"/>
        <v>0</v>
      </c>
      <c r="V118" s="67">
        <f t="shared" si="20"/>
        <v>0</v>
      </c>
      <c r="W118" s="67">
        <f t="shared" si="20"/>
        <v>0</v>
      </c>
      <c r="X118" s="67">
        <f t="shared" si="20"/>
        <v>0</v>
      </c>
      <c r="Y118" s="67">
        <f t="shared" si="20"/>
        <v>0</v>
      </c>
      <c r="Z118" s="67">
        <f t="shared" si="20"/>
        <v>0</v>
      </c>
      <c r="AA118" s="67">
        <f t="shared" si="20"/>
        <v>0</v>
      </c>
      <c r="AB118" s="67">
        <f t="shared" si="20"/>
        <v>0</v>
      </c>
      <c r="AC118" s="67">
        <f t="shared" si="20"/>
        <v>0</v>
      </c>
      <c r="AD118" s="67">
        <f t="shared" si="20"/>
        <v>0</v>
      </c>
      <c r="AE118" s="67">
        <f t="shared" si="20"/>
        <v>0</v>
      </c>
      <c r="AF118" s="67">
        <f t="shared" si="20"/>
        <v>0</v>
      </c>
      <c r="AG118" s="67">
        <f t="shared" si="20"/>
        <v>0</v>
      </c>
      <c r="AH118" s="67">
        <f t="shared" si="20"/>
        <v>0</v>
      </c>
      <c r="AI118" s="67">
        <f t="shared" si="20"/>
        <v>0</v>
      </c>
      <c r="AJ118" s="67">
        <f t="shared" si="20"/>
        <v>0</v>
      </c>
      <c r="AK118" s="67">
        <f t="shared" si="20"/>
        <v>0</v>
      </c>
      <c r="AL118" s="67">
        <f t="shared" si="20"/>
        <v>0</v>
      </c>
      <c r="AM118" s="67">
        <f t="shared" si="20"/>
        <v>0</v>
      </c>
      <c r="AN118" s="67">
        <f t="shared" si="20"/>
        <v>0</v>
      </c>
      <c r="AO118" s="67">
        <f t="shared" si="20"/>
        <v>0</v>
      </c>
      <c r="AP118" s="67">
        <f t="shared" si="20"/>
        <v>0</v>
      </c>
      <c r="AQ118" s="67">
        <f t="shared" si="20"/>
        <v>0</v>
      </c>
      <c r="AR118" s="67">
        <f t="shared" si="20"/>
        <v>0</v>
      </c>
      <c r="AS118" s="67">
        <f t="shared" si="20"/>
        <v>0</v>
      </c>
      <c r="AT118" s="67">
        <f t="shared" si="20"/>
        <v>0</v>
      </c>
      <c r="AU118" s="67">
        <f t="shared" si="20"/>
        <v>0</v>
      </c>
      <c r="AV118" s="67">
        <f t="shared" si="20"/>
        <v>0</v>
      </c>
      <c r="AW118" s="67">
        <f t="shared" si="20"/>
        <v>0</v>
      </c>
      <c r="AX118" s="67">
        <f t="shared" si="20"/>
        <v>0</v>
      </c>
      <c r="AY118" s="67">
        <f t="shared" si="20"/>
        <v>0</v>
      </c>
      <c r="AZ118" s="67">
        <f t="shared" si="20"/>
        <v>0</v>
      </c>
      <c r="BA118" s="67">
        <f t="shared" si="20"/>
        <v>0</v>
      </c>
      <c r="BB118" s="67">
        <f t="shared" si="20"/>
        <v>0</v>
      </c>
      <c r="BC118" s="67">
        <f t="shared" si="20"/>
        <v>0</v>
      </c>
      <c r="BD118" s="67">
        <f t="shared" si="20"/>
        <v>0</v>
      </c>
      <c r="BE118" s="67">
        <f t="shared" si="20"/>
        <v>0</v>
      </c>
      <c r="BF118" s="67">
        <f t="shared" si="20"/>
        <v>0</v>
      </c>
      <c r="BG118" s="67">
        <f t="shared" si="20"/>
        <v>0</v>
      </c>
      <c r="BH118" s="67">
        <f t="shared" si="20"/>
        <v>0</v>
      </c>
      <c r="BI118" s="67">
        <f t="shared" si="20"/>
        <v>0</v>
      </c>
      <c r="BJ118" s="67">
        <f t="shared" si="20"/>
        <v>0</v>
      </c>
      <c r="BK118" s="67">
        <f t="shared" si="20"/>
        <v>0</v>
      </c>
      <c r="BL118" s="67">
        <f t="shared" si="20"/>
        <v>0</v>
      </c>
      <c r="BM118" s="67">
        <f t="shared" ref="BM118" si="21">BM66*BM92</f>
        <v>0</v>
      </c>
      <c r="BN118" s="67">
        <f t="shared" si="12"/>
        <v>0</v>
      </c>
      <c r="BO118" s="67">
        <f t="shared" si="19"/>
        <v>0</v>
      </c>
      <c r="BP118" s="67">
        <f t="shared" si="19"/>
        <v>0</v>
      </c>
      <c r="BQ118" s="67">
        <f t="shared" si="19"/>
        <v>0</v>
      </c>
      <c r="BR118" s="67">
        <f t="shared" ref="BR118:DY118" si="22">BR66*BR92</f>
        <v>0</v>
      </c>
      <c r="BS118" s="67">
        <f t="shared" si="22"/>
        <v>0</v>
      </c>
      <c r="BT118" s="67">
        <f t="shared" si="22"/>
        <v>0</v>
      </c>
      <c r="BU118" s="67">
        <f t="shared" si="22"/>
        <v>0</v>
      </c>
      <c r="BV118" s="67">
        <f t="shared" si="22"/>
        <v>0</v>
      </c>
      <c r="BW118" s="67">
        <f t="shared" si="22"/>
        <v>0</v>
      </c>
      <c r="BX118" s="67">
        <f t="shared" si="22"/>
        <v>0</v>
      </c>
      <c r="BY118" s="67">
        <f t="shared" si="22"/>
        <v>0</v>
      </c>
      <c r="BZ118" s="67">
        <f t="shared" si="22"/>
        <v>0</v>
      </c>
      <c r="CA118" s="67">
        <f t="shared" si="22"/>
        <v>0</v>
      </c>
      <c r="CB118" s="67">
        <f t="shared" si="22"/>
        <v>0</v>
      </c>
      <c r="CC118" s="67">
        <f t="shared" si="22"/>
        <v>0</v>
      </c>
      <c r="CD118" s="67">
        <f t="shared" si="22"/>
        <v>0</v>
      </c>
      <c r="CE118" s="67">
        <f t="shared" si="22"/>
        <v>0</v>
      </c>
      <c r="CF118" s="67">
        <f t="shared" si="22"/>
        <v>0</v>
      </c>
      <c r="CG118" s="67">
        <f t="shared" si="22"/>
        <v>0</v>
      </c>
      <c r="CH118" s="67">
        <f t="shared" si="22"/>
        <v>0</v>
      </c>
      <c r="CI118" s="67">
        <f t="shared" si="22"/>
        <v>0</v>
      </c>
      <c r="CJ118" s="67">
        <f t="shared" si="22"/>
        <v>0</v>
      </c>
      <c r="CK118" s="67">
        <f t="shared" si="22"/>
        <v>0</v>
      </c>
      <c r="CL118" s="67">
        <f t="shared" si="22"/>
        <v>0</v>
      </c>
      <c r="CM118" s="67">
        <f t="shared" si="22"/>
        <v>0</v>
      </c>
      <c r="CN118" s="67">
        <f t="shared" si="22"/>
        <v>0</v>
      </c>
      <c r="CO118" s="67">
        <f t="shared" si="22"/>
        <v>0</v>
      </c>
      <c r="CP118" s="67">
        <f t="shared" si="22"/>
        <v>0</v>
      </c>
      <c r="CQ118" s="67">
        <f t="shared" si="22"/>
        <v>0</v>
      </c>
      <c r="CR118" s="67">
        <f t="shared" si="22"/>
        <v>0</v>
      </c>
      <c r="CS118" s="67">
        <f t="shared" si="22"/>
        <v>0</v>
      </c>
      <c r="CT118" s="67">
        <f t="shared" si="22"/>
        <v>0</v>
      </c>
      <c r="CU118" s="67">
        <f t="shared" si="22"/>
        <v>0</v>
      </c>
      <c r="CV118" s="67">
        <f t="shared" si="22"/>
        <v>0</v>
      </c>
      <c r="CW118" s="67">
        <f t="shared" si="22"/>
        <v>0</v>
      </c>
      <c r="CX118" s="67">
        <f t="shared" si="22"/>
        <v>0</v>
      </c>
      <c r="CY118" s="67">
        <f t="shared" si="22"/>
        <v>0</v>
      </c>
      <c r="CZ118" s="67">
        <f t="shared" si="22"/>
        <v>0</v>
      </c>
      <c r="DA118" s="67">
        <f t="shared" si="22"/>
        <v>0</v>
      </c>
      <c r="DB118" s="67">
        <f t="shared" si="22"/>
        <v>0</v>
      </c>
      <c r="DC118" s="67">
        <f t="shared" si="22"/>
        <v>0</v>
      </c>
      <c r="DD118" s="67">
        <f t="shared" si="22"/>
        <v>0</v>
      </c>
      <c r="DE118" s="67">
        <f t="shared" si="22"/>
        <v>0</v>
      </c>
      <c r="DF118" s="67">
        <f t="shared" si="22"/>
        <v>0</v>
      </c>
      <c r="DG118" s="67">
        <f t="shared" si="22"/>
        <v>0</v>
      </c>
      <c r="DH118" s="67">
        <f t="shared" si="22"/>
        <v>0</v>
      </c>
      <c r="DI118" s="67">
        <f t="shared" si="22"/>
        <v>0</v>
      </c>
      <c r="DJ118" s="67">
        <f t="shared" si="22"/>
        <v>0</v>
      </c>
      <c r="DK118" s="67">
        <f t="shared" si="22"/>
        <v>0</v>
      </c>
      <c r="DL118" s="67">
        <f t="shared" si="22"/>
        <v>0</v>
      </c>
      <c r="DM118" s="67">
        <f t="shared" si="22"/>
        <v>0</v>
      </c>
      <c r="DN118" s="67">
        <f t="shared" si="22"/>
        <v>0</v>
      </c>
      <c r="DO118" s="67">
        <f t="shared" si="22"/>
        <v>0</v>
      </c>
      <c r="DP118" s="67">
        <f t="shared" si="22"/>
        <v>0</v>
      </c>
      <c r="DQ118" s="67">
        <f t="shared" si="22"/>
        <v>0</v>
      </c>
      <c r="DR118" s="67">
        <f t="shared" si="22"/>
        <v>0</v>
      </c>
      <c r="DS118" s="67">
        <f t="shared" si="22"/>
        <v>0</v>
      </c>
      <c r="DT118" s="67">
        <f t="shared" si="22"/>
        <v>0</v>
      </c>
      <c r="DU118" s="67">
        <f t="shared" si="22"/>
        <v>0</v>
      </c>
      <c r="DV118" s="67">
        <f t="shared" si="22"/>
        <v>0</v>
      </c>
      <c r="DW118" s="67">
        <f t="shared" si="22"/>
        <v>0</v>
      </c>
      <c r="DX118" s="67">
        <f t="shared" si="22"/>
        <v>0</v>
      </c>
      <c r="DY118" s="67">
        <f t="shared" si="22"/>
        <v>0</v>
      </c>
      <c r="DZ118" s="67">
        <f t="shared" si="17"/>
        <v>0</v>
      </c>
      <c r="EA118" s="67">
        <f t="shared" si="17"/>
        <v>0</v>
      </c>
      <c r="EB118" s="67">
        <f t="shared" si="17"/>
        <v>0</v>
      </c>
      <c r="EC118" s="67">
        <f t="shared" si="17"/>
        <v>0</v>
      </c>
      <c r="ED118" s="67">
        <f t="shared" si="17"/>
        <v>0</v>
      </c>
      <c r="EE118" s="67">
        <f t="shared" si="17"/>
        <v>0</v>
      </c>
      <c r="EF118" s="67">
        <f t="shared" si="17"/>
        <v>0</v>
      </c>
      <c r="EG118" s="67">
        <f t="shared" si="17"/>
        <v>0</v>
      </c>
      <c r="EH118" s="67">
        <f t="shared" si="17"/>
        <v>0</v>
      </c>
      <c r="EI118" s="67">
        <f t="shared" si="17"/>
        <v>0</v>
      </c>
      <c r="EJ118" s="67">
        <f t="shared" si="17"/>
        <v>0</v>
      </c>
      <c r="EK118" s="67">
        <f t="shared" si="17"/>
        <v>0</v>
      </c>
      <c r="EL118" s="67">
        <f t="shared" si="17"/>
        <v>0</v>
      </c>
      <c r="EM118" s="67">
        <f t="shared" si="17"/>
        <v>0</v>
      </c>
      <c r="EN118" s="67">
        <f t="shared" si="17"/>
        <v>0</v>
      </c>
      <c r="EO118" s="67">
        <f t="shared" si="17"/>
        <v>0</v>
      </c>
      <c r="EP118" s="67">
        <f t="shared" si="17"/>
        <v>0</v>
      </c>
      <c r="EQ118" s="67">
        <f t="shared" si="17"/>
        <v>0</v>
      </c>
      <c r="ER118" s="67">
        <f t="shared" si="17"/>
        <v>0</v>
      </c>
      <c r="ES118" s="67">
        <f t="shared" si="17"/>
        <v>0</v>
      </c>
      <c r="ET118" s="36">
        <f t="shared" si="16"/>
        <v>0</v>
      </c>
    </row>
    <row r="119" spans="1:150" x14ac:dyDescent="0.3">
      <c r="A119" s="37" t="s">
        <v>29</v>
      </c>
      <c r="B119" s="67">
        <f t="shared" ref="B119:BM122" si="23">B67*B93</f>
        <v>0</v>
      </c>
      <c r="C119" s="67">
        <f t="shared" si="23"/>
        <v>0</v>
      </c>
      <c r="D119" s="67">
        <f t="shared" si="23"/>
        <v>0</v>
      </c>
      <c r="E119" s="67">
        <f t="shared" si="23"/>
        <v>0</v>
      </c>
      <c r="F119" s="67">
        <f t="shared" si="23"/>
        <v>0</v>
      </c>
      <c r="G119" s="67">
        <f t="shared" si="23"/>
        <v>0</v>
      </c>
      <c r="H119" s="67">
        <f t="shared" si="23"/>
        <v>0</v>
      </c>
      <c r="I119" s="67">
        <f t="shared" si="23"/>
        <v>0</v>
      </c>
      <c r="J119" s="67">
        <f t="shared" si="23"/>
        <v>0</v>
      </c>
      <c r="K119" s="67">
        <f t="shared" si="23"/>
        <v>0</v>
      </c>
      <c r="L119" s="67">
        <f t="shared" si="23"/>
        <v>0</v>
      </c>
      <c r="M119" s="67">
        <f t="shared" si="23"/>
        <v>0</v>
      </c>
      <c r="N119" s="67">
        <f t="shared" si="23"/>
        <v>0</v>
      </c>
      <c r="O119" s="67">
        <f t="shared" si="23"/>
        <v>0</v>
      </c>
      <c r="P119" s="67">
        <f t="shared" si="23"/>
        <v>0</v>
      </c>
      <c r="Q119" s="67">
        <f t="shared" si="23"/>
        <v>688808.54722806544</v>
      </c>
      <c r="R119" s="67">
        <f t="shared" si="23"/>
        <v>0</v>
      </c>
      <c r="S119" s="67">
        <f t="shared" si="23"/>
        <v>0</v>
      </c>
      <c r="T119" s="67">
        <f t="shared" si="23"/>
        <v>0</v>
      </c>
      <c r="U119" s="67">
        <f t="shared" si="23"/>
        <v>0</v>
      </c>
      <c r="V119" s="67">
        <f t="shared" si="23"/>
        <v>0</v>
      </c>
      <c r="W119" s="67">
        <f t="shared" si="23"/>
        <v>0</v>
      </c>
      <c r="X119" s="67">
        <f t="shared" si="23"/>
        <v>0</v>
      </c>
      <c r="Y119" s="67">
        <f t="shared" si="23"/>
        <v>0</v>
      </c>
      <c r="Z119" s="67">
        <f t="shared" si="23"/>
        <v>0</v>
      </c>
      <c r="AA119" s="67">
        <f t="shared" si="23"/>
        <v>0</v>
      </c>
      <c r="AB119" s="67">
        <f t="shared" si="23"/>
        <v>252369.92773078915</v>
      </c>
      <c r="AC119" s="67">
        <f t="shared" si="23"/>
        <v>0</v>
      </c>
      <c r="AD119" s="67">
        <f t="shared" si="23"/>
        <v>0</v>
      </c>
      <c r="AE119" s="67">
        <f t="shared" si="23"/>
        <v>0</v>
      </c>
      <c r="AF119" s="67">
        <f t="shared" si="23"/>
        <v>0</v>
      </c>
      <c r="AG119" s="67">
        <f t="shared" si="23"/>
        <v>0</v>
      </c>
      <c r="AH119" s="67">
        <f t="shared" si="23"/>
        <v>0</v>
      </c>
      <c r="AI119" s="67">
        <f t="shared" si="23"/>
        <v>0</v>
      </c>
      <c r="AJ119" s="67">
        <f t="shared" si="23"/>
        <v>0</v>
      </c>
      <c r="AK119" s="67">
        <f t="shared" si="23"/>
        <v>0</v>
      </c>
      <c r="AL119" s="67">
        <f t="shared" si="23"/>
        <v>0</v>
      </c>
      <c r="AM119" s="67">
        <f t="shared" si="23"/>
        <v>0</v>
      </c>
      <c r="AN119" s="67">
        <f t="shared" si="23"/>
        <v>0</v>
      </c>
      <c r="AO119" s="67">
        <f t="shared" si="23"/>
        <v>0</v>
      </c>
      <c r="AP119" s="67">
        <f t="shared" si="23"/>
        <v>0</v>
      </c>
      <c r="AQ119" s="67">
        <f t="shared" si="23"/>
        <v>0</v>
      </c>
      <c r="AR119" s="67">
        <f t="shared" si="23"/>
        <v>0</v>
      </c>
      <c r="AS119" s="67">
        <f t="shared" si="23"/>
        <v>0</v>
      </c>
      <c r="AT119" s="67">
        <f t="shared" si="23"/>
        <v>0</v>
      </c>
      <c r="AU119" s="67">
        <f t="shared" si="23"/>
        <v>0</v>
      </c>
      <c r="AV119" s="67">
        <f t="shared" si="23"/>
        <v>0</v>
      </c>
      <c r="AW119" s="67">
        <f t="shared" si="23"/>
        <v>0</v>
      </c>
      <c r="AX119" s="67">
        <f t="shared" si="23"/>
        <v>0</v>
      </c>
      <c r="AY119" s="67">
        <f t="shared" si="23"/>
        <v>0</v>
      </c>
      <c r="AZ119" s="67">
        <f t="shared" si="23"/>
        <v>0</v>
      </c>
      <c r="BA119" s="67">
        <f t="shared" si="23"/>
        <v>0</v>
      </c>
      <c r="BB119" s="67">
        <f t="shared" si="23"/>
        <v>0</v>
      </c>
      <c r="BC119" s="67">
        <f t="shared" si="23"/>
        <v>0</v>
      </c>
      <c r="BD119" s="67">
        <f t="shared" si="23"/>
        <v>0</v>
      </c>
      <c r="BE119" s="67">
        <f t="shared" si="23"/>
        <v>349105.40136956068</v>
      </c>
      <c r="BF119" s="67">
        <f t="shared" si="23"/>
        <v>0</v>
      </c>
      <c r="BG119" s="67">
        <f t="shared" si="23"/>
        <v>0</v>
      </c>
      <c r="BH119" s="67">
        <f t="shared" si="23"/>
        <v>0</v>
      </c>
      <c r="BI119" s="67">
        <f t="shared" si="23"/>
        <v>0</v>
      </c>
      <c r="BJ119" s="67">
        <f t="shared" si="23"/>
        <v>0</v>
      </c>
      <c r="BK119" s="67">
        <f t="shared" si="23"/>
        <v>0</v>
      </c>
      <c r="BL119" s="67">
        <f t="shared" si="23"/>
        <v>0</v>
      </c>
      <c r="BM119" s="67">
        <f t="shared" si="23"/>
        <v>0</v>
      </c>
      <c r="BN119" s="67">
        <f t="shared" si="12"/>
        <v>0</v>
      </c>
      <c r="BO119" s="67">
        <f t="shared" ref="BO119:DY123" si="24">BO67*BO93</f>
        <v>0</v>
      </c>
      <c r="BP119" s="67">
        <f t="shared" si="24"/>
        <v>0</v>
      </c>
      <c r="BQ119" s="67">
        <f t="shared" si="24"/>
        <v>0</v>
      </c>
      <c r="BR119" s="67">
        <f t="shared" si="24"/>
        <v>0</v>
      </c>
      <c r="BS119" s="67">
        <f t="shared" si="24"/>
        <v>0</v>
      </c>
      <c r="BT119" s="67">
        <f t="shared" si="24"/>
        <v>0</v>
      </c>
      <c r="BU119" s="67">
        <f t="shared" si="24"/>
        <v>0</v>
      </c>
      <c r="BV119" s="67">
        <f t="shared" si="24"/>
        <v>0</v>
      </c>
      <c r="BW119" s="67">
        <f t="shared" si="24"/>
        <v>126142.69465920144</v>
      </c>
      <c r="BX119" s="67">
        <f t="shared" si="24"/>
        <v>0</v>
      </c>
      <c r="BY119" s="67">
        <f t="shared" si="24"/>
        <v>0</v>
      </c>
      <c r="BZ119" s="67">
        <f t="shared" si="24"/>
        <v>0</v>
      </c>
      <c r="CA119" s="67">
        <f t="shared" si="24"/>
        <v>0</v>
      </c>
      <c r="CB119" s="67">
        <f t="shared" si="24"/>
        <v>0</v>
      </c>
      <c r="CC119" s="67">
        <f t="shared" si="24"/>
        <v>0</v>
      </c>
      <c r="CD119" s="67">
        <f t="shared" si="24"/>
        <v>0</v>
      </c>
      <c r="CE119" s="67">
        <f t="shared" si="24"/>
        <v>0</v>
      </c>
      <c r="CF119" s="67">
        <f t="shared" si="24"/>
        <v>0</v>
      </c>
      <c r="CG119" s="67">
        <f t="shared" si="24"/>
        <v>0</v>
      </c>
      <c r="CH119" s="67">
        <f t="shared" si="24"/>
        <v>0</v>
      </c>
      <c r="CI119" s="67">
        <f t="shared" si="24"/>
        <v>0</v>
      </c>
      <c r="CJ119" s="67">
        <f t="shared" si="24"/>
        <v>0</v>
      </c>
      <c r="CK119" s="67">
        <f t="shared" si="24"/>
        <v>0</v>
      </c>
      <c r="CL119" s="67">
        <f t="shared" si="24"/>
        <v>0</v>
      </c>
      <c r="CM119" s="67">
        <f t="shared" si="24"/>
        <v>0</v>
      </c>
      <c r="CN119" s="67">
        <f t="shared" si="24"/>
        <v>0</v>
      </c>
      <c r="CO119" s="67">
        <f t="shared" si="24"/>
        <v>0</v>
      </c>
      <c r="CP119" s="67">
        <f t="shared" si="24"/>
        <v>0</v>
      </c>
      <c r="CQ119" s="67">
        <f t="shared" si="24"/>
        <v>0</v>
      </c>
      <c r="CR119" s="67">
        <f t="shared" si="24"/>
        <v>0</v>
      </c>
      <c r="CS119" s="67">
        <f t="shared" si="24"/>
        <v>0</v>
      </c>
      <c r="CT119" s="67">
        <f t="shared" si="24"/>
        <v>0</v>
      </c>
      <c r="CU119" s="67">
        <f t="shared" si="24"/>
        <v>0</v>
      </c>
      <c r="CV119" s="67">
        <f t="shared" si="24"/>
        <v>0</v>
      </c>
      <c r="CW119" s="67">
        <f t="shared" si="24"/>
        <v>0</v>
      </c>
      <c r="CX119" s="67">
        <f t="shared" si="24"/>
        <v>0</v>
      </c>
      <c r="CY119" s="67">
        <f t="shared" si="24"/>
        <v>0</v>
      </c>
      <c r="CZ119" s="67">
        <f t="shared" si="24"/>
        <v>0</v>
      </c>
      <c r="DA119" s="67">
        <f t="shared" si="24"/>
        <v>0</v>
      </c>
      <c r="DB119" s="67">
        <f t="shared" si="24"/>
        <v>59504.522405607058</v>
      </c>
      <c r="DC119" s="67">
        <f t="shared" si="24"/>
        <v>0</v>
      </c>
      <c r="DD119" s="67">
        <f t="shared" si="24"/>
        <v>0</v>
      </c>
      <c r="DE119" s="67">
        <f t="shared" si="24"/>
        <v>0</v>
      </c>
      <c r="DF119" s="67">
        <f t="shared" si="24"/>
        <v>0</v>
      </c>
      <c r="DG119" s="67">
        <f t="shared" si="24"/>
        <v>0</v>
      </c>
      <c r="DH119" s="67">
        <f t="shared" si="24"/>
        <v>0</v>
      </c>
      <c r="DI119" s="67">
        <f t="shared" si="24"/>
        <v>0</v>
      </c>
      <c r="DJ119" s="67">
        <f t="shared" si="24"/>
        <v>0</v>
      </c>
      <c r="DK119" s="67">
        <f t="shared" si="24"/>
        <v>0</v>
      </c>
      <c r="DL119" s="67">
        <f t="shared" si="24"/>
        <v>0</v>
      </c>
      <c r="DM119" s="67">
        <f t="shared" si="24"/>
        <v>0</v>
      </c>
      <c r="DN119" s="67">
        <f t="shared" si="24"/>
        <v>0</v>
      </c>
      <c r="DO119" s="67">
        <f t="shared" si="24"/>
        <v>0</v>
      </c>
      <c r="DP119" s="67">
        <f t="shared" si="24"/>
        <v>0</v>
      </c>
      <c r="DQ119" s="67">
        <f t="shared" si="24"/>
        <v>0</v>
      </c>
      <c r="DR119" s="67">
        <f t="shared" si="24"/>
        <v>0</v>
      </c>
      <c r="DS119" s="67">
        <f t="shared" si="24"/>
        <v>0</v>
      </c>
      <c r="DT119" s="67">
        <f t="shared" si="24"/>
        <v>0</v>
      </c>
      <c r="DU119" s="67">
        <f t="shared" si="24"/>
        <v>0</v>
      </c>
      <c r="DV119" s="67">
        <f t="shared" si="24"/>
        <v>0</v>
      </c>
      <c r="DW119" s="67">
        <f t="shared" si="24"/>
        <v>0</v>
      </c>
      <c r="DX119" s="67">
        <f t="shared" si="24"/>
        <v>0</v>
      </c>
      <c r="DY119" s="67">
        <f t="shared" si="24"/>
        <v>0</v>
      </c>
      <c r="DZ119" s="67">
        <f t="shared" si="17"/>
        <v>0</v>
      </c>
      <c r="EA119" s="67">
        <f t="shared" si="17"/>
        <v>0</v>
      </c>
      <c r="EB119" s="67">
        <f t="shared" si="17"/>
        <v>0</v>
      </c>
      <c r="EC119" s="67">
        <f t="shared" si="17"/>
        <v>0</v>
      </c>
      <c r="ED119" s="67">
        <f t="shared" si="17"/>
        <v>0</v>
      </c>
      <c r="EE119" s="67">
        <f t="shared" si="17"/>
        <v>0</v>
      </c>
      <c r="EF119" s="67">
        <f t="shared" si="17"/>
        <v>0</v>
      </c>
      <c r="EG119" s="67">
        <f t="shared" si="17"/>
        <v>0</v>
      </c>
      <c r="EH119" s="67">
        <f t="shared" si="17"/>
        <v>0</v>
      </c>
      <c r="EI119" s="67">
        <f t="shared" si="17"/>
        <v>0</v>
      </c>
      <c r="EJ119" s="67">
        <f t="shared" si="17"/>
        <v>0</v>
      </c>
      <c r="EK119" s="67">
        <f t="shared" si="17"/>
        <v>0</v>
      </c>
      <c r="EL119" s="67">
        <f t="shared" si="17"/>
        <v>0</v>
      </c>
      <c r="EM119" s="67">
        <f t="shared" si="17"/>
        <v>0</v>
      </c>
      <c r="EN119" s="67">
        <f t="shared" si="17"/>
        <v>0</v>
      </c>
      <c r="EO119" s="67">
        <f t="shared" si="17"/>
        <v>0</v>
      </c>
      <c r="EP119" s="67">
        <f t="shared" si="17"/>
        <v>0</v>
      </c>
      <c r="EQ119" s="67">
        <f t="shared" si="17"/>
        <v>0</v>
      </c>
      <c r="ER119" s="67">
        <f t="shared" si="17"/>
        <v>0</v>
      </c>
      <c r="ES119" s="67">
        <f t="shared" si="17"/>
        <v>0</v>
      </c>
      <c r="ET119" s="36">
        <f t="shared" si="16"/>
        <v>1475931.0933932238</v>
      </c>
    </row>
    <row r="120" spans="1:150" x14ac:dyDescent="0.3">
      <c r="A120" s="37" t="s">
        <v>22</v>
      </c>
      <c r="B120" s="67">
        <f t="shared" si="23"/>
        <v>0</v>
      </c>
      <c r="C120" s="67">
        <f t="shared" si="23"/>
        <v>0</v>
      </c>
      <c r="D120" s="67">
        <f t="shared" si="23"/>
        <v>0</v>
      </c>
      <c r="E120" s="67">
        <f t="shared" si="23"/>
        <v>0</v>
      </c>
      <c r="F120" s="67">
        <f t="shared" si="23"/>
        <v>0</v>
      </c>
      <c r="G120" s="67">
        <f t="shared" si="23"/>
        <v>0</v>
      </c>
      <c r="H120" s="67">
        <f t="shared" si="23"/>
        <v>0</v>
      </c>
      <c r="I120" s="67">
        <f t="shared" si="23"/>
        <v>0</v>
      </c>
      <c r="J120" s="67">
        <f t="shared" si="23"/>
        <v>0</v>
      </c>
      <c r="K120" s="67">
        <f t="shared" si="23"/>
        <v>0</v>
      </c>
      <c r="L120" s="67">
        <f t="shared" si="23"/>
        <v>0</v>
      </c>
      <c r="M120" s="67">
        <f t="shared" si="23"/>
        <v>0</v>
      </c>
      <c r="N120" s="67">
        <f t="shared" si="23"/>
        <v>0</v>
      </c>
      <c r="O120" s="67">
        <f t="shared" si="23"/>
        <v>0</v>
      </c>
      <c r="P120" s="67">
        <f t="shared" si="23"/>
        <v>0</v>
      </c>
      <c r="Q120" s="67">
        <f t="shared" si="23"/>
        <v>0</v>
      </c>
      <c r="R120" s="67">
        <f t="shared" si="23"/>
        <v>0</v>
      </c>
      <c r="S120" s="67">
        <f t="shared" si="23"/>
        <v>0</v>
      </c>
      <c r="T120" s="67">
        <f t="shared" si="23"/>
        <v>0</v>
      </c>
      <c r="U120" s="67">
        <f t="shared" si="23"/>
        <v>0</v>
      </c>
      <c r="V120" s="67">
        <f t="shared" si="23"/>
        <v>0</v>
      </c>
      <c r="W120" s="67">
        <f t="shared" si="23"/>
        <v>0</v>
      </c>
      <c r="X120" s="67">
        <f t="shared" si="23"/>
        <v>0</v>
      </c>
      <c r="Y120" s="67">
        <f t="shared" si="23"/>
        <v>0</v>
      </c>
      <c r="Z120" s="67">
        <f t="shared" si="23"/>
        <v>0</v>
      </c>
      <c r="AA120" s="67">
        <f t="shared" si="23"/>
        <v>0</v>
      </c>
      <c r="AB120" s="67">
        <f t="shared" si="23"/>
        <v>0</v>
      </c>
      <c r="AC120" s="67">
        <f t="shared" si="23"/>
        <v>0</v>
      </c>
      <c r="AD120" s="67">
        <f t="shared" si="23"/>
        <v>0</v>
      </c>
      <c r="AE120" s="67">
        <f t="shared" si="23"/>
        <v>0</v>
      </c>
      <c r="AF120" s="67">
        <f t="shared" si="23"/>
        <v>0</v>
      </c>
      <c r="AG120" s="67">
        <f t="shared" si="23"/>
        <v>0</v>
      </c>
      <c r="AH120" s="67">
        <f t="shared" si="23"/>
        <v>0</v>
      </c>
      <c r="AI120" s="67">
        <f t="shared" si="23"/>
        <v>0</v>
      </c>
      <c r="AJ120" s="67">
        <f t="shared" si="23"/>
        <v>0</v>
      </c>
      <c r="AK120" s="67">
        <f t="shared" si="23"/>
        <v>0</v>
      </c>
      <c r="AL120" s="67">
        <f t="shared" si="23"/>
        <v>0</v>
      </c>
      <c r="AM120" s="67">
        <f t="shared" si="23"/>
        <v>0</v>
      </c>
      <c r="AN120" s="67">
        <f t="shared" si="23"/>
        <v>0</v>
      </c>
      <c r="AO120" s="67">
        <f t="shared" si="23"/>
        <v>0</v>
      </c>
      <c r="AP120" s="67">
        <f t="shared" si="23"/>
        <v>0</v>
      </c>
      <c r="AQ120" s="67">
        <f t="shared" si="23"/>
        <v>0</v>
      </c>
      <c r="AR120" s="67">
        <f t="shared" si="23"/>
        <v>0</v>
      </c>
      <c r="AS120" s="67">
        <f t="shared" si="23"/>
        <v>0</v>
      </c>
      <c r="AT120" s="67">
        <f t="shared" si="23"/>
        <v>0</v>
      </c>
      <c r="AU120" s="67">
        <f t="shared" si="23"/>
        <v>0</v>
      </c>
      <c r="AV120" s="67">
        <f t="shared" si="23"/>
        <v>0</v>
      </c>
      <c r="AW120" s="67">
        <f t="shared" si="23"/>
        <v>0</v>
      </c>
      <c r="AX120" s="67">
        <f t="shared" si="23"/>
        <v>0</v>
      </c>
      <c r="AY120" s="67">
        <f t="shared" si="23"/>
        <v>0</v>
      </c>
      <c r="AZ120" s="67">
        <f t="shared" si="23"/>
        <v>355931.11595556996</v>
      </c>
      <c r="BA120" s="67">
        <f t="shared" si="23"/>
        <v>0</v>
      </c>
      <c r="BB120" s="67">
        <f t="shared" si="23"/>
        <v>56041.537015888156</v>
      </c>
      <c r="BC120" s="67">
        <f t="shared" si="23"/>
        <v>632848.05568205204</v>
      </c>
      <c r="BD120" s="67">
        <f t="shared" si="23"/>
        <v>0</v>
      </c>
      <c r="BE120" s="67">
        <f t="shared" si="23"/>
        <v>0</v>
      </c>
      <c r="BF120" s="67">
        <f t="shared" si="23"/>
        <v>0</v>
      </c>
      <c r="BG120" s="67">
        <f t="shared" si="23"/>
        <v>0</v>
      </c>
      <c r="BH120" s="67">
        <f t="shared" si="23"/>
        <v>0</v>
      </c>
      <c r="BI120" s="67">
        <f t="shared" si="23"/>
        <v>0</v>
      </c>
      <c r="BJ120" s="67">
        <f t="shared" si="23"/>
        <v>0</v>
      </c>
      <c r="BK120" s="67">
        <f t="shared" si="23"/>
        <v>0</v>
      </c>
      <c r="BL120" s="67">
        <f t="shared" si="23"/>
        <v>0</v>
      </c>
      <c r="BM120" s="67">
        <f t="shared" si="23"/>
        <v>0</v>
      </c>
      <c r="BN120" s="67">
        <f t="shared" si="12"/>
        <v>2294818.5788091128</v>
      </c>
      <c r="BO120" s="67">
        <f t="shared" si="24"/>
        <v>0</v>
      </c>
      <c r="BP120" s="67">
        <f t="shared" si="24"/>
        <v>0</v>
      </c>
      <c r="BQ120" s="67">
        <f t="shared" si="24"/>
        <v>0</v>
      </c>
      <c r="BR120" s="67">
        <f t="shared" si="24"/>
        <v>0</v>
      </c>
      <c r="BS120" s="67">
        <f t="shared" si="24"/>
        <v>0</v>
      </c>
      <c r="BT120" s="67">
        <f t="shared" si="24"/>
        <v>0</v>
      </c>
      <c r="BU120" s="67">
        <f t="shared" si="24"/>
        <v>0</v>
      </c>
      <c r="BV120" s="67">
        <f t="shared" si="24"/>
        <v>0</v>
      </c>
      <c r="BW120" s="67">
        <f t="shared" si="24"/>
        <v>0</v>
      </c>
      <c r="BX120" s="67">
        <f t="shared" si="24"/>
        <v>0</v>
      </c>
      <c r="BY120" s="67">
        <f t="shared" si="24"/>
        <v>0</v>
      </c>
      <c r="BZ120" s="67">
        <f t="shared" si="24"/>
        <v>0</v>
      </c>
      <c r="CA120" s="67">
        <f t="shared" si="24"/>
        <v>0</v>
      </c>
      <c r="CB120" s="67">
        <f t="shared" si="24"/>
        <v>291801.07428584859</v>
      </c>
      <c r="CC120" s="67">
        <f t="shared" si="24"/>
        <v>0</v>
      </c>
      <c r="CD120" s="67">
        <f t="shared" si="24"/>
        <v>0</v>
      </c>
      <c r="CE120" s="67">
        <f t="shared" si="24"/>
        <v>0</v>
      </c>
      <c r="CF120" s="67">
        <f t="shared" si="24"/>
        <v>0</v>
      </c>
      <c r="CG120" s="67">
        <f t="shared" si="24"/>
        <v>0</v>
      </c>
      <c r="CH120" s="67">
        <f t="shared" si="24"/>
        <v>0</v>
      </c>
      <c r="CI120" s="67">
        <f t="shared" si="24"/>
        <v>0</v>
      </c>
      <c r="CJ120" s="67">
        <f t="shared" si="24"/>
        <v>0</v>
      </c>
      <c r="CK120" s="67">
        <f t="shared" si="24"/>
        <v>0</v>
      </c>
      <c r="CL120" s="67">
        <f t="shared" si="24"/>
        <v>0</v>
      </c>
      <c r="CM120" s="67">
        <f t="shared" si="24"/>
        <v>0</v>
      </c>
      <c r="CN120" s="67">
        <f t="shared" si="24"/>
        <v>0</v>
      </c>
      <c r="CO120" s="67">
        <f t="shared" si="24"/>
        <v>0</v>
      </c>
      <c r="CP120" s="67">
        <f t="shared" si="24"/>
        <v>0</v>
      </c>
      <c r="CQ120" s="67">
        <f t="shared" si="24"/>
        <v>0</v>
      </c>
      <c r="CR120" s="67">
        <f t="shared" si="24"/>
        <v>0</v>
      </c>
      <c r="CS120" s="67">
        <f t="shared" si="24"/>
        <v>0</v>
      </c>
      <c r="CT120" s="67">
        <f t="shared" si="24"/>
        <v>0</v>
      </c>
      <c r="CU120" s="67">
        <f t="shared" si="24"/>
        <v>0</v>
      </c>
      <c r="CV120" s="67">
        <f t="shared" si="24"/>
        <v>0</v>
      </c>
      <c r="CW120" s="67">
        <f t="shared" si="24"/>
        <v>0</v>
      </c>
      <c r="CX120" s="67">
        <f t="shared" si="24"/>
        <v>0</v>
      </c>
      <c r="CY120" s="67">
        <f t="shared" si="24"/>
        <v>0</v>
      </c>
      <c r="CZ120" s="67">
        <f t="shared" si="24"/>
        <v>0</v>
      </c>
      <c r="DA120" s="67">
        <f t="shared" si="24"/>
        <v>0</v>
      </c>
      <c r="DB120" s="67">
        <f t="shared" si="24"/>
        <v>0</v>
      </c>
      <c r="DC120" s="67">
        <f t="shared" si="24"/>
        <v>0</v>
      </c>
      <c r="DD120" s="67">
        <f t="shared" si="24"/>
        <v>0</v>
      </c>
      <c r="DE120" s="67">
        <f t="shared" si="24"/>
        <v>0</v>
      </c>
      <c r="DF120" s="67">
        <f t="shared" si="24"/>
        <v>0</v>
      </c>
      <c r="DG120" s="67">
        <f t="shared" si="24"/>
        <v>0</v>
      </c>
      <c r="DH120" s="67">
        <f t="shared" si="24"/>
        <v>0</v>
      </c>
      <c r="DI120" s="67">
        <f t="shared" si="24"/>
        <v>0</v>
      </c>
      <c r="DJ120" s="67">
        <f t="shared" si="24"/>
        <v>0</v>
      </c>
      <c r="DK120" s="67">
        <f t="shared" si="24"/>
        <v>0</v>
      </c>
      <c r="DL120" s="67">
        <f t="shared" si="24"/>
        <v>0</v>
      </c>
      <c r="DM120" s="67">
        <f t="shared" si="24"/>
        <v>0</v>
      </c>
      <c r="DN120" s="67">
        <f t="shared" si="24"/>
        <v>0</v>
      </c>
      <c r="DO120" s="67">
        <f t="shared" si="24"/>
        <v>0</v>
      </c>
      <c r="DP120" s="67">
        <f t="shared" si="24"/>
        <v>0</v>
      </c>
      <c r="DQ120" s="67">
        <f t="shared" si="24"/>
        <v>0</v>
      </c>
      <c r="DR120" s="67">
        <f t="shared" si="24"/>
        <v>0</v>
      </c>
      <c r="DS120" s="67">
        <f t="shared" si="24"/>
        <v>0</v>
      </c>
      <c r="DT120" s="67">
        <f t="shared" si="24"/>
        <v>0</v>
      </c>
      <c r="DU120" s="67">
        <f t="shared" si="24"/>
        <v>0</v>
      </c>
      <c r="DV120" s="67">
        <f t="shared" si="24"/>
        <v>0</v>
      </c>
      <c r="DW120" s="67">
        <f t="shared" si="24"/>
        <v>0</v>
      </c>
      <c r="DX120" s="67">
        <f t="shared" si="24"/>
        <v>0</v>
      </c>
      <c r="DY120" s="67">
        <f t="shared" si="24"/>
        <v>0</v>
      </c>
      <c r="DZ120" s="67">
        <f t="shared" si="17"/>
        <v>0</v>
      </c>
      <c r="EA120" s="67">
        <f t="shared" si="17"/>
        <v>0</v>
      </c>
      <c r="EB120" s="67">
        <f t="shared" si="17"/>
        <v>0</v>
      </c>
      <c r="EC120" s="67">
        <f t="shared" si="17"/>
        <v>0</v>
      </c>
      <c r="ED120" s="67">
        <f t="shared" si="17"/>
        <v>0</v>
      </c>
      <c r="EE120" s="67">
        <f t="shared" si="17"/>
        <v>0</v>
      </c>
      <c r="EF120" s="67">
        <f t="shared" si="17"/>
        <v>0</v>
      </c>
      <c r="EG120" s="67">
        <f t="shared" si="17"/>
        <v>0</v>
      </c>
      <c r="EH120" s="67">
        <f t="shared" si="17"/>
        <v>0</v>
      </c>
      <c r="EI120" s="67">
        <f t="shared" si="17"/>
        <v>0</v>
      </c>
      <c r="EJ120" s="67">
        <f t="shared" si="17"/>
        <v>381401.32618301845</v>
      </c>
      <c r="EK120" s="67">
        <f t="shared" si="17"/>
        <v>0</v>
      </c>
      <c r="EL120" s="67">
        <f t="shared" si="17"/>
        <v>0</v>
      </c>
      <c r="EM120" s="67">
        <f t="shared" si="17"/>
        <v>0</v>
      </c>
      <c r="EN120" s="67">
        <f t="shared" si="17"/>
        <v>0</v>
      </c>
      <c r="EO120" s="67">
        <f t="shared" si="17"/>
        <v>0</v>
      </c>
      <c r="EP120" s="67">
        <f t="shared" si="17"/>
        <v>0</v>
      </c>
      <c r="EQ120" s="67">
        <f t="shared" si="17"/>
        <v>0</v>
      </c>
      <c r="ER120" s="67">
        <f t="shared" si="17"/>
        <v>216018.19072025554</v>
      </c>
      <c r="ES120" s="67">
        <f t="shared" si="17"/>
        <v>0</v>
      </c>
      <c r="ET120" s="36">
        <f t="shared" si="16"/>
        <v>4228859.8786517456</v>
      </c>
    </row>
    <row r="121" spans="1:150" x14ac:dyDescent="0.3">
      <c r="A121" s="37" t="s">
        <v>7</v>
      </c>
      <c r="B121" s="67">
        <f t="shared" si="23"/>
        <v>0</v>
      </c>
      <c r="C121" s="67">
        <f t="shared" si="23"/>
        <v>0</v>
      </c>
      <c r="D121" s="67">
        <f t="shared" si="23"/>
        <v>0</v>
      </c>
      <c r="E121" s="67">
        <f t="shared" si="23"/>
        <v>0</v>
      </c>
      <c r="F121" s="67">
        <f t="shared" si="23"/>
        <v>0</v>
      </c>
      <c r="G121" s="67">
        <f t="shared" si="23"/>
        <v>0</v>
      </c>
      <c r="H121" s="67">
        <f t="shared" si="23"/>
        <v>0</v>
      </c>
      <c r="I121" s="67">
        <f t="shared" si="23"/>
        <v>0</v>
      </c>
      <c r="J121" s="67">
        <f t="shared" si="23"/>
        <v>0</v>
      </c>
      <c r="K121" s="67">
        <f t="shared" si="23"/>
        <v>0</v>
      </c>
      <c r="L121" s="67">
        <f t="shared" si="23"/>
        <v>0</v>
      </c>
      <c r="M121" s="67">
        <f t="shared" si="23"/>
        <v>0</v>
      </c>
      <c r="N121" s="67">
        <f t="shared" si="23"/>
        <v>0</v>
      </c>
      <c r="O121" s="67">
        <f t="shared" si="23"/>
        <v>0</v>
      </c>
      <c r="P121" s="67">
        <f t="shared" si="23"/>
        <v>0</v>
      </c>
      <c r="Q121" s="67">
        <f t="shared" si="23"/>
        <v>0</v>
      </c>
      <c r="R121" s="67">
        <f t="shared" si="23"/>
        <v>0</v>
      </c>
      <c r="S121" s="67">
        <f t="shared" si="23"/>
        <v>0</v>
      </c>
      <c r="T121" s="67">
        <f t="shared" si="23"/>
        <v>0</v>
      </c>
      <c r="U121" s="67">
        <f t="shared" si="23"/>
        <v>0</v>
      </c>
      <c r="V121" s="67">
        <f t="shared" si="23"/>
        <v>0</v>
      </c>
      <c r="W121" s="67">
        <f t="shared" si="23"/>
        <v>0</v>
      </c>
      <c r="X121" s="67">
        <f t="shared" si="23"/>
        <v>0</v>
      </c>
      <c r="Y121" s="67">
        <f t="shared" si="23"/>
        <v>0</v>
      </c>
      <c r="Z121" s="67">
        <f t="shared" si="23"/>
        <v>0</v>
      </c>
      <c r="AA121" s="67">
        <f t="shared" si="23"/>
        <v>0</v>
      </c>
      <c r="AB121" s="67">
        <f t="shared" si="23"/>
        <v>0</v>
      </c>
      <c r="AC121" s="67">
        <f t="shared" si="23"/>
        <v>0</v>
      </c>
      <c r="AD121" s="67">
        <f t="shared" si="23"/>
        <v>0</v>
      </c>
      <c r="AE121" s="67">
        <f t="shared" si="23"/>
        <v>0</v>
      </c>
      <c r="AF121" s="67">
        <f t="shared" si="23"/>
        <v>0</v>
      </c>
      <c r="AG121" s="67">
        <f t="shared" si="23"/>
        <v>0</v>
      </c>
      <c r="AH121" s="67">
        <f t="shared" si="23"/>
        <v>0</v>
      </c>
      <c r="AI121" s="67">
        <f t="shared" si="23"/>
        <v>0</v>
      </c>
      <c r="AJ121" s="67">
        <f t="shared" si="23"/>
        <v>0</v>
      </c>
      <c r="AK121" s="67">
        <f t="shared" si="23"/>
        <v>0</v>
      </c>
      <c r="AL121" s="67">
        <f t="shared" si="23"/>
        <v>0</v>
      </c>
      <c r="AM121" s="67">
        <f t="shared" si="23"/>
        <v>0</v>
      </c>
      <c r="AN121" s="67">
        <f t="shared" si="23"/>
        <v>0</v>
      </c>
      <c r="AO121" s="67">
        <f t="shared" si="23"/>
        <v>0</v>
      </c>
      <c r="AP121" s="67">
        <f t="shared" si="23"/>
        <v>0</v>
      </c>
      <c r="AQ121" s="67">
        <f t="shared" si="23"/>
        <v>0</v>
      </c>
      <c r="AR121" s="67">
        <f t="shared" si="23"/>
        <v>0</v>
      </c>
      <c r="AS121" s="67">
        <f t="shared" si="23"/>
        <v>0</v>
      </c>
      <c r="AT121" s="67">
        <f t="shared" si="23"/>
        <v>0</v>
      </c>
      <c r="AU121" s="67">
        <f t="shared" si="23"/>
        <v>0</v>
      </c>
      <c r="AV121" s="67">
        <f t="shared" si="23"/>
        <v>0</v>
      </c>
      <c r="AW121" s="67">
        <f t="shared" si="23"/>
        <v>0</v>
      </c>
      <c r="AX121" s="67">
        <f t="shared" si="23"/>
        <v>0</v>
      </c>
      <c r="AY121" s="67">
        <f t="shared" si="23"/>
        <v>0</v>
      </c>
      <c r="AZ121" s="67">
        <f t="shared" si="23"/>
        <v>0</v>
      </c>
      <c r="BA121" s="67">
        <f t="shared" si="23"/>
        <v>0</v>
      </c>
      <c r="BB121" s="67">
        <f t="shared" si="23"/>
        <v>0</v>
      </c>
      <c r="BC121" s="67">
        <f t="shared" si="23"/>
        <v>0</v>
      </c>
      <c r="BD121" s="67">
        <f t="shared" si="23"/>
        <v>0</v>
      </c>
      <c r="BE121" s="67">
        <f t="shared" si="23"/>
        <v>0</v>
      </c>
      <c r="BF121" s="67">
        <f t="shared" si="23"/>
        <v>0</v>
      </c>
      <c r="BG121" s="67">
        <f t="shared" si="23"/>
        <v>0</v>
      </c>
      <c r="BH121" s="67">
        <f t="shared" si="23"/>
        <v>0</v>
      </c>
      <c r="BI121" s="67">
        <f t="shared" si="23"/>
        <v>0</v>
      </c>
      <c r="BJ121" s="67">
        <f t="shared" si="23"/>
        <v>0</v>
      </c>
      <c r="BK121" s="67">
        <f t="shared" si="23"/>
        <v>0</v>
      </c>
      <c r="BL121" s="67">
        <f t="shared" si="23"/>
        <v>0</v>
      </c>
      <c r="BM121" s="67">
        <f t="shared" si="23"/>
        <v>0</v>
      </c>
      <c r="BN121" s="67">
        <f t="shared" si="12"/>
        <v>0</v>
      </c>
      <c r="BO121" s="67">
        <f t="shared" si="24"/>
        <v>0</v>
      </c>
      <c r="BP121" s="67">
        <f t="shared" si="24"/>
        <v>0</v>
      </c>
      <c r="BQ121" s="67">
        <f t="shared" si="24"/>
        <v>0</v>
      </c>
      <c r="BR121" s="67">
        <f t="shared" si="24"/>
        <v>0</v>
      </c>
      <c r="BS121" s="67">
        <f t="shared" si="24"/>
        <v>0</v>
      </c>
      <c r="BT121" s="67">
        <f t="shared" si="24"/>
        <v>0</v>
      </c>
      <c r="BU121" s="67">
        <f t="shared" si="24"/>
        <v>0</v>
      </c>
      <c r="BV121" s="67">
        <f t="shared" si="24"/>
        <v>0</v>
      </c>
      <c r="BW121" s="67">
        <f t="shared" si="24"/>
        <v>0</v>
      </c>
      <c r="BX121" s="67">
        <f t="shared" si="24"/>
        <v>0</v>
      </c>
      <c r="BY121" s="67">
        <f t="shared" si="24"/>
        <v>0</v>
      </c>
      <c r="BZ121" s="67">
        <f t="shared" si="24"/>
        <v>0</v>
      </c>
      <c r="CA121" s="67">
        <f t="shared" si="24"/>
        <v>0</v>
      </c>
      <c r="CB121" s="67">
        <f t="shared" si="24"/>
        <v>0</v>
      </c>
      <c r="CC121" s="67">
        <f t="shared" si="24"/>
        <v>0</v>
      </c>
      <c r="CD121" s="67">
        <f t="shared" si="24"/>
        <v>0</v>
      </c>
      <c r="CE121" s="67">
        <f t="shared" si="24"/>
        <v>0</v>
      </c>
      <c r="CF121" s="67">
        <f t="shared" si="24"/>
        <v>0</v>
      </c>
      <c r="CG121" s="67">
        <f t="shared" si="24"/>
        <v>0</v>
      </c>
      <c r="CH121" s="67">
        <f t="shared" si="24"/>
        <v>0</v>
      </c>
      <c r="CI121" s="67">
        <f t="shared" si="24"/>
        <v>0</v>
      </c>
      <c r="CJ121" s="67">
        <f t="shared" si="24"/>
        <v>0</v>
      </c>
      <c r="CK121" s="67">
        <f t="shared" si="24"/>
        <v>0</v>
      </c>
      <c r="CL121" s="67">
        <f t="shared" si="24"/>
        <v>0</v>
      </c>
      <c r="CM121" s="67">
        <f t="shared" si="24"/>
        <v>0</v>
      </c>
      <c r="CN121" s="67">
        <f t="shared" si="24"/>
        <v>0</v>
      </c>
      <c r="CO121" s="67">
        <f t="shared" si="24"/>
        <v>0</v>
      </c>
      <c r="CP121" s="67">
        <f t="shared" si="24"/>
        <v>0</v>
      </c>
      <c r="CQ121" s="67">
        <f t="shared" si="24"/>
        <v>0</v>
      </c>
      <c r="CR121" s="67">
        <f t="shared" si="24"/>
        <v>0</v>
      </c>
      <c r="CS121" s="67">
        <f t="shared" si="24"/>
        <v>0</v>
      </c>
      <c r="CT121" s="67">
        <f t="shared" si="24"/>
        <v>0</v>
      </c>
      <c r="CU121" s="67">
        <f t="shared" si="24"/>
        <v>0</v>
      </c>
      <c r="CV121" s="67">
        <f t="shared" si="24"/>
        <v>0</v>
      </c>
      <c r="CW121" s="67">
        <f t="shared" si="24"/>
        <v>0</v>
      </c>
      <c r="CX121" s="67">
        <f t="shared" si="24"/>
        <v>0</v>
      </c>
      <c r="CY121" s="67">
        <f t="shared" si="24"/>
        <v>0</v>
      </c>
      <c r="CZ121" s="67">
        <f t="shared" si="24"/>
        <v>0</v>
      </c>
      <c r="DA121" s="67">
        <f t="shared" si="24"/>
        <v>0</v>
      </c>
      <c r="DB121" s="67">
        <f t="shared" si="24"/>
        <v>0</v>
      </c>
      <c r="DC121" s="67">
        <f t="shared" si="24"/>
        <v>0</v>
      </c>
      <c r="DD121" s="67">
        <f t="shared" si="24"/>
        <v>0</v>
      </c>
      <c r="DE121" s="67">
        <f t="shared" si="24"/>
        <v>0</v>
      </c>
      <c r="DF121" s="67">
        <f t="shared" si="24"/>
        <v>0</v>
      </c>
      <c r="DG121" s="67">
        <f t="shared" si="24"/>
        <v>0</v>
      </c>
      <c r="DH121" s="67">
        <f t="shared" si="24"/>
        <v>0</v>
      </c>
      <c r="DI121" s="67">
        <f t="shared" si="24"/>
        <v>0</v>
      </c>
      <c r="DJ121" s="67">
        <f t="shared" si="24"/>
        <v>0</v>
      </c>
      <c r="DK121" s="67">
        <f t="shared" si="24"/>
        <v>0</v>
      </c>
      <c r="DL121" s="67">
        <f t="shared" si="24"/>
        <v>0</v>
      </c>
      <c r="DM121" s="67">
        <f t="shared" si="24"/>
        <v>0</v>
      </c>
      <c r="DN121" s="67">
        <f t="shared" si="24"/>
        <v>0</v>
      </c>
      <c r="DO121" s="67">
        <f t="shared" si="24"/>
        <v>0</v>
      </c>
      <c r="DP121" s="67">
        <f t="shared" si="24"/>
        <v>0</v>
      </c>
      <c r="DQ121" s="67">
        <f t="shared" si="24"/>
        <v>0</v>
      </c>
      <c r="DR121" s="67">
        <f t="shared" si="24"/>
        <v>0</v>
      </c>
      <c r="DS121" s="67">
        <f t="shared" si="24"/>
        <v>0</v>
      </c>
      <c r="DT121" s="67">
        <f t="shared" si="24"/>
        <v>0</v>
      </c>
      <c r="DU121" s="67">
        <f t="shared" si="24"/>
        <v>0</v>
      </c>
      <c r="DV121" s="67">
        <f t="shared" si="24"/>
        <v>0</v>
      </c>
      <c r="DW121" s="67">
        <f t="shared" si="24"/>
        <v>0</v>
      </c>
      <c r="DX121" s="67">
        <f t="shared" si="24"/>
        <v>0</v>
      </c>
      <c r="DY121" s="67">
        <f t="shared" si="24"/>
        <v>0</v>
      </c>
      <c r="DZ121" s="67">
        <f t="shared" si="17"/>
        <v>0</v>
      </c>
      <c r="EA121" s="67">
        <f t="shared" si="17"/>
        <v>0</v>
      </c>
      <c r="EB121" s="67">
        <f t="shared" si="17"/>
        <v>0</v>
      </c>
      <c r="EC121" s="67">
        <f t="shared" si="17"/>
        <v>0</v>
      </c>
      <c r="ED121" s="67">
        <f t="shared" si="17"/>
        <v>0</v>
      </c>
      <c r="EE121" s="67">
        <f t="shared" si="17"/>
        <v>0</v>
      </c>
      <c r="EF121" s="67">
        <f t="shared" si="17"/>
        <v>0</v>
      </c>
      <c r="EG121" s="67">
        <f t="shared" si="17"/>
        <v>0</v>
      </c>
      <c r="EH121" s="67">
        <f t="shared" si="17"/>
        <v>0</v>
      </c>
      <c r="EI121" s="67">
        <f t="shared" si="17"/>
        <v>0</v>
      </c>
      <c r="EJ121" s="67">
        <f t="shared" si="17"/>
        <v>0</v>
      </c>
      <c r="EK121" s="67">
        <f t="shared" si="17"/>
        <v>0</v>
      </c>
      <c r="EL121" s="67">
        <f t="shared" si="17"/>
        <v>0</v>
      </c>
      <c r="EM121" s="67">
        <f t="shared" si="17"/>
        <v>0</v>
      </c>
      <c r="EN121" s="67">
        <f t="shared" si="17"/>
        <v>0</v>
      </c>
      <c r="EO121" s="67">
        <f t="shared" si="17"/>
        <v>0</v>
      </c>
      <c r="EP121" s="67">
        <f t="shared" si="17"/>
        <v>0</v>
      </c>
      <c r="EQ121" s="67">
        <f t="shared" si="17"/>
        <v>0</v>
      </c>
      <c r="ER121" s="67">
        <f t="shared" si="17"/>
        <v>0</v>
      </c>
      <c r="ES121" s="67">
        <f t="shared" si="17"/>
        <v>0</v>
      </c>
      <c r="ET121" s="36">
        <f t="shared" si="16"/>
        <v>0</v>
      </c>
    </row>
    <row r="122" spans="1:150" x14ac:dyDescent="0.3">
      <c r="A122" s="37" t="s">
        <v>18</v>
      </c>
      <c r="B122" s="67">
        <f t="shared" si="23"/>
        <v>0</v>
      </c>
      <c r="C122" s="67">
        <f t="shared" si="23"/>
        <v>194156.05160996073</v>
      </c>
      <c r="D122" s="67">
        <f t="shared" si="23"/>
        <v>0</v>
      </c>
      <c r="E122" s="67">
        <f t="shared" si="23"/>
        <v>0</v>
      </c>
      <c r="F122" s="67">
        <f t="shared" si="23"/>
        <v>0</v>
      </c>
      <c r="G122" s="67">
        <f t="shared" si="23"/>
        <v>0</v>
      </c>
      <c r="H122" s="67">
        <f t="shared" si="23"/>
        <v>0</v>
      </c>
      <c r="I122" s="67">
        <f t="shared" si="23"/>
        <v>0</v>
      </c>
      <c r="J122" s="67">
        <f t="shared" si="23"/>
        <v>58974.408934098763</v>
      </c>
      <c r="K122" s="67">
        <f t="shared" si="23"/>
        <v>0</v>
      </c>
      <c r="L122" s="67">
        <f t="shared" si="23"/>
        <v>0</v>
      </c>
      <c r="M122" s="67">
        <f t="shared" si="23"/>
        <v>0</v>
      </c>
      <c r="N122" s="67">
        <f t="shared" si="23"/>
        <v>0</v>
      </c>
      <c r="O122" s="67">
        <f t="shared" si="23"/>
        <v>0</v>
      </c>
      <c r="P122" s="67">
        <f t="shared" si="23"/>
        <v>0</v>
      </c>
      <c r="Q122" s="67">
        <f t="shared" si="23"/>
        <v>0</v>
      </c>
      <c r="R122" s="67">
        <f t="shared" si="23"/>
        <v>0</v>
      </c>
      <c r="S122" s="67">
        <f t="shared" si="23"/>
        <v>0</v>
      </c>
      <c r="T122" s="67">
        <f t="shared" si="23"/>
        <v>0</v>
      </c>
      <c r="U122" s="67">
        <f t="shared" si="23"/>
        <v>0</v>
      </c>
      <c r="V122" s="67">
        <f t="shared" si="23"/>
        <v>0</v>
      </c>
      <c r="W122" s="67">
        <f t="shared" si="23"/>
        <v>0</v>
      </c>
      <c r="X122" s="67">
        <f t="shared" si="23"/>
        <v>116783.97530831826</v>
      </c>
      <c r="Y122" s="67">
        <f t="shared" si="23"/>
        <v>0</v>
      </c>
      <c r="Z122" s="67">
        <f t="shared" si="23"/>
        <v>0</v>
      </c>
      <c r="AA122" s="67">
        <f t="shared" si="23"/>
        <v>124368.50157172611</v>
      </c>
      <c r="AB122" s="67">
        <f t="shared" si="23"/>
        <v>0</v>
      </c>
      <c r="AC122" s="67">
        <f t="shared" si="23"/>
        <v>0</v>
      </c>
      <c r="AD122" s="67">
        <f t="shared" si="23"/>
        <v>0</v>
      </c>
      <c r="AE122" s="67">
        <f t="shared" si="23"/>
        <v>0</v>
      </c>
      <c r="AF122" s="67">
        <f t="shared" si="23"/>
        <v>0</v>
      </c>
      <c r="AG122" s="67">
        <f t="shared" si="23"/>
        <v>0</v>
      </c>
      <c r="AH122" s="67">
        <f t="shared" si="23"/>
        <v>0</v>
      </c>
      <c r="AI122" s="67">
        <f t="shared" si="23"/>
        <v>0</v>
      </c>
      <c r="AJ122" s="67">
        <f t="shared" si="23"/>
        <v>0</v>
      </c>
      <c r="AK122" s="67">
        <f t="shared" si="23"/>
        <v>0</v>
      </c>
      <c r="AL122" s="67">
        <f t="shared" si="23"/>
        <v>0</v>
      </c>
      <c r="AM122" s="67">
        <f t="shared" si="23"/>
        <v>0</v>
      </c>
      <c r="AN122" s="67">
        <f t="shared" si="23"/>
        <v>0</v>
      </c>
      <c r="AO122" s="67">
        <f t="shared" si="23"/>
        <v>0</v>
      </c>
      <c r="AP122" s="67">
        <f t="shared" si="23"/>
        <v>0</v>
      </c>
      <c r="AQ122" s="67">
        <f t="shared" si="23"/>
        <v>0</v>
      </c>
      <c r="AR122" s="67">
        <f t="shared" si="23"/>
        <v>0</v>
      </c>
      <c r="AS122" s="67">
        <f t="shared" si="23"/>
        <v>0</v>
      </c>
      <c r="AT122" s="67">
        <f t="shared" si="23"/>
        <v>0</v>
      </c>
      <c r="AU122" s="67">
        <f t="shared" si="23"/>
        <v>0</v>
      </c>
      <c r="AV122" s="67">
        <f t="shared" si="23"/>
        <v>0</v>
      </c>
      <c r="AW122" s="67">
        <f t="shared" si="23"/>
        <v>0</v>
      </c>
      <c r="AX122" s="67">
        <f t="shared" si="23"/>
        <v>0</v>
      </c>
      <c r="AY122" s="67">
        <f t="shared" si="23"/>
        <v>0</v>
      </c>
      <c r="AZ122" s="67">
        <f t="shared" si="23"/>
        <v>0</v>
      </c>
      <c r="BA122" s="67">
        <f t="shared" si="23"/>
        <v>0</v>
      </c>
      <c r="BB122" s="67">
        <f t="shared" si="23"/>
        <v>0</v>
      </c>
      <c r="BC122" s="67">
        <f t="shared" si="23"/>
        <v>0</v>
      </c>
      <c r="BD122" s="67">
        <f t="shared" si="23"/>
        <v>0</v>
      </c>
      <c r="BE122" s="67">
        <f t="shared" si="23"/>
        <v>0</v>
      </c>
      <c r="BF122" s="67">
        <f t="shared" si="23"/>
        <v>0</v>
      </c>
      <c r="BG122" s="67">
        <f t="shared" si="23"/>
        <v>0</v>
      </c>
      <c r="BH122" s="67">
        <f t="shared" si="23"/>
        <v>0</v>
      </c>
      <c r="BI122" s="67">
        <f t="shared" si="23"/>
        <v>0</v>
      </c>
      <c r="BJ122" s="67">
        <f t="shared" si="23"/>
        <v>363582.89985797729</v>
      </c>
      <c r="BK122" s="67">
        <f t="shared" si="23"/>
        <v>0</v>
      </c>
      <c r="BL122" s="67">
        <f t="shared" si="23"/>
        <v>0</v>
      </c>
      <c r="BM122" s="67">
        <f t="shared" ref="BM122" si="25">BM70*BM96</f>
        <v>0</v>
      </c>
      <c r="BN122" s="67">
        <f t="shared" si="12"/>
        <v>0</v>
      </c>
      <c r="BO122" s="67">
        <f t="shared" si="24"/>
        <v>164439.26592719633</v>
      </c>
      <c r="BP122" s="67">
        <f t="shared" si="24"/>
        <v>0</v>
      </c>
      <c r="BQ122" s="67">
        <f t="shared" si="24"/>
        <v>293922.90287915117</v>
      </c>
      <c r="BR122" s="67">
        <f t="shared" si="24"/>
        <v>0</v>
      </c>
      <c r="BS122" s="67">
        <f t="shared" si="24"/>
        <v>116185.62492235415</v>
      </c>
      <c r="BT122" s="67">
        <f t="shared" si="24"/>
        <v>0</v>
      </c>
      <c r="BU122" s="67">
        <f t="shared" si="24"/>
        <v>0</v>
      </c>
      <c r="BV122" s="67">
        <f t="shared" si="24"/>
        <v>244931.86234833175</v>
      </c>
      <c r="BW122" s="67">
        <f t="shared" si="24"/>
        <v>0</v>
      </c>
      <c r="BX122" s="67">
        <f t="shared" si="24"/>
        <v>218352.47228646273</v>
      </c>
      <c r="BY122" s="67">
        <f t="shared" si="24"/>
        <v>0</v>
      </c>
      <c r="BZ122" s="67">
        <f t="shared" si="24"/>
        <v>0</v>
      </c>
      <c r="CA122" s="67">
        <f t="shared" si="24"/>
        <v>0</v>
      </c>
      <c r="CB122" s="67">
        <f t="shared" si="24"/>
        <v>0</v>
      </c>
      <c r="CC122" s="67">
        <f t="shared" si="24"/>
        <v>0</v>
      </c>
      <c r="CD122" s="67">
        <f t="shared" si="24"/>
        <v>0</v>
      </c>
      <c r="CE122" s="67">
        <f t="shared" si="24"/>
        <v>0</v>
      </c>
      <c r="CF122" s="67">
        <f t="shared" si="24"/>
        <v>0</v>
      </c>
      <c r="CG122" s="67">
        <f t="shared" si="24"/>
        <v>28911.701357735561</v>
      </c>
      <c r="CH122" s="67">
        <f t="shared" si="24"/>
        <v>0</v>
      </c>
      <c r="CI122" s="67">
        <f t="shared" si="24"/>
        <v>0</v>
      </c>
      <c r="CJ122" s="67">
        <f t="shared" si="24"/>
        <v>0</v>
      </c>
      <c r="CK122" s="67">
        <f t="shared" si="24"/>
        <v>111015.62829987193</v>
      </c>
      <c r="CL122" s="67">
        <f t="shared" si="24"/>
        <v>0</v>
      </c>
      <c r="CM122" s="67">
        <f t="shared" si="24"/>
        <v>0</v>
      </c>
      <c r="CN122" s="67">
        <f t="shared" si="24"/>
        <v>0</v>
      </c>
      <c r="CO122" s="67">
        <f t="shared" si="24"/>
        <v>0</v>
      </c>
      <c r="CP122" s="67">
        <f t="shared" si="24"/>
        <v>0</v>
      </c>
      <c r="CQ122" s="67">
        <f t="shared" si="24"/>
        <v>0</v>
      </c>
      <c r="CR122" s="67">
        <f t="shared" si="24"/>
        <v>0</v>
      </c>
      <c r="CS122" s="67">
        <f t="shared" si="24"/>
        <v>662334.20665146108</v>
      </c>
      <c r="CT122" s="67">
        <f t="shared" si="24"/>
        <v>0</v>
      </c>
      <c r="CU122" s="67">
        <f t="shared" si="24"/>
        <v>0</v>
      </c>
      <c r="CV122" s="67">
        <f t="shared" si="24"/>
        <v>0</v>
      </c>
      <c r="CW122" s="67">
        <f t="shared" si="24"/>
        <v>0</v>
      </c>
      <c r="CX122" s="67">
        <f t="shared" si="24"/>
        <v>0</v>
      </c>
      <c r="CY122" s="67">
        <f t="shared" si="24"/>
        <v>0</v>
      </c>
      <c r="CZ122" s="67">
        <f t="shared" si="24"/>
        <v>0</v>
      </c>
      <c r="DA122" s="67">
        <f t="shared" si="24"/>
        <v>0</v>
      </c>
      <c r="DB122" s="67">
        <f t="shared" si="24"/>
        <v>0</v>
      </c>
      <c r="DC122" s="67">
        <f t="shared" si="24"/>
        <v>0</v>
      </c>
      <c r="DD122" s="67">
        <f t="shared" si="24"/>
        <v>0</v>
      </c>
      <c r="DE122" s="67">
        <f t="shared" si="24"/>
        <v>0</v>
      </c>
      <c r="DF122" s="67">
        <f t="shared" si="24"/>
        <v>0</v>
      </c>
      <c r="DG122" s="67">
        <f t="shared" si="24"/>
        <v>101820.11378313965</v>
      </c>
      <c r="DH122" s="67">
        <f t="shared" si="24"/>
        <v>5661.6712422648025</v>
      </c>
      <c r="DI122" s="67">
        <f t="shared" si="24"/>
        <v>0</v>
      </c>
      <c r="DJ122" s="67">
        <f t="shared" si="24"/>
        <v>0</v>
      </c>
      <c r="DK122" s="67">
        <f t="shared" si="24"/>
        <v>0</v>
      </c>
      <c r="DL122" s="67">
        <f t="shared" si="24"/>
        <v>0</v>
      </c>
      <c r="DM122" s="67">
        <f t="shared" si="24"/>
        <v>0</v>
      </c>
      <c r="DN122" s="67">
        <f t="shared" si="24"/>
        <v>0</v>
      </c>
      <c r="DO122" s="67">
        <f t="shared" si="24"/>
        <v>105520.3757084675</v>
      </c>
      <c r="DP122" s="67">
        <f t="shared" si="24"/>
        <v>0</v>
      </c>
      <c r="DQ122" s="67">
        <f t="shared" si="24"/>
        <v>0</v>
      </c>
      <c r="DR122" s="67">
        <f t="shared" si="24"/>
        <v>0</v>
      </c>
      <c r="DS122" s="67">
        <f t="shared" si="24"/>
        <v>0</v>
      </c>
      <c r="DT122" s="67">
        <f t="shared" si="24"/>
        <v>0</v>
      </c>
      <c r="DU122" s="67">
        <f t="shared" si="24"/>
        <v>0</v>
      </c>
      <c r="DV122" s="67">
        <f t="shared" si="24"/>
        <v>0</v>
      </c>
      <c r="DW122" s="67">
        <f t="shared" si="24"/>
        <v>0</v>
      </c>
      <c r="DX122" s="67">
        <f t="shared" si="24"/>
        <v>0</v>
      </c>
      <c r="DY122" s="67">
        <f t="shared" si="24"/>
        <v>0</v>
      </c>
      <c r="DZ122" s="67">
        <f t="shared" si="17"/>
        <v>0</v>
      </c>
      <c r="EA122" s="67">
        <f t="shared" si="17"/>
        <v>0</v>
      </c>
      <c r="EB122" s="67">
        <f t="shared" si="17"/>
        <v>0</v>
      </c>
      <c r="EC122" s="67">
        <f t="shared" si="17"/>
        <v>0</v>
      </c>
      <c r="ED122" s="67">
        <f t="shared" si="17"/>
        <v>0</v>
      </c>
      <c r="EE122" s="67">
        <f t="shared" si="17"/>
        <v>0</v>
      </c>
      <c r="EF122" s="67">
        <f t="shared" si="17"/>
        <v>0</v>
      </c>
      <c r="EG122" s="67">
        <f t="shared" si="17"/>
        <v>0</v>
      </c>
      <c r="EH122" s="67">
        <f t="shared" si="17"/>
        <v>0</v>
      </c>
      <c r="EI122" s="67">
        <f t="shared" si="17"/>
        <v>0</v>
      </c>
      <c r="EJ122" s="67">
        <f t="shared" si="17"/>
        <v>0</v>
      </c>
      <c r="EK122" s="67">
        <f t="shared" si="17"/>
        <v>0</v>
      </c>
      <c r="EL122" s="67">
        <f t="shared" si="17"/>
        <v>0</v>
      </c>
      <c r="EM122" s="67">
        <f t="shared" si="17"/>
        <v>0</v>
      </c>
      <c r="EN122" s="67">
        <f t="shared" si="17"/>
        <v>92486.722305542673</v>
      </c>
      <c r="EO122" s="67">
        <f t="shared" si="17"/>
        <v>105081.5127374146</v>
      </c>
      <c r="EP122" s="67">
        <f t="shared" si="17"/>
        <v>0</v>
      </c>
      <c r="EQ122" s="67">
        <f t="shared" si="17"/>
        <v>0</v>
      </c>
      <c r="ER122" s="67">
        <f t="shared" si="17"/>
        <v>0</v>
      </c>
      <c r="ES122" s="67">
        <f t="shared" si="17"/>
        <v>0</v>
      </c>
      <c r="ET122" s="36">
        <f t="shared" si="16"/>
        <v>3108529.8977314755</v>
      </c>
    </row>
    <row r="123" spans="1:150" x14ac:dyDescent="0.3">
      <c r="A123" s="37" t="s">
        <v>26</v>
      </c>
      <c r="B123" s="67">
        <f t="shared" ref="B123:BM126" si="26">B71*B97</f>
        <v>0</v>
      </c>
      <c r="C123" s="67">
        <f t="shared" si="26"/>
        <v>0</v>
      </c>
      <c r="D123" s="67">
        <f t="shared" si="26"/>
        <v>0</v>
      </c>
      <c r="E123" s="67">
        <f t="shared" si="26"/>
        <v>0</v>
      </c>
      <c r="F123" s="67">
        <f t="shared" si="26"/>
        <v>0</v>
      </c>
      <c r="G123" s="67">
        <f t="shared" si="26"/>
        <v>0</v>
      </c>
      <c r="H123" s="67">
        <f t="shared" si="26"/>
        <v>0</v>
      </c>
      <c r="I123" s="67">
        <f t="shared" si="26"/>
        <v>0</v>
      </c>
      <c r="J123" s="67">
        <f t="shared" si="26"/>
        <v>0</v>
      </c>
      <c r="K123" s="67">
        <f t="shared" si="26"/>
        <v>0</v>
      </c>
      <c r="L123" s="67">
        <f t="shared" si="26"/>
        <v>0</v>
      </c>
      <c r="M123" s="67">
        <f t="shared" si="26"/>
        <v>0</v>
      </c>
      <c r="N123" s="67">
        <f t="shared" si="26"/>
        <v>0</v>
      </c>
      <c r="O123" s="67">
        <f t="shared" si="26"/>
        <v>0</v>
      </c>
      <c r="P123" s="67">
        <f t="shared" si="26"/>
        <v>0</v>
      </c>
      <c r="Q123" s="67">
        <f t="shared" si="26"/>
        <v>0</v>
      </c>
      <c r="R123" s="67">
        <f t="shared" si="26"/>
        <v>0</v>
      </c>
      <c r="S123" s="67">
        <f t="shared" si="26"/>
        <v>0</v>
      </c>
      <c r="T123" s="67">
        <f t="shared" si="26"/>
        <v>0</v>
      </c>
      <c r="U123" s="67">
        <f t="shared" si="26"/>
        <v>0</v>
      </c>
      <c r="V123" s="67">
        <f t="shared" si="26"/>
        <v>0</v>
      </c>
      <c r="W123" s="67">
        <f t="shared" si="26"/>
        <v>0</v>
      </c>
      <c r="X123" s="67">
        <f t="shared" si="26"/>
        <v>0</v>
      </c>
      <c r="Y123" s="67">
        <f t="shared" si="26"/>
        <v>0</v>
      </c>
      <c r="Z123" s="67">
        <f t="shared" si="26"/>
        <v>0</v>
      </c>
      <c r="AA123" s="67">
        <f t="shared" si="26"/>
        <v>0</v>
      </c>
      <c r="AB123" s="67">
        <f t="shared" si="26"/>
        <v>0</v>
      </c>
      <c r="AC123" s="67">
        <f t="shared" si="26"/>
        <v>0</v>
      </c>
      <c r="AD123" s="67">
        <f t="shared" si="26"/>
        <v>0</v>
      </c>
      <c r="AE123" s="67">
        <f t="shared" si="26"/>
        <v>0</v>
      </c>
      <c r="AF123" s="67">
        <f t="shared" si="26"/>
        <v>0</v>
      </c>
      <c r="AG123" s="67">
        <f t="shared" si="26"/>
        <v>0</v>
      </c>
      <c r="AH123" s="67">
        <f t="shared" si="26"/>
        <v>0</v>
      </c>
      <c r="AI123" s="67">
        <f t="shared" si="26"/>
        <v>0</v>
      </c>
      <c r="AJ123" s="67">
        <f t="shared" si="26"/>
        <v>0</v>
      </c>
      <c r="AK123" s="67">
        <f t="shared" si="26"/>
        <v>0</v>
      </c>
      <c r="AL123" s="67">
        <f t="shared" si="26"/>
        <v>0</v>
      </c>
      <c r="AM123" s="67">
        <f t="shared" si="26"/>
        <v>0</v>
      </c>
      <c r="AN123" s="67">
        <f t="shared" si="26"/>
        <v>0</v>
      </c>
      <c r="AO123" s="67">
        <f t="shared" si="26"/>
        <v>0</v>
      </c>
      <c r="AP123" s="67">
        <f t="shared" si="26"/>
        <v>0</v>
      </c>
      <c r="AQ123" s="67">
        <f t="shared" si="26"/>
        <v>0</v>
      </c>
      <c r="AR123" s="67">
        <f t="shared" si="26"/>
        <v>0</v>
      </c>
      <c r="AS123" s="67">
        <f t="shared" si="26"/>
        <v>0</v>
      </c>
      <c r="AT123" s="67">
        <f t="shared" si="26"/>
        <v>0</v>
      </c>
      <c r="AU123" s="67">
        <f t="shared" si="26"/>
        <v>0</v>
      </c>
      <c r="AV123" s="67">
        <f t="shared" si="26"/>
        <v>0</v>
      </c>
      <c r="AW123" s="67">
        <f t="shared" si="26"/>
        <v>0</v>
      </c>
      <c r="AX123" s="67">
        <f t="shared" si="26"/>
        <v>0</v>
      </c>
      <c r="AY123" s="67">
        <f t="shared" si="26"/>
        <v>0</v>
      </c>
      <c r="AZ123" s="67">
        <f t="shared" si="26"/>
        <v>0</v>
      </c>
      <c r="BA123" s="67">
        <f t="shared" si="26"/>
        <v>0</v>
      </c>
      <c r="BB123" s="67">
        <f t="shared" si="26"/>
        <v>0</v>
      </c>
      <c r="BC123" s="67">
        <f t="shared" si="26"/>
        <v>0</v>
      </c>
      <c r="BD123" s="67">
        <f t="shared" si="26"/>
        <v>0</v>
      </c>
      <c r="BE123" s="67">
        <f t="shared" si="26"/>
        <v>0</v>
      </c>
      <c r="BF123" s="67">
        <f t="shared" si="26"/>
        <v>0</v>
      </c>
      <c r="BG123" s="67">
        <f t="shared" si="26"/>
        <v>0</v>
      </c>
      <c r="BH123" s="67">
        <f t="shared" si="26"/>
        <v>0</v>
      </c>
      <c r="BI123" s="67">
        <f t="shared" si="26"/>
        <v>0</v>
      </c>
      <c r="BJ123" s="67">
        <f t="shared" si="26"/>
        <v>0</v>
      </c>
      <c r="BK123" s="67">
        <f t="shared" si="26"/>
        <v>0</v>
      </c>
      <c r="BL123" s="67">
        <f t="shared" si="26"/>
        <v>0</v>
      </c>
      <c r="BM123" s="67">
        <f t="shared" si="26"/>
        <v>0</v>
      </c>
      <c r="BN123" s="67">
        <f t="shared" si="12"/>
        <v>0</v>
      </c>
      <c r="BO123" s="67">
        <f t="shared" si="24"/>
        <v>0</v>
      </c>
      <c r="BP123" s="67">
        <f t="shared" si="24"/>
        <v>0</v>
      </c>
      <c r="BQ123" s="67">
        <f t="shared" si="24"/>
        <v>0</v>
      </c>
      <c r="BR123" s="67">
        <f t="shared" ref="BR123:DY123" si="27">BR71*BR97</f>
        <v>0</v>
      </c>
      <c r="BS123" s="67">
        <f t="shared" si="27"/>
        <v>0</v>
      </c>
      <c r="BT123" s="67">
        <f t="shared" si="27"/>
        <v>0</v>
      </c>
      <c r="BU123" s="67">
        <f t="shared" si="27"/>
        <v>0</v>
      </c>
      <c r="BV123" s="67">
        <f t="shared" si="27"/>
        <v>0</v>
      </c>
      <c r="BW123" s="67">
        <f t="shared" si="27"/>
        <v>0</v>
      </c>
      <c r="BX123" s="67">
        <f t="shared" si="27"/>
        <v>0</v>
      </c>
      <c r="BY123" s="67">
        <f t="shared" si="27"/>
        <v>0</v>
      </c>
      <c r="BZ123" s="67">
        <f t="shared" si="27"/>
        <v>0</v>
      </c>
      <c r="CA123" s="67">
        <f t="shared" si="27"/>
        <v>0</v>
      </c>
      <c r="CB123" s="67">
        <f t="shared" si="27"/>
        <v>0</v>
      </c>
      <c r="CC123" s="67">
        <f t="shared" si="27"/>
        <v>0</v>
      </c>
      <c r="CD123" s="67">
        <f t="shared" si="27"/>
        <v>0</v>
      </c>
      <c r="CE123" s="67">
        <f t="shared" si="27"/>
        <v>0</v>
      </c>
      <c r="CF123" s="67">
        <f t="shared" si="27"/>
        <v>0</v>
      </c>
      <c r="CG123" s="67">
        <f t="shared" si="27"/>
        <v>0</v>
      </c>
      <c r="CH123" s="67">
        <f t="shared" si="27"/>
        <v>0</v>
      </c>
      <c r="CI123" s="67">
        <f t="shared" si="27"/>
        <v>0</v>
      </c>
      <c r="CJ123" s="67">
        <f t="shared" si="27"/>
        <v>0</v>
      </c>
      <c r="CK123" s="67">
        <f t="shared" si="27"/>
        <v>0</v>
      </c>
      <c r="CL123" s="67">
        <f t="shared" si="27"/>
        <v>0</v>
      </c>
      <c r="CM123" s="67">
        <f t="shared" si="27"/>
        <v>0</v>
      </c>
      <c r="CN123" s="67">
        <f t="shared" si="27"/>
        <v>0</v>
      </c>
      <c r="CO123" s="67">
        <f t="shared" si="27"/>
        <v>0</v>
      </c>
      <c r="CP123" s="67">
        <f t="shared" si="27"/>
        <v>0</v>
      </c>
      <c r="CQ123" s="67">
        <f t="shared" si="27"/>
        <v>0</v>
      </c>
      <c r="CR123" s="67">
        <f t="shared" si="27"/>
        <v>0</v>
      </c>
      <c r="CS123" s="67">
        <f t="shared" si="27"/>
        <v>0</v>
      </c>
      <c r="CT123" s="67">
        <f t="shared" si="27"/>
        <v>0</v>
      </c>
      <c r="CU123" s="67">
        <f t="shared" si="27"/>
        <v>0</v>
      </c>
      <c r="CV123" s="67">
        <f t="shared" si="27"/>
        <v>0</v>
      </c>
      <c r="CW123" s="67">
        <f t="shared" si="27"/>
        <v>0</v>
      </c>
      <c r="CX123" s="67">
        <f t="shared" si="27"/>
        <v>0</v>
      </c>
      <c r="CY123" s="67">
        <f t="shared" si="27"/>
        <v>0</v>
      </c>
      <c r="CZ123" s="67">
        <f t="shared" si="27"/>
        <v>0</v>
      </c>
      <c r="DA123" s="67">
        <f t="shared" si="27"/>
        <v>0</v>
      </c>
      <c r="DB123" s="67">
        <f t="shared" si="27"/>
        <v>0</v>
      </c>
      <c r="DC123" s="67">
        <f t="shared" si="27"/>
        <v>0</v>
      </c>
      <c r="DD123" s="67">
        <f t="shared" si="27"/>
        <v>0</v>
      </c>
      <c r="DE123" s="67">
        <f t="shared" si="27"/>
        <v>0</v>
      </c>
      <c r="DF123" s="67">
        <f t="shared" si="27"/>
        <v>0</v>
      </c>
      <c r="DG123" s="67">
        <f t="shared" si="27"/>
        <v>0</v>
      </c>
      <c r="DH123" s="67">
        <f t="shared" si="27"/>
        <v>0</v>
      </c>
      <c r="DI123" s="67">
        <f t="shared" si="27"/>
        <v>0</v>
      </c>
      <c r="DJ123" s="67">
        <f t="shared" si="27"/>
        <v>0</v>
      </c>
      <c r="DK123" s="67">
        <f t="shared" si="27"/>
        <v>0</v>
      </c>
      <c r="DL123" s="67">
        <f t="shared" si="27"/>
        <v>0</v>
      </c>
      <c r="DM123" s="67">
        <f t="shared" si="27"/>
        <v>0</v>
      </c>
      <c r="DN123" s="67">
        <f t="shared" si="27"/>
        <v>0</v>
      </c>
      <c r="DO123" s="67">
        <f t="shared" si="27"/>
        <v>0</v>
      </c>
      <c r="DP123" s="67">
        <f t="shared" si="27"/>
        <v>0</v>
      </c>
      <c r="DQ123" s="67">
        <f t="shared" si="27"/>
        <v>0</v>
      </c>
      <c r="DR123" s="67">
        <f t="shared" si="27"/>
        <v>0</v>
      </c>
      <c r="DS123" s="67">
        <f t="shared" si="27"/>
        <v>0</v>
      </c>
      <c r="DT123" s="67">
        <f t="shared" si="27"/>
        <v>0</v>
      </c>
      <c r="DU123" s="67">
        <f t="shared" si="27"/>
        <v>0</v>
      </c>
      <c r="DV123" s="67">
        <f t="shared" si="27"/>
        <v>0</v>
      </c>
      <c r="DW123" s="67">
        <f t="shared" si="27"/>
        <v>0</v>
      </c>
      <c r="DX123" s="67">
        <f t="shared" si="27"/>
        <v>0</v>
      </c>
      <c r="DY123" s="67">
        <f t="shared" si="27"/>
        <v>0</v>
      </c>
      <c r="DZ123" s="67">
        <f t="shared" si="17"/>
        <v>0</v>
      </c>
      <c r="EA123" s="67">
        <f t="shared" si="17"/>
        <v>0</v>
      </c>
      <c r="EB123" s="67">
        <f t="shared" si="17"/>
        <v>0</v>
      </c>
      <c r="EC123" s="67">
        <f t="shared" si="17"/>
        <v>0</v>
      </c>
      <c r="ED123" s="67">
        <f t="shared" si="17"/>
        <v>0</v>
      </c>
      <c r="EE123" s="67">
        <f t="shared" si="17"/>
        <v>0</v>
      </c>
      <c r="EF123" s="67">
        <f t="shared" si="17"/>
        <v>0</v>
      </c>
      <c r="EG123" s="67">
        <f t="shared" si="17"/>
        <v>0</v>
      </c>
      <c r="EH123" s="67">
        <f t="shared" si="17"/>
        <v>0</v>
      </c>
      <c r="EI123" s="67">
        <f t="shared" si="17"/>
        <v>0</v>
      </c>
      <c r="EJ123" s="67">
        <f t="shared" si="17"/>
        <v>0</v>
      </c>
      <c r="EK123" s="67">
        <f t="shared" si="17"/>
        <v>0</v>
      </c>
      <c r="EL123" s="67">
        <f t="shared" si="17"/>
        <v>0</v>
      </c>
      <c r="EM123" s="67">
        <f t="shared" si="17"/>
        <v>0</v>
      </c>
      <c r="EN123" s="67">
        <f t="shared" si="17"/>
        <v>0</v>
      </c>
      <c r="EO123" s="67">
        <f t="shared" si="17"/>
        <v>0</v>
      </c>
      <c r="EP123" s="67">
        <f t="shared" si="17"/>
        <v>0</v>
      </c>
      <c r="EQ123" s="67">
        <f t="shared" si="17"/>
        <v>0</v>
      </c>
      <c r="ER123" s="67">
        <f t="shared" si="17"/>
        <v>0</v>
      </c>
      <c r="ES123" s="67">
        <f t="shared" si="17"/>
        <v>0</v>
      </c>
      <c r="ET123" s="36">
        <f t="shared" si="16"/>
        <v>0</v>
      </c>
    </row>
    <row r="124" spans="1:150" x14ac:dyDescent="0.3">
      <c r="A124" s="37" t="s">
        <v>19</v>
      </c>
      <c r="B124" s="67">
        <f t="shared" si="26"/>
        <v>0</v>
      </c>
      <c r="C124" s="67">
        <f t="shared" si="26"/>
        <v>0</v>
      </c>
      <c r="D124" s="67">
        <f t="shared" si="26"/>
        <v>0</v>
      </c>
      <c r="E124" s="67">
        <f t="shared" si="26"/>
        <v>0</v>
      </c>
      <c r="F124" s="67">
        <f t="shared" si="26"/>
        <v>0</v>
      </c>
      <c r="G124" s="67">
        <f t="shared" si="26"/>
        <v>0</v>
      </c>
      <c r="H124" s="67">
        <f t="shared" si="26"/>
        <v>0</v>
      </c>
      <c r="I124" s="67">
        <f t="shared" si="26"/>
        <v>0</v>
      </c>
      <c r="J124" s="67">
        <f t="shared" si="26"/>
        <v>0</v>
      </c>
      <c r="K124" s="67">
        <f t="shared" si="26"/>
        <v>0</v>
      </c>
      <c r="L124" s="67">
        <f t="shared" si="26"/>
        <v>0</v>
      </c>
      <c r="M124" s="67">
        <f t="shared" si="26"/>
        <v>366867.58365811431</v>
      </c>
      <c r="N124" s="67">
        <f t="shared" si="26"/>
        <v>0</v>
      </c>
      <c r="O124" s="67">
        <f t="shared" si="26"/>
        <v>0</v>
      </c>
      <c r="P124" s="67">
        <f t="shared" si="26"/>
        <v>0</v>
      </c>
      <c r="Q124" s="67">
        <f t="shared" si="26"/>
        <v>0</v>
      </c>
      <c r="R124" s="67">
        <f t="shared" si="26"/>
        <v>182674.810984109</v>
      </c>
      <c r="S124" s="67">
        <f t="shared" si="26"/>
        <v>0</v>
      </c>
      <c r="T124" s="67">
        <f t="shared" si="26"/>
        <v>0</v>
      </c>
      <c r="U124" s="67">
        <f t="shared" si="26"/>
        <v>0</v>
      </c>
      <c r="V124" s="67">
        <f t="shared" si="26"/>
        <v>0</v>
      </c>
      <c r="W124" s="67">
        <f t="shared" si="26"/>
        <v>0</v>
      </c>
      <c r="X124" s="67">
        <f t="shared" si="26"/>
        <v>0</v>
      </c>
      <c r="Y124" s="67">
        <f t="shared" si="26"/>
        <v>0</v>
      </c>
      <c r="Z124" s="67">
        <f t="shared" si="26"/>
        <v>0</v>
      </c>
      <c r="AA124" s="67">
        <f t="shared" si="26"/>
        <v>0</v>
      </c>
      <c r="AB124" s="67">
        <f t="shared" si="26"/>
        <v>0</v>
      </c>
      <c r="AC124" s="67">
        <f t="shared" si="26"/>
        <v>0</v>
      </c>
      <c r="AD124" s="67">
        <f t="shared" si="26"/>
        <v>0</v>
      </c>
      <c r="AE124" s="67">
        <f t="shared" si="26"/>
        <v>0</v>
      </c>
      <c r="AF124" s="67">
        <f t="shared" si="26"/>
        <v>0</v>
      </c>
      <c r="AG124" s="67">
        <f t="shared" si="26"/>
        <v>0</v>
      </c>
      <c r="AH124" s="67">
        <f t="shared" si="26"/>
        <v>0</v>
      </c>
      <c r="AI124" s="67">
        <f t="shared" si="26"/>
        <v>0</v>
      </c>
      <c r="AJ124" s="67">
        <f t="shared" si="26"/>
        <v>0</v>
      </c>
      <c r="AK124" s="67">
        <f t="shared" si="26"/>
        <v>0</v>
      </c>
      <c r="AL124" s="67">
        <f t="shared" si="26"/>
        <v>0</v>
      </c>
      <c r="AM124" s="67">
        <f t="shared" si="26"/>
        <v>0</v>
      </c>
      <c r="AN124" s="67">
        <f t="shared" si="26"/>
        <v>0</v>
      </c>
      <c r="AO124" s="67">
        <f t="shared" si="26"/>
        <v>0</v>
      </c>
      <c r="AP124" s="67">
        <f t="shared" si="26"/>
        <v>0</v>
      </c>
      <c r="AQ124" s="67">
        <f t="shared" si="26"/>
        <v>230251.8496734318</v>
      </c>
      <c r="AR124" s="67">
        <f t="shared" si="26"/>
        <v>0</v>
      </c>
      <c r="AS124" s="67">
        <f t="shared" si="26"/>
        <v>0</v>
      </c>
      <c r="AT124" s="67">
        <f t="shared" si="26"/>
        <v>0</v>
      </c>
      <c r="AU124" s="67">
        <f t="shared" si="26"/>
        <v>0</v>
      </c>
      <c r="AV124" s="67">
        <f t="shared" si="26"/>
        <v>99445.878494272649</v>
      </c>
      <c r="AW124" s="67">
        <f t="shared" si="26"/>
        <v>0</v>
      </c>
      <c r="AX124" s="67">
        <f t="shared" si="26"/>
        <v>0</v>
      </c>
      <c r="AY124" s="67">
        <f t="shared" si="26"/>
        <v>0</v>
      </c>
      <c r="AZ124" s="67">
        <f t="shared" si="26"/>
        <v>0</v>
      </c>
      <c r="BA124" s="67">
        <f t="shared" si="26"/>
        <v>0</v>
      </c>
      <c r="BB124" s="67">
        <f t="shared" si="26"/>
        <v>0</v>
      </c>
      <c r="BC124" s="67">
        <f t="shared" si="26"/>
        <v>0</v>
      </c>
      <c r="BD124" s="67">
        <f t="shared" si="26"/>
        <v>0</v>
      </c>
      <c r="BE124" s="67">
        <f t="shared" si="26"/>
        <v>0</v>
      </c>
      <c r="BF124" s="67">
        <f t="shared" si="26"/>
        <v>0</v>
      </c>
      <c r="BG124" s="67">
        <f t="shared" si="26"/>
        <v>0</v>
      </c>
      <c r="BH124" s="67">
        <f t="shared" si="26"/>
        <v>0</v>
      </c>
      <c r="BI124" s="67">
        <f t="shared" si="26"/>
        <v>0</v>
      </c>
      <c r="BJ124" s="67">
        <f t="shared" si="26"/>
        <v>0</v>
      </c>
      <c r="BK124" s="67">
        <f t="shared" si="26"/>
        <v>0</v>
      </c>
      <c r="BL124" s="67">
        <f t="shared" si="26"/>
        <v>0</v>
      </c>
      <c r="BM124" s="67">
        <f t="shared" si="26"/>
        <v>0</v>
      </c>
      <c r="BN124" s="67">
        <f t="shared" si="12"/>
        <v>0</v>
      </c>
      <c r="BO124" s="67">
        <f t="shared" ref="BO124:DZ132" si="28">BO72*BO98</f>
        <v>0</v>
      </c>
      <c r="BP124" s="67">
        <f t="shared" si="28"/>
        <v>0</v>
      </c>
      <c r="BQ124" s="67">
        <f t="shared" si="28"/>
        <v>0</v>
      </c>
      <c r="BR124" s="67">
        <f t="shared" si="28"/>
        <v>0</v>
      </c>
      <c r="BS124" s="67">
        <f t="shared" si="28"/>
        <v>0</v>
      </c>
      <c r="BT124" s="67">
        <f t="shared" si="28"/>
        <v>0</v>
      </c>
      <c r="BU124" s="67">
        <f t="shared" si="28"/>
        <v>0</v>
      </c>
      <c r="BV124" s="67">
        <f t="shared" si="28"/>
        <v>0</v>
      </c>
      <c r="BW124" s="67">
        <f t="shared" si="28"/>
        <v>0</v>
      </c>
      <c r="BX124" s="67">
        <f t="shared" si="28"/>
        <v>0</v>
      </c>
      <c r="BY124" s="67">
        <f t="shared" si="28"/>
        <v>0</v>
      </c>
      <c r="BZ124" s="67">
        <f t="shared" si="28"/>
        <v>0</v>
      </c>
      <c r="CA124" s="67">
        <f t="shared" si="28"/>
        <v>0</v>
      </c>
      <c r="CB124" s="67">
        <f t="shared" si="28"/>
        <v>0</v>
      </c>
      <c r="CC124" s="67">
        <f t="shared" si="28"/>
        <v>0</v>
      </c>
      <c r="CD124" s="67">
        <f t="shared" si="28"/>
        <v>0</v>
      </c>
      <c r="CE124" s="67">
        <f t="shared" si="28"/>
        <v>0</v>
      </c>
      <c r="CF124" s="67">
        <f t="shared" si="28"/>
        <v>0</v>
      </c>
      <c r="CG124" s="67">
        <f t="shared" si="28"/>
        <v>0</v>
      </c>
      <c r="CH124" s="67">
        <f t="shared" si="28"/>
        <v>0</v>
      </c>
      <c r="CI124" s="67">
        <f t="shared" si="28"/>
        <v>0</v>
      </c>
      <c r="CJ124" s="67">
        <f t="shared" si="28"/>
        <v>0</v>
      </c>
      <c r="CK124" s="67">
        <f t="shared" si="28"/>
        <v>0</v>
      </c>
      <c r="CL124" s="67">
        <f t="shared" si="28"/>
        <v>0</v>
      </c>
      <c r="CM124" s="67">
        <f t="shared" si="28"/>
        <v>81910.879598372601</v>
      </c>
      <c r="CN124" s="67">
        <f t="shared" si="28"/>
        <v>0</v>
      </c>
      <c r="CO124" s="67">
        <f t="shared" si="28"/>
        <v>0</v>
      </c>
      <c r="CP124" s="67">
        <f t="shared" si="28"/>
        <v>0</v>
      </c>
      <c r="CQ124" s="67">
        <f t="shared" si="28"/>
        <v>0</v>
      </c>
      <c r="CR124" s="67">
        <f t="shared" si="28"/>
        <v>0</v>
      </c>
      <c r="CS124" s="67">
        <f t="shared" si="28"/>
        <v>0</v>
      </c>
      <c r="CT124" s="67">
        <f t="shared" si="28"/>
        <v>0</v>
      </c>
      <c r="CU124" s="67">
        <f t="shared" si="28"/>
        <v>0</v>
      </c>
      <c r="CV124" s="67">
        <f t="shared" si="28"/>
        <v>0</v>
      </c>
      <c r="CW124" s="67">
        <f t="shared" si="28"/>
        <v>0</v>
      </c>
      <c r="CX124" s="67">
        <f t="shared" si="28"/>
        <v>0</v>
      </c>
      <c r="CY124" s="67">
        <f t="shared" si="28"/>
        <v>0</v>
      </c>
      <c r="CZ124" s="67">
        <f t="shared" si="28"/>
        <v>0</v>
      </c>
      <c r="DA124" s="67">
        <f t="shared" si="28"/>
        <v>0</v>
      </c>
      <c r="DB124" s="67">
        <f t="shared" si="28"/>
        <v>0</v>
      </c>
      <c r="DC124" s="67">
        <f t="shared" si="28"/>
        <v>0</v>
      </c>
      <c r="DD124" s="67">
        <f t="shared" si="28"/>
        <v>0</v>
      </c>
      <c r="DE124" s="67">
        <f t="shared" si="28"/>
        <v>0</v>
      </c>
      <c r="DF124" s="67">
        <f t="shared" si="28"/>
        <v>0</v>
      </c>
      <c r="DG124" s="67">
        <f t="shared" si="28"/>
        <v>0</v>
      </c>
      <c r="DH124" s="67">
        <f t="shared" si="28"/>
        <v>0</v>
      </c>
      <c r="DI124" s="67">
        <f t="shared" si="28"/>
        <v>0</v>
      </c>
      <c r="DJ124" s="67">
        <f t="shared" si="28"/>
        <v>0</v>
      </c>
      <c r="DK124" s="67">
        <f t="shared" si="28"/>
        <v>0</v>
      </c>
      <c r="DL124" s="67">
        <f t="shared" si="28"/>
        <v>0</v>
      </c>
      <c r="DM124" s="67">
        <f t="shared" si="28"/>
        <v>0</v>
      </c>
      <c r="DN124" s="67">
        <f t="shared" si="28"/>
        <v>0</v>
      </c>
      <c r="DO124" s="67">
        <f t="shared" si="28"/>
        <v>0</v>
      </c>
      <c r="DP124" s="67">
        <f t="shared" si="28"/>
        <v>0</v>
      </c>
      <c r="DQ124" s="67">
        <f t="shared" si="28"/>
        <v>0</v>
      </c>
      <c r="DR124" s="67">
        <f t="shared" si="28"/>
        <v>0</v>
      </c>
      <c r="DS124" s="67">
        <f t="shared" si="28"/>
        <v>0</v>
      </c>
      <c r="DT124" s="67">
        <f t="shared" si="28"/>
        <v>0</v>
      </c>
      <c r="DU124" s="67">
        <f t="shared" si="28"/>
        <v>0</v>
      </c>
      <c r="DV124" s="67">
        <f t="shared" si="28"/>
        <v>0</v>
      </c>
      <c r="DW124" s="67">
        <f t="shared" si="28"/>
        <v>0</v>
      </c>
      <c r="DX124" s="67">
        <f t="shared" si="28"/>
        <v>0</v>
      </c>
      <c r="DY124" s="67">
        <f t="shared" si="28"/>
        <v>0</v>
      </c>
      <c r="DZ124" s="67">
        <f t="shared" si="17"/>
        <v>0</v>
      </c>
      <c r="EA124" s="67">
        <f t="shared" si="17"/>
        <v>0</v>
      </c>
      <c r="EB124" s="67">
        <f t="shared" si="17"/>
        <v>0</v>
      </c>
      <c r="EC124" s="67">
        <f t="shared" si="17"/>
        <v>0</v>
      </c>
      <c r="ED124" s="67">
        <f t="shared" si="17"/>
        <v>451481.12501150841</v>
      </c>
      <c r="EE124" s="67">
        <f t="shared" si="17"/>
        <v>0</v>
      </c>
      <c r="EF124" s="67">
        <f t="shared" si="17"/>
        <v>0</v>
      </c>
      <c r="EG124" s="67">
        <f t="shared" si="17"/>
        <v>0</v>
      </c>
      <c r="EH124" s="67">
        <f t="shared" si="17"/>
        <v>0</v>
      </c>
      <c r="EI124" s="67">
        <f t="shared" si="17"/>
        <v>0</v>
      </c>
      <c r="EJ124" s="67">
        <f t="shared" si="17"/>
        <v>0</v>
      </c>
      <c r="EK124" s="67">
        <f t="shared" si="17"/>
        <v>0</v>
      </c>
      <c r="EL124" s="67">
        <f t="shared" si="17"/>
        <v>0</v>
      </c>
      <c r="EM124" s="67">
        <f t="shared" si="17"/>
        <v>0</v>
      </c>
      <c r="EN124" s="67">
        <f t="shared" si="17"/>
        <v>0</v>
      </c>
      <c r="EO124" s="67">
        <f t="shared" si="17"/>
        <v>0</v>
      </c>
      <c r="EP124" s="67">
        <f t="shared" si="17"/>
        <v>0</v>
      </c>
      <c r="EQ124" s="67">
        <f t="shared" si="17"/>
        <v>0</v>
      </c>
      <c r="ER124" s="67">
        <f t="shared" si="17"/>
        <v>0</v>
      </c>
      <c r="ES124" s="67">
        <f t="shared" si="17"/>
        <v>0</v>
      </c>
      <c r="ET124" s="36">
        <f t="shared" si="16"/>
        <v>1412632.1274198089</v>
      </c>
    </row>
    <row r="125" spans="1:150" x14ac:dyDescent="0.3">
      <c r="A125" s="37" t="s">
        <v>12</v>
      </c>
      <c r="B125" s="67">
        <f t="shared" si="26"/>
        <v>0</v>
      </c>
      <c r="C125" s="67">
        <f t="shared" si="26"/>
        <v>0</v>
      </c>
      <c r="D125" s="67">
        <f t="shared" si="26"/>
        <v>0</v>
      </c>
      <c r="E125" s="67">
        <f t="shared" si="26"/>
        <v>0</v>
      </c>
      <c r="F125" s="67">
        <f t="shared" si="26"/>
        <v>0</v>
      </c>
      <c r="G125" s="67">
        <f t="shared" si="26"/>
        <v>0</v>
      </c>
      <c r="H125" s="67">
        <f t="shared" si="26"/>
        <v>0</v>
      </c>
      <c r="I125" s="67">
        <f t="shared" si="26"/>
        <v>0</v>
      </c>
      <c r="J125" s="67">
        <f t="shared" si="26"/>
        <v>0</v>
      </c>
      <c r="K125" s="67">
        <f t="shared" si="26"/>
        <v>0</v>
      </c>
      <c r="L125" s="67">
        <f t="shared" si="26"/>
        <v>0</v>
      </c>
      <c r="M125" s="67">
        <f t="shared" si="26"/>
        <v>0</v>
      </c>
      <c r="N125" s="67">
        <f t="shared" si="26"/>
        <v>0</v>
      </c>
      <c r="O125" s="67">
        <f t="shared" si="26"/>
        <v>0</v>
      </c>
      <c r="P125" s="67">
        <f t="shared" si="26"/>
        <v>0</v>
      </c>
      <c r="Q125" s="67">
        <f t="shared" si="26"/>
        <v>0</v>
      </c>
      <c r="R125" s="67">
        <f t="shared" si="26"/>
        <v>0</v>
      </c>
      <c r="S125" s="67">
        <f t="shared" si="26"/>
        <v>0</v>
      </c>
      <c r="T125" s="67">
        <f t="shared" si="26"/>
        <v>0</v>
      </c>
      <c r="U125" s="67">
        <f t="shared" si="26"/>
        <v>0</v>
      </c>
      <c r="V125" s="67">
        <f t="shared" si="26"/>
        <v>0</v>
      </c>
      <c r="W125" s="67">
        <f t="shared" si="26"/>
        <v>0</v>
      </c>
      <c r="X125" s="67">
        <f t="shared" si="26"/>
        <v>0</v>
      </c>
      <c r="Y125" s="67">
        <f t="shared" si="26"/>
        <v>0</v>
      </c>
      <c r="Z125" s="67">
        <f t="shared" si="26"/>
        <v>0</v>
      </c>
      <c r="AA125" s="67">
        <f t="shared" si="26"/>
        <v>0</v>
      </c>
      <c r="AB125" s="67">
        <f t="shared" si="26"/>
        <v>0</v>
      </c>
      <c r="AC125" s="67">
        <f t="shared" si="26"/>
        <v>0</v>
      </c>
      <c r="AD125" s="67">
        <f t="shared" si="26"/>
        <v>0</v>
      </c>
      <c r="AE125" s="67">
        <f t="shared" si="26"/>
        <v>0</v>
      </c>
      <c r="AF125" s="67">
        <f t="shared" si="26"/>
        <v>0</v>
      </c>
      <c r="AG125" s="67">
        <f t="shared" si="26"/>
        <v>0</v>
      </c>
      <c r="AH125" s="67">
        <f t="shared" si="26"/>
        <v>0</v>
      </c>
      <c r="AI125" s="67">
        <f t="shared" si="26"/>
        <v>0</v>
      </c>
      <c r="AJ125" s="67">
        <f t="shared" si="26"/>
        <v>0</v>
      </c>
      <c r="AK125" s="67">
        <f t="shared" si="26"/>
        <v>0</v>
      </c>
      <c r="AL125" s="67">
        <f t="shared" si="26"/>
        <v>0</v>
      </c>
      <c r="AM125" s="67">
        <f t="shared" si="26"/>
        <v>0</v>
      </c>
      <c r="AN125" s="67">
        <f t="shared" si="26"/>
        <v>0</v>
      </c>
      <c r="AO125" s="67">
        <f t="shared" si="26"/>
        <v>0</v>
      </c>
      <c r="AP125" s="67">
        <f t="shared" si="26"/>
        <v>0</v>
      </c>
      <c r="AQ125" s="67">
        <f t="shared" si="26"/>
        <v>0</v>
      </c>
      <c r="AR125" s="67">
        <f t="shared" si="26"/>
        <v>0</v>
      </c>
      <c r="AS125" s="67">
        <f t="shared" si="26"/>
        <v>0</v>
      </c>
      <c r="AT125" s="67">
        <f t="shared" si="26"/>
        <v>0</v>
      </c>
      <c r="AU125" s="67">
        <f t="shared" si="26"/>
        <v>0</v>
      </c>
      <c r="AV125" s="67">
        <f t="shared" si="26"/>
        <v>0</v>
      </c>
      <c r="AW125" s="67">
        <f t="shared" si="26"/>
        <v>0</v>
      </c>
      <c r="AX125" s="67">
        <f t="shared" si="26"/>
        <v>0</v>
      </c>
      <c r="AY125" s="67">
        <f t="shared" si="26"/>
        <v>0</v>
      </c>
      <c r="AZ125" s="67">
        <f t="shared" si="26"/>
        <v>0</v>
      </c>
      <c r="BA125" s="67">
        <f t="shared" si="26"/>
        <v>0</v>
      </c>
      <c r="BB125" s="67">
        <f t="shared" si="26"/>
        <v>0</v>
      </c>
      <c r="BC125" s="67">
        <f t="shared" si="26"/>
        <v>0</v>
      </c>
      <c r="BD125" s="67">
        <f t="shared" si="26"/>
        <v>0</v>
      </c>
      <c r="BE125" s="67">
        <f t="shared" si="26"/>
        <v>0</v>
      </c>
      <c r="BF125" s="67">
        <f t="shared" si="26"/>
        <v>0</v>
      </c>
      <c r="BG125" s="67">
        <f t="shared" si="26"/>
        <v>0</v>
      </c>
      <c r="BH125" s="67">
        <f t="shared" si="26"/>
        <v>0</v>
      </c>
      <c r="BI125" s="67">
        <f t="shared" si="26"/>
        <v>0</v>
      </c>
      <c r="BJ125" s="67">
        <f t="shared" si="26"/>
        <v>0</v>
      </c>
      <c r="BK125" s="67">
        <f t="shared" si="26"/>
        <v>0</v>
      </c>
      <c r="BL125" s="67">
        <f t="shared" si="26"/>
        <v>0</v>
      </c>
      <c r="BM125" s="67">
        <f t="shared" si="26"/>
        <v>0</v>
      </c>
      <c r="BN125" s="67">
        <f t="shared" si="12"/>
        <v>0</v>
      </c>
      <c r="BO125" s="67">
        <f t="shared" si="28"/>
        <v>0</v>
      </c>
      <c r="BP125" s="67">
        <f t="shared" si="28"/>
        <v>0</v>
      </c>
      <c r="BQ125" s="67">
        <f t="shared" si="28"/>
        <v>0</v>
      </c>
      <c r="BR125" s="67">
        <f t="shared" si="28"/>
        <v>0</v>
      </c>
      <c r="BS125" s="67">
        <f t="shared" si="28"/>
        <v>0</v>
      </c>
      <c r="BT125" s="67">
        <f t="shared" si="28"/>
        <v>0</v>
      </c>
      <c r="BU125" s="67">
        <f t="shared" si="28"/>
        <v>0</v>
      </c>
      <c r="BV125" s="67">
        <f t="shared" si="28"/>
        <v>0</v>
      </c>
      <c r="BW125" s="67">
        <f t="shared" si="28"/>
        <v>0</v>
      </c>
      <c r="BX125" s="67">
        <f t="shared" si="28"/>
        <v>0</v>
      </c>
      <c r="BY125" s="67">
        <f t="shared" si="28"/>
        <v>0</v>
      </c>
      <c r="BZ125" s="67">
        <f t="shared" si="28"/>
        <v>0</v>
      </c>
      <c r="CA125" s="67">
        <f t="shared" si="28"/>
        <v>0</v>
      </c>
      <c r="CB125" s="67">
        <f t="shared" si="28"/>
        <v>0</v>
      </c>
      <c r="CC125" s="67">
        <f t="shared" si="28"/>
        <v>0</v>
      </c>
      <c r="CD125" s="67">
        <f t="shared" si="28"/>
        <v>0</v>
      </c>
      <c r="CE125" s="67">
        <f t="shared" si="28"/>
        <v>0</v>
      </c>
      <c r="CF125" s="67">
        <f t="shared" si="28"/>
        <v>0</v>
      </c>
      <c r="CG125" s="67">
        <f t="shared" si="28"/>
        <v>0</v>
      </c>
      <c r="CH125" s="67">
        <f t="shared" si="28"/>
        <v>0</v>
      </c>
      <c r="CI125" s="67">
        <f t="shared" si="28"/>
        <v>0</v>
      </c>
      <c r="CJ125" s="67">
        <f t="shared" si="28"/>
        <v>0</v>
      </c>
      <c r="CK125" s="67">
        <f t="shared" si="28"/>
        <v>0</v>
      </c>
      <c r="CL125" s="67">
        <f t="shared" si="28"/>
        <v>0</v>
      </c>
      <c r="CM125" s="67">
        <f t="shared" si="28"/>
        <v>0</v>
      </c>
      <c r="CN125" s="67">
        <f t="shared" si="28"/>
        <v>0</v>
      </c>
      <c r="CO125" s="67">
        <f t="shared" si="28"/>
        <v>0</v>
      </c>
      <c r="CP125" s="67">
        <f t="shared" si="28"/>
        <v>0</v>
      </c>
      <c r="CQ125" s="67">
        <f t="shared" si="28"/>
        <v>0</v>
      </c>
      <c r="CR125" s="67">
        <f t="shared" si="28"/>
        <v>0</v>
      </c>
      <c r="CS125" s="67">
        <f t="shared" si="28"/>
        <v>0</v>
      </c>
      <c r="CT125" s="67">
        <f t="shared" si="28"/>
        <v>0</v>
      </c>
      <c r="CU125" s="67">
        <f t="shared" si="28"/>
        <v>0</v>
      </c>
      <c r="CV125" s="67">
        <f t="shared" si="28"/>
        <v>0</v>
      </c>
      <c r="CW125" s="67">
        <f t="shared" si="28"/>
        <v>0</v>
      </c>
      <c r="CX125" s="67">
        <f t="shared" si="28"/>
        <v>0</v>
      </c>
      <c r="CY125" s="67">
        <f t="shared" si="28"/>
        <v>0</v>
      </c>
      <c r="CZ125" s="67">
        <f t="shared" si="28"/>
        <v>0</v>
      </c>
      <c r="DA125" s="67">
        <f t="shared" si="28"/>
        <v>0</v>
      </c>
      <c r="DB125" s="67">
        <f t="shared" si="28"/>
        <v>0</v>
      </c>
      <c r="DC125" s="67">
        <f t="shared" si="28"/>
        <v>0</v>
      </c>
      <c r="DD125" s="67">
        <f t="shared" si="28"/>
        <v>0</v>
      </c>
      <c r="DE125" s="67">
        <f t="shared" si="28"/>
        <v>0</v>
      </c>
      <c r="DF125" s="67">
        <f t="shared" si="28"/>
        <v>0</v>
      </c>
      <c r="DG125" s="67">
        <f t="shared" si="28"/>
        <v>0</v>
      </c>
      <c r="DH125" s="67">
        <f t="shared" si="28"/>
        <v>0</v>
      </c>
      <c r="DI125" s="67">
        <f t="shared" si="28"/>
        <v>0</v>
      </c>
      <c r="DJ125" s="67">
        <f t="shared" si="28"/>
        <v>0</v>
      </c>
      <c r="DK125" s="67">
        <f t="shared" si="28"/>
        <v>0</v>
      </c>
      <c r="DL125" s="67">
        <f t="shared" si="28"/>
        <v>0</v>
      </c>
      <c r="DM125" s="67">
        <f t="shared" si="28"/>
        <v>0</v>
      </c>
      <c r="DN125" s="67">
        <f t="shared" si="28"/>
        <v>0</v>
      </c>
      <c r="DO125" s="67">
        <f t="shared" si="28"/>
        <v>0</v>
      </c>
      <c r="DP125" s="67">
        <f t="shared" si="28"/>
        <v>0</v>
      </c>
      <c r="DQ125" s="67">
        <f t="shared" si="28"/>
        <v>0</v>
      </c>
      <c r="DR125" s="67">
        <f t="shared" si="28"/>
        <v>0</v>
      </c>
      <c r="DS125" s="67">
        <f t="shared" si="28"/>
        <v>0</v>
      </c>
      <c r="DT125" s="67">
        <f t="shared" si="28"/>
        <v>0</v>
      </c>
      <c r="DU125" s="67">
        <f t="shared" si="28"/>
        <v>0</v>
      </c>
      <c r="DV125" s="67">
        <f t="shared" si="28"/>
        <v>0</v>
      </c>
      <c r="DW125" s="67">
        <f t="shared" si="28"/>
        <v>0</v>
      </c>
      <c r="DX125" s="67">
        <f t="shared" si="28"/>
        <v>0</v>
      </c>
      <c r="DY125" s="67">
        <f t="shared" si="28"/>
        <v>0</v>
      </c>
      <c r="DZ125" s="67">
        <f t="shared" si="17"/>
        <v>0</v>
      </c>
      <c r="EA125" s="67">
        <f t="shared" si="17"/>
        <v>0</v>
      </c>
      <c r="EB125" s="67">
        <f t="shared" si="17"/>
        <v>0</v>
      </c>
      <c r="EC125" s="67">
        <f t="shared" si="17"/>
        <v>0</v>
      </c>
      <c r="ED125" s="67">
        <f t="shared" si="17"/>
        <v>0</v>
      </c>
      <c r="EE125" s="67">
        <f t="shared" si="17"/>
        <v>0</v>
      </c>
      <c r="EF125" s="67">
        <f t="shared" si="17"/>
        <v>0</v>
      </c>
      <c r="EG125" s="67">
        <f t="shared" si="17"/>
        <v>0</v>
      </c>
      <c r="EH125" s="67">
        <f t="shared" si="17"/>
        <v>0</v>
      </c>
      <c r="EI125" s="67">
        <f t="shared" si="17"/>
        <v>0</v>
      </c>
      <c r="EJ125" s="67">
        <f t="shared" si="17"/>
        <v>0</v>
      </c>
      <c r="EK125" s="67">
        <f t="shared" si="17"/>
        <v>0</v>
      </c>
      <c r="EL125" s="67">
        <f t="shared" si="17"/>
        <v>0</v>
      </c>
      <c r="EM125" s="67">
        <f t="shared" si="17"/>
        <v>0</v>
      </c>
      <c r="EN125" s="67">
        <f t="shared" si="17"/>
        <v>0</v>
      </c>
      <c r="EO125" s="67">
        <f t="shared" ref="EO125:ES125" si="29">EO73*EO99</f>
        <v>0</v>
      </c>
      <c r="EP125" s="67">
        <f t="shared" si="29"/>
        <v>0</v>
      </c>
      <c r="EQ125" s="67">
        <f t="shared" si="29"/>
        <v>0</v>
      </c>
      <c r="ER125" s="67">
        <f t="shared" si="29"/>
        <v>0</v>
      </c>
      <c r="ES125" s="67">
        <f t="shared" si="29"/>
        <v>0</v>
      </c>
      <c r="ET125" s="36">
        <f t="shared" si="16"/>
        <v>0</v>
      </c>
    </row>
    <row r="126" spans="1:150" x14ac:dyDescent="0.3">
      <c r="A126" s="37" t="s">
        <v>27</v>
      </c>
      <c r="B126" s="67">
        <f t="shared" si="26"/>
        <v>0</v>
      </c>
      <c r="C126" s="67">
        <f t="shared" si="26"/>
        <v>0</v>
      </c>
      <c r="D126" s="67">
        <f t="shared" si="26"/>
        <v>0</v>
      </c>
      <c r="E126" s="67">
        <f t="shared" si="26"/>
        <v>0</v>
      </c>
      <c r="F126" s="67">
        <f t="shared" si="26"/>
        <v>0</v>
      </c>
      <c r="G126" s="67">
        <f t="shared" si="26"/>
        <v>0</v>
      </c>
      <c r="H126" s="67">
        <f t="shared" si="26"/>
        <v>0</v>
      </c>
      <c r="I126" s="67">
        <f t="shared" si="26"/>
        <v>0</v>
      </c>
      <c r="J126" s="67">
        <f t="shared" si="26"/>
        <v>0</v>
      </c>
      <c r="K126" s="67">
        <f t="shared" si="26"/>
        <v>0</v>
      </c>
      <c r="L126" s="67">
        <f t="shared" si="26"/>
        <v>0</v>
      </c>
      <c r="M126" s="67">
        <f t="shared" si="26"/>
        <v>0</v>
      </c>
      <c r="N126" s="67">
        <f t="shared" si="26"/>
        <v>0</v>
      </c>
      <c r="O126" s="67">
        <f t="shared" si="26"/>
        <v>0</v>
      </c>
      <c r="P126" s="67">
        <f t="shared" si="26"/>
        <v>0</v>
      </c>
      <c r="Q126" s="67">
        <f t="shared" si="26"/>
        <v>0</v>
      </c>
      <c r="R126" s="67">
        <f t="shared" si="26"/>
        <v>0</v>
      </c>
      <c r="S126" s="67">
        <f t="shared" si="26"/>
        <v>635997.42522286728</v>
      </c>
      <c r="T126" s="67">
        <f t="shared" si="26"/>
        <v>0</v>
      </c>
      <c r="U126" s="67">
        <f t="shared" si="26"/>
        <v>0</v>
      </c>
      <c r="V126" s="67">
        <f t="shared" si="26"/>
        <v>303059.22791398712</v>
      </c>
      <c r="W126" s="67">
        <f t="shared" si="26"/>
        <v>0</v>
      </c>
      <c r="X126" s="67">
        <f t="shared" si="26"/>
        <v>0</v>
      </c>
      <c r="Y126" s="67">
        <f t="shared" si="26"/>
        <v>0</v>
      </c>
      <c r="Z126" s="67">
        <f t="shared" si="26"/>
        <v>0</v>
      </c>
      <c r="AA126" s="67">
        <f t="shared" si="26"/>
        <v>0</v>
      </c>
      <c r="AB126" s="67">
        <f t="shared" si="26"/>
        <v>0</v>
      </c>
      <c r="AC126" s="67">
        <f t="shared" si="26"/>
        <v>137222.88962662508</v>
      </c>
      <c r="AD126" s="67">
        <f t="shared" si="26"/>
        <v>0</v>
      </c>
      <c r="AE126" s="67">
        <f t="shared" si="26"/>
        <v>0</v>
      </c>
      <c r="AF126" s="67">
        <f t="shared" si="26"/>
        <v>540223.45976013166</v>
      </c>
      <c r="AG126" s="67">
        <f t="shared" si="26"/>
        <v>0</v>
      </c>
      <c r="AH126" s="67">
        <f t="shared" si="26"/>
        <v>0</v>
      </c>
      <c r="AI126" s="67">
        <f t="shared" si="26"/>
        <v>0</v>
      </c>
      <c r="AJ126" s="67">
        <f t="shared" si="26"/>
        <v>0</v>
      </c>
      <c r="AK126" s="67">
        <f t="shared" si="26"/>
        <v>0</v>
      </c>
      <c r="AL126" s="67">
        <f t="shared" si="26"/>
        <v>0</v>
      </c>
      <c r="AM126" s="67">
        <f t="shared" si="26"/>
        <v>460906.38730954408</v>
      </c>
      <c r="AN126" s="67">
        <f t="shared" si="26"/>
        <v>0</v>
      </c>
      <c r="AO126" s="67">
        <f t="shared" si="26"/>
        <v>0</v>
      </c>
      <c r="AP126" s="67">
        <f t="shared" si="26"/>
        <v>206671.74641148298</v>
      </c>
      <c r="AQ126" s="67">
        <f t="shared" si="26"/>
        <v>0</v>
      </c>
      <c r="AR126" s="67">
        <f t="shared" si="26"/>
        <v>128565.44296115552</v>
      </c>
      <c r="AS126" s="67">
        <f t="shared" si="26"/>
        <v>0</v>
      </c>
      <c r="AT126" s="67">
        <f t="shared" si="26"/>
        <v>0</v>
      </c>
      <c r="AU126" s="67">
        <f t="shared" si="26"/>
        <v>0</v>
      </c>
      <c r="AV126" s="67">
        <f t="shared" si="26"/>
        <v>0</v>
      </c>
      <c r="AW126" s="67">
        <f t="shared" si="26"/>
        <v>0</v>
      </c>
      <c r="AX126" s="67">
        <f t="shared" si="26"/>
        <v>126253.79213087278</v>
      </c>
      <c r="AY126" s="67">
        <f t="shared" si="26"/>
        <v>0</v>
      </c>
      <c r="AZ126" s="67">
        <f t="shared" si="26"/>
        <v>0</v>
      </c>
      <c r="BA126" s="67">
        <f t="shared" si="26"/>
        <v>0</v>
      </c>
      <c r="BB126" s="67">
        <f t="shared" si="26"/>
        <v>0</v>
      </c>
      <c r="BC126" s="67">
        <f t="shared" si="26"/>
        <v>0</v>
      </c>
      <c r="BD126" s="67">
        <f t="shared" si="26"/>
        <v>0</v>
      </c>
      <c r="BE126" s="67">
        <f t="shared" si="26"/>
        <v>0</v>
      </c>
      <c r="BF126" s="67">
        <f t="shared" si="26"/>
        <v>0</v>
      </c>
      <c r="BG126" s="67">
        <f t="shared" si="26"/>
        <v>134872.14517953969</v>
      </c>
      <c r="BH126" s="67">
        <f t="shared" si="26"/>
        <v>0</v>
      </c>
      <c r="BI126" s="67">
        <f t="shared" si="26"/>
        <v>0</v>
      </c>
      <c r="BJ126" s="67">
        <f t="shared" si="26"/>
        <v>0</v>
      </c>
      <c r="BK126" s="67">
        <f t="shared" si="26"/>
        <v>0</v>
      </c>
      <c r="BL126" s="67">
        <f t="shared" si="26"/>
        <v>0</v>
      </c>
      <c r="BM126" s="67">
        <f t="shared" ref="BM126:DX130" si="30">BM74*BM100</f>
        <v>0</v>
      </c>
      <c r="BN126" s="67">
        <f t="shared" si="30"/>
        <v>0</v>
      </c>
      <c r="BO126" s="67">
        <f t="shared" si="30"/>
        <v>0</v>
      </c>
      <c r="BP126" s="67">
        <f t="shared" si="30"/>
        <v>0</v>
      </c>
      <c r="BQ126" s="67">
        <f t="shared" si="30"/>
        <v>0</v>
      </c>
      <c r="BR126" s="67">
        <f t="shared" si="30"/>
        <v>0</v>
      </c>
      <c r="BS126" s="67">
        <f t="shared" si="30"/>
        <v>0</v>
      </c>
      <c r="BT126" s="67">
        <f t="shared" si="30"/>
        <v>0</v>
      </c>
      <c r="BU126" s="67">
        <f t="shared" si="30"/>
        <v>0</v>
      </c>
      <c r="BV126" s="67">
        <f t="shared" si="30"/>
        <v>0</v>
      </c>
      <c r="BW126" s="67">
        <f t="shared" si="30"/>
        <v>0</v>
      </c>
      <c r="BX126" s="67">
        <f t="shared" si="30"/>
        <v>0</v>
      </c>
      <c r="BY126" s="67">
        <f t="shared" si="30"/>
        <v>0</v>
      </c>
      <c r="BZ126" s="67">
        <f t="shared" si="30"/>
        <v>0</v>
      </c>
      <c r="CA126" s="67">
        <f t="shared" si="30"/>
        <v>0</v>
      </c>
      <c r="CB126" s="67">
        <f t="shared" si="30"/>
        <v>0</v>
      </c>
      <c r="CC126" s="67">
        <f t="shared" si="30"/>
        <v>0</v>
      </c>
      <c r="CD126" s="67">
        <f t="shared" si="30"/>
        <v>0</v>
      </c>
      <c r="CE126" s="67">
        <f t="shared" si="30"/>
        <v>0</v>
      </c>
      <c r="CF126" s="67">
        <f t="shared" si="30"/>
        <v>0</v>
      </c>
      <c r="CG126" s="67">
        <f t="shared" si="30"/>
        <v>0</v>
      </c>
      <c r="CH126" s="67">
        <f t="shared" si="30"/>
        <v>0</v>
      </c>
      <c r="CI126" s="67">
        <f t="shared" si="30"/>
        <v>0</v>
      </c>
      <c r="CJ126" s="67">
        <f t="shared" si="30"/>
        <v>0</v>
      </c>
      <c r="CK126" s="67">
        <f t="shared" si="30"/>
        <v>0</v>
      </c>
      <c r="CL126" s="67">
        <f t="shared" si="30"/>
        <v>0</v>
      </c>
      <c r="CM126" s="67">
        <f t="shared" si="30"/>
        <v>0</v>
      </c>
      <c r="CN126" s="67">
        <f t="shared" si="30"/>
        <v>0</v>
      </c>
      <c r="CO126" s="67">
        <f t="shared" si="30"/>
        <v>0</v>
      </c>
      <c r="CP126" s="67">
        <f t="shared" si="30"/>
        <v>0</v>
      </c>
      <c r="CQ126" s="67">
        <f t="shared" si="30"/>
        <v>0</v>
      </c>
      <c r="CR126" s="67">
        <f t="shared" si="30"/>
        <v>0</v>
      </c>
      <c r="CS126" s="67">
        <f t="shared" si="30"/>
        <v>0</v>
      </c>
      <c r="CT126" s="67">
        <f t="shared" si="30"/>
        <v>0</v>
      </c>
      <c r="CU126" s="67">
        <f t="shared" si="30"/>
        <v>0</v>
      </c>
      <c r="CV126" s="67">
        <f t="shared" si="30"/>
        <v>0</v>
      </c>
      <c r="CW126" s="67">
        <f t="shared" si="30"/>
        <v>378907.94299749978</v>
      </c>
      <c r="CX126" s="67">
        <f t="shared" si="30"/>
        <v>0</v>
      </c>
      <c r="CY126" s="67">
        <f t="shared" si="30"/>
        <v>0</v>
      </c>
      <c r="CZ126" s="67">
        <f t="shared" si="30"/>
        <v>384856.58049715776</v>
      </c>
      <c r="DA126" s="67">
        <f t="shared" si="30"/>
        <v>0</v>
      </c>
      <c r="DB126" s="67">
        <f t="shared" si="30"/>
        <v>0</v>
      </c>
      <c r="DC126" s="67">
        <f t="shared" si="30"/>
        <v>0</v>
      </c>
      <c r="DD126" s="67">
        <f t="shared" si="30"/>
        <v>0</v>
      </c>
      <c r="DE126" s="67">
        <f t="shared" si="30"/>
        <v>0</v>
      </c>
      <c r="DF126" s="67">
        <f t="shared" si="30"/>
        <v>0</v>
      </c>
      <c r="DG126" s="67">
        <f t="shared" si="30"/>
        <v>0</v>
      </c>
      <c r="DH126" s="67">
        <f t="shared" si="30"/>
        <v>0</v>
      </c>
      <c r="DI126" s="67">
        <f t="shared" si="30"/>
        <v>0</v>
      </c>
      <c r="DJ126" s="67">
        <f t="shared" si="30"/>
        <v>420121.77642902103</v>
      </c>
      <c r="DK126" s="67">
        <f t="shared" si="30"/>
        <v>0</v>
      </c>
      <c r="DL126" s="67">
        <f t="shared" si="30"/>
        <v>369787.7477484009</v>
      </c>
      <c r="DM126" s="67">
        <f t="shared" si="30"/>
        <v>207399.37312180112</v>
      </c>
      <c r="DN126" s="67">
        <f t="shared" si="30"/>
        <v>0</v>
      </c>
      <c r="DO126" s="67">
        <f t="shared" si="30"/>
        <v>0</v>
      </c>
      <c r="DP126" s="67">
        <f t="shared" si="30"/>
        <v>194648.44603764484</v>
      </c>
      <c r="DQ126" s="67">
        <f t="shared" si="30"/>
        <v>0</v>
      </c>
      <c r="DR126" s="67">
        <f t="shared" si="30"/>
        <v>0</v>
      </c>
      <c r="DS126" s="67">
        <f t="shared" si="30"/>
        <v>0</v>
      </c>
      <c r="DT126" s="67">
        <f t="shared" si="30"/>
        <v>275336.25187228789</v>
      </c>
      <c r="DU126" s="67">
        <f t="shared" si="30"/>
        <v>0</v>
      </c>
      <c r="DV126" s="67">
        <f t="shared" si="30"/>
        <v>783912.0348126546</v>
      </c>
      <c r="DW126" s="67">
        <f t="shared" si="30"/>
        <v>0</v>
      </c>
      <c r="DX126" s="67">
        <f t="shared" si="30"/>
        <v>0</v>
      </c>
      <c r="DY126" s="67">
        <f t="shared" si="28"/>
        <v>0</v>
      </c>
      <c r="DZ126" s="67">
        <f t="shared" si="28"/>
        <v>0</v>
      </c>
      <c r="EA126" s="67">
        <f t="shared" ref="EA126:ES132" si="31">EA74*EA100</f>
        <v>0</v>
      </c>
      <c r="EB126" s="67">
        <f t="shared" si="31"/>
        <v>13851.394267032563</v>
      </c>
      <c r="EC126" s="67">
        <f t="shared" si="31"/>
        <v>266051.62529252499</v>
      </c>
      <c r="ED126" s="67">
        <f t="shared" si="31"/>
        <v>0</v>
      </c>
      <c r="EE126" s="67">
        <f t="shared" si="31"/>
        <v>0</v>
      </c>
      <c r="EF126" s="67">
        <f t="shared" si="31"/>
        <v>0</v>
      </c>
      <c r="EG126" s="67">
        <f t="shared" si="31"/>
        <v>0</v>
      </c>
      <c r="EH126" s="67">
        <f t="shared" si="31"/>
        <v>0</v>
      </c>
      <c r="EI126" s="67">
        <f t="shared" si="31"/>
        <v>0</v>
      </c>
      <c r="EJ126" s="67">
        <f t="shared" si="31"/>
        <v>0</v>
      </c>
      <c r="EK126" s="67">
        <f t="shared" si="31"/>
        <v>0</v>
      </c>
      <c r="EL126" s="67">
        <f t="shared" si="31"/>
        <v>0</v>
      </c>
      <c r="EM126" s="67">
        <f t="shared" si="31"/>
        <v>0</v>
      </c>
      <c r="EN126" s="67">
        <f t="shared" si="31"/>
        <v>0</v>
      </c>
      <c r="EO126" s="67">
        <f t="shared" si="31"/>
        <v>0</v>
      </c>
      <c r="EP126" s="67">
        <f t="shared" si="31"/>
        <v>0</v>
      </c>
      <c r="EQ126" s="67">
        <f t="shared" si="31"/>
        <v>0</v>
      </c>
      <c r="ER126" s="67">
        <f t="shared" si="31"/>
        <v>0</v>
      </c>
      <c r="ES126" s="67">
        <f t="shared" si="31"/>
        <v>0</v>
      </c>
      <c r="ET126" s="36">
        <f t="shared" si="16"/>
        <v>5968645.6895922311</v>
      </c>
    </row>
    <row r="127" spans="1:150" x14ac:dyDescent="0.3">
      <c r="A127" s="37" t="s">
        <v>25</v>
      </c>
      <c r="B127" s="67">
        <f t="shared" ref="B127:BM130" si="32">B75*B101</f>
        <v>0</v>
      </c>
      <c r="C127" s="67">
        <f t="shared" si="32"/>
        <v>0</v>
      </c>
      <c r="D127" s="67">
        <f t="shared" si="32"/>
        <v>41271.179862785393</v>
      </c>
      <c r="E127" s="67">
        <f t="shared" si="32"/>
        <v>0</v>
      </c>
      <c r="F127" s="67">
        <f t="shared" si="32"/>
        <v>0</v>
      </c>
      <c r="G127" s="67">
        <f t="shared" si="32"/>
        <v>0</v>
      </c>
      <c r="H127" s="67">
        <f t="shared" si="32"/>
        <v>0</v>
      </c>
      <c r="I127" s="67">
        <f t="shared" si="32"/>
        <v>0</v>
      </c>
      <c r="J127" s="67">
        <f t="shared" si="32"/>
        <v>0</v>
      </c>
      <c r="K127" s="67">
        <f t="shared" si="32"/>
        <v>91194.340249265966</v>
      </c>
      <c r="L127" s="67">
        <f t="shared" si="32"/>
        <v>0</v>
      </c>
      <c r="M127" s="67">
        <f t="shared" si="32"/>
        <v>0</v>
      </c>
      <c r="N127" s="67">
        <f t="shared" si="32"/>
        <v>0</v>
      </c>
      <c r="O127" s="67">
        <f t="shared" si="32"/>
        <v>227441.27833126413</v>
      </c>
      <c r="P127" s="67">
        <f t="shared" si="32"/>
        <v>0</v>
      </c>
      <c r="Q127" s="67">
        <f t="shared" si="32"/>
        <v>0</v>
      </c>
      <c r="R127" s="67">
        <f t="shared" si="32"/>
        <v>0</v>
      </c>
      <c r="S127" s="67">
        <f t="shared" si="32"/>
        <v>0</v>
      </c>
      <c r="T127" s="67">
        <f t="shared" si="32"/>
        <v>0</v>
      </c>
      <c r="U127" s="67">
        <f t="shared" si="32"/>
        <v>0</v>
      </c>
      <c r="V127" s="67">
        <f t="shared" si="32"/>
        <v>0</v>
      </c>
      <c r="W127" s="67">
        <f t="shared" si="32"/>
        <v>0</v>
      </c>
      <c r="X127" s="67">
        <f t="shared" si="32"/>
        <v>0</v>
      </c>
      <c r="Y127" s="67">
        <f t="shared" si="32"/>
        <v>0</v>
      </c>
      <c r="Z127" s="67">
        <f t="shared" si="32"/>
        <v>0</v>
      </c>
      <c r="AA127" s="67">
        <f t="shared" si="32"/>
        <v>0</v>
      </c>
      <c r="AB127" s="67">
        <f t="shared" si="32"/>
        <v>0</v>
      </c>
      <c r="AC127" s="67">
        <f t="shared" si="32"/>
        <v>0</v>
      </c>
      <c r="AD127" s="67">
        <f t="shared" si="32"/>
        <v>0</v>
      </c>
      <c r="AE127" s="67">
        <f t="shared" si="32"/>
        <v>0</v>
      </c>
      <c r="AF127" s="67">
        <f t="shared" si="32"/>
        <v>0</v>
      </c>
      <c r="AG127" s="67">
        <f t="shared" si="32"/>
        <v>0</v>
      </c>
      <c r="AH127" s="67">
        <f t="shared" si="32"/>
        <v>0</v>
      </c>
      <c r="AI127" s="67">
        <f t="shared" si="32"/>
        <v>0</v>
      </c>
      <c r="AJ127" s="67">
        <f t="shared" si="32"/>
        <v>0</v>
      </c>
      <c r="AK127" s="67">
        <f t="shared" si="32"/>
        <v>0</v>
      </c>
      <c r="AL127" s="67">
        <f t="shared" si="32"/>
        <v>0</v>
      </c>
      <c r="AM127" s="67">
        <f t="shared" si="32"/>
        <v>0</v>
      </c>
      <c r="AN127" s="67">
        <f t="shared" si="32"/>
        <v>0</v>
      </c>
      <c r="AO127" s="67">
        <f t="shared" si="32"/>
        <v>0</v>
      </c>
      <c r="AP127" s="67">
        <f t="shared" si="32"/>
        <v>0</v>
      </c>
      <c r="AQ127" s="67">
        <f t="shared" si="32"/>
        <v>0</v>
      </c>
      <c r="AR127" s="67">
        <f t="shared" si="32"/>
        <v>0</v>
      </c>
      <c r="AS127" s="67">
        <f t="shared" si="32"/>
        <v>0</v>
      </c>
      <c r="AT127" s="67">
        <f t="shared" si="32"/>
        <v>0</v>
      </c>
      <c r="AU127" s="67">
        <f t="shared" si="32"/>
        <v>0</v>
      </c>
      <c r="AV127" s="67">
        <f t="shared" si="32"/>
        <v>0</v>
      </c>
      <c r="AW127" s="67">
        <f t="shared" si="32"/>
        <v>0</v>
      </c>
      <c r="AX127" s="67">
        <f t="shared" si="32"/>
        <v>0</v>
      </c>
      <c r="AY127" s="67">
        <f t="shared" si="32"/>
        <v>0</v>
      </c>
      <c r="AZ127" s="67">
        <f t="shared" si="32"/>
        <v>0</v>
      </c>
      <c r="BA127" s="67">
        <f t="shared" si="32"/>
        <v>0</v>
      </c>
      <c r="BB127" s="67">
        <f t="shared" si="32"/>
        <v>0</v>
      </c>
      <c r="BC127" s="67">
        <f t="shared" si="32"/>
        <v>0</v>
      </c>
      <c r="BD127" s="67">
        <f t="shared" si="32"/>
        <v>0</v>
      </c>
      <c r="BE127" s="67">
        <f t="shared" si="32"/>
        <v>0</v>
      </c>
      <c r="BF127" s="67">
        <f t="shared" si="32"/>
        <v>0</v>
      </c>
      <c r="BG127" s="67">
        <f t="shared" si="32"/>
        <v>0</v>
      </c>
      <c r="BH127" s="67">
        <f t="shared" si="32"/>
        <v>0</v>
      </c>
      <c r="BI127" s="67">
        <f t="shared" si="32"/>
        <v>0</v>
      </c>
      <c r="BJ127" s="67">
        <f t="shared" si="32"/>
        <v>0</v>
      </c>
      <c r="BK127" s="67">
        <f t="shared" si="32"/>
        <v>0</v>
      </c>
      <c r="BL127" s="67">
        <f t="shared" si="32"/>
        <v>0</v>
      </c>
      <c r="BM127" s="67">
        <f t="shared" si="32"/>
        <v>0</v>
      </c>
      <c r="BN127" s="67">
        <f t="shared" si="30"/>
        <v>0</v>
      </c>
      <c r="BO127" s="67">
        <f t="shared" si="30"/>
        <v>0</v>
      </c>
      <c r="BP127" s="67">
        <f t="shared" si="30"/>
        <v>0</v>
      </c>
      <c r="BQ127" s="67">
        <f t="shared" si="30"/>
        <v>0</v>
      </c>
      <c r="BR127" s="67">
        <f t="shared" si="30"/>
        <v>0</v>
      </c>
      <c r="BS127" s="67">
        <f t="shared" si="30"/>
        <v>34741.827501176929</v>
      </c>
      <c r="BT127" s="67">
        <f t="shared" si="30"/>
        <v>0</v>
      </c>
      <c r="BU127" s="67">
        <f t="shared" si="30"/>
        <v>0</v>
      </c>
      <c r="BV127" s="67">
        <f t="shared" si="30"/>
        <v>0</v>
      </c>
      <c r="BW127" s="67">
        <f t="shared" si="30"/>
        <v>0</v>
      </c>
      <c r="BX127" s="67">
        <f t="shared" si="30"/>
        <v>0</v>
      </c>
      <c r="BY127" s="67">
        <f t="shared" si="30"/>
        <v>0</v>
      </c>
      <c r="BZ127" s="67">
        <f t="shared" si="30"/>
        <v>0</v>
      </c>
      <c r="CA127" s="67">
        <f t="shared" si="30"/>
        <v>0</v>
      </c>
      <c r="CB127" s="67">
        <f t="shared" si="30"/>
        <v>0</v>
      </c>
      <c r="CC127" s="67">
        <f t="shared" si="30"/>
        <v>0</v>
      </c>
      <c r="CD127" s="67">
        <f t="shared" si="30"/>
        <v>0</v>
      </c>
      <c r="CE127" s="67">
        <f t="shared" si="30"/>
        <v>138323.49019128093</v>
      </c>
      <c r="CF127" s="67">
        <f t="shared" si="30"/>
        <v>0</v>
      </c>
      <c r="CG127" s="67">
        <f t="shared" si="30"/>
        <v>0</v>
      </c>
      <c r="CH127" s="67">
        <f t="shared" si="30"/>
        <v>0</v>
      </c>
      <c r="CI127" s="67">
        <f t="shared" si="30"/>
        <v>0</v>
      </c>
      <c r="CJ127" s="67">
        <f t="shared" si="30"/>
        <v>0</v>
      </c>
      <c r="CK127" s="67">
        <f t="shared" si="30"/>
        <v>0</v>
      </c>
      <c r="CL127" s="67">
        <f t="shared" si="30"/>
        <v>0</v>
      </c>
      <c r="CM127" s="67">
        <f t="shared" si="30"/>
        <v>0</v>
      </c>
      <c r="CN127" s="67">
        <f t="shared" si="30"/>
        <v>0</v>
      </c>
      <c r="CO127" s="67">
        <f t="shared" si="30"/>
        <v>0</v>
      </c>
      <c r="CP127" s="67">
        <f t="shared" si="30"/>
        <v>0</v>
      </c>
      <c r="CQ127" s="67">
        <f t="shared" si="30"/>
        <v>-5212.1638154974362</v>
      </c>
      <c r="CR127" s="67">
        <f t="shared" si="30"/>
        <v>0</v>
      </c>
      <c r="CS127" s="67">
        <f t="shared" si="30"/>
        <v>0</v>
      </c>
      <c r="CT127" s="67">
        <f t="shared" si="30"/>
        <v>0</v>
      </c>
      <c r="CU127" s="67">
        <f t="shared" si="30"/>
        <v>0</v>
      </c>
      <c r="CV127" s="67">
        <f t="shared" si="30"/>
        <v>0</v>
      </c>
      <c r="CW127" s="67">
        <f t="shared" si="30"/>
        <v>0</v>
      </c>
      <c r="CX127" s="67">
        <f t="shared" si="30"/>
        <v>158400.96092161772</v>
      </c>
      <c r="CY127" s="67">
        <f t="shared" si="30"/>
        <v>0</v>
      </c>
      <c r="CZ127" s="67">
        <f t="shared" si="30"/>
        <v>0</v>
      </c>
      <c r="DA127" s="67">
        <f t="shared" si="30"/>
        <v>0</v>
      </c>
      <c r="DB127" s="67">
        <f t="shared" si="30"/>
        <v>0</v>
      </c>
      <c r="DC127" s="67">
        <f t="shared" si="30"/>
        <v>0</v>
      </c>
      <c r="DD127" s="67">
        <f t="shared" si="30"/>
        <v>144584.69385581557</v>
      </c>
      <c r="DE127" s="67">
        <f t="shared" si="30"/>
        <v>33944.427297107453</v>
      </c>
      <c r="DF127" s="67">
        <f t="shared" si="30"/>
        <v>130586.73987623684</v>
      </c>
      <c r="DG127" s="67">
        <f t="shared" si="30"/>
        <v>0</v>
      </c>
      <c r="DH127" s="67">
        <f t="shared" si="30"/>
        <v>0</v>
      </c>
      <c r="DI127" s="67">
        <f t="shared" si="30"/>
        <v>0</v>
      </c>
      <c r="DJ127" s="67">
        <f t="shared" si="30"/>
        <v>0</v>
      </c>
      <c r="DK127" s="67">
        <f t="shared" si="30"/>
        <v>377142.41413095815</v>
      </c>
      <c r="DL127" s="67">
        <f t="shared" si="30"/>
        <v>0</v>
      </c>
      <c r="DM127" s="67">
        <f t="shared" si="30"/>
        <v>0</v>
      </c>
      <c r="DN127" s="67">
        <f t="shared" si="30"/>
        <v>0</v>
      </c>
      <c r="DO127" s="67">
        <f t="shared" si="30"/>
        <v>0</v>
      </c>
      <c r="DP127" s="67">
        <f t="shared" si="30"/>
        <v>0</v>
      </c>
      <c r="DQ127" s="67">
        <f t="shared" si="30"/>
        <v>0</v>
      </c>
      <c r="DR127" s="67">
        <f t="shared" si="30"/>
        <v>0</v>
      </c>
      <c r="DS127" s="67">
        <f t="shared" si="30"/>
        <v>0</v>
      </c>
      <c r="DT127" s="67">
        <f t="shared" si="30"/>
        <v>0</v>
      </c>
      <c r="DU127" s="67">
        <f t="shared" si="30"/>
        <v>0</v>
      </c>
      <c r="DV127" s="67">
        <f t="shared" si="30"/>
        <v>0</v>
      </c>
      <c r="DW127" s="67">
        <f t="shared" si="30"/>
        <v>269341.70080237626</v>
      </c>
      <c r="DX127" s="67">
        <f t="shared" si="30"/>
        <v>372793.09490202385</v>
      </c>
      <c r="DY127" s="67">
        <f t="shared" si="28"/>
        <v>0</v>
      </c>
      <c r="DZ127" s="67">
        <f t="shared" si="28"/>
        <v>60574.431921503703</v>
      </c>
      <c r="EA127" s="67">
        <f t="shared" si="31"/>
        <v>0</v>
      </c>
      <c r="EB127" s="67">
        <f t="shared" si="31"/>
        <v>0</v>
      </c>
      <c r="EC127" s="67">
        <f t="shared" si="31"/>
        <v>0</v>
      </c>
      <c r="ED127" s="67">
        <f t="shared" si="31"/>
        <v>0</v>
      </c>
      <c r="EE127" s="67">
        <f t="shared" si="31"/>
        <v>124349.64040192428</v>
      </c>
      <c r="EF127" s="67">
        <f t="shared" si="31"/>
        <v>0</v>
      </c>
      <c r="EG127" s="67">
        <f t="shared" si="31"/>
        <v>0</v>
      </c>
      <c r="EH127" s="67">
        <f t="shared" si="31"/>
        <v>0</v>
      </c>
      <c r="EI127" s="67">
        <f t="shared" si="31"/>
        <v>0</v>
      </c>
      <c r="EJ127" s="67">
        <f t="shared" si="31"/>
        <v>0</v>
      </c>
      <c r="EK127" s="67">
        <f t="shared" si="31"/>
        <v>0</v>
      </c>
      <c r="EL127" s="67">
        <f t="shared" si="31"/>
        <v>0</v>
      </c>
      <c r="EM127" s="67">
        <f t="shared" si="31"/>
        <v>0</v>
      </c>
      <c r="EN127" s="67">
        <f t="shared" si="31"/>
        <v>0</v>
      </c>
      <c r="EO127" s="67">
        <f t="shared" si="31"/>
        <v>0</v>
      </c>
      <c r="EP127" s="67">
        <f t="shared" si="31"/>
        <v>0</v>
      </c>
      <c r="EQ127" s="67">
        <f t="shared" si="31"/>
        <v>0</v>
      </c>
      <c r="ER127" s="67">
        <f t="shared" si="31"/>
        <v>0</v>
      </c>
      <c r="ES127" s="67">
        <f t="shared" si="31"/>
        <v>0</v>
      </c>
      <c r="ET127" s="36">
        <f t="shared" si="16"/>
        <v>2199478.0564298397</v>
      </c>
    </row>
    <row r="128" spans="1:150" x14ac:dyDescent="0.3">
      <c r="A128" s="37" t="s">
        <v>8</v>
      </c>
      <c r="B128" s="67">
        <f t="shared" si="32"/>
        <v>0</v>
      </c>
      <c r="C128" s="67">
        <f t="shared" si="32"/>
        <v>0</v>
      </c>
      <c r="D128" s="67">
        <f t="shared" si="32"/>
        <v>0</v>
      </c>
      <c r="E128" s="67">
        <f t="shared" si="32"/>
        <v>0</v>
      </c>
      <c r="F128" s="67">
        <f t="shared" si="32"/>
        <v>0</v>
      </c>
      <c r="G128" s="67">
        <f t="shared" si="32"/>
        <v>0</v>
      </c>
      <c r="H128" s="67">
        <f t="shared" si="32"/>
        <v>0</v>
      </c>
      <c r="I128" s="67">
        <f t="shared" si="32"/>
        <v>0</v>
      </c>
      <c r="J128" s="67">
        <f t="shared" si="32"/>
        <v>0</v>
      </c>
      <c r="K128" s="67">
        <f t="shared" si="32"/>
        <v>0</v>
      </c>
      <c r="L128" s="67">
        <f t="shared" si="32"/>
        <v>0</v>
      </c>
      <c r="M128" s="67">
        <f t="shared" si="32"/>
        <v>0</v>
      </c>
      <c r="N128" s="67">
        <f t="shared" si="32"/>
        <v>0</v>
      </c>
      <c r="O128" s="67">
        <f t="shared" si="32"/>
        <v>0</v>
      </c>
      <c r="P128" s="67">
        <f t="shared" si="32"/>
        <v>0</v>
      </c>
      <c r="Q128" s="67">
        <f t="shared" si="32"/>
        <v>0</v>
      </c>
      <c r="R128" s="67">
        <f t="shared" si="32"/>
        <v>0</v>
      </c>
      <c r="S128" s="67">
        <f t="shared" si="32"/>
        <v>0</v>
      </c>
      <c r="T128" s="67">
        <f t="shared" si="32"/>
        <v>0</v>
      </c>
      <c r="U128" s="67">
        <f t="shared" si="32"/>
        <v>0</v>
      </c>
      <c r="V128" s="67">
        <f t="shared" si="32"/>
        <v>0</v>
      </c>
      <c r="W128" s="67">
        <f t="shared" si="32"/>
        <v>0</v>
      </c>
      <c r="X128" s="67">
        <f t="shared" si="32"/>
        <v>0</v>
      </c>
      <c r="Y128" s="67">
        <f t="shared" si="32"/>
        <v>0</v>
      </c>
      <c r="Z128" s="67">
        <f t="shared" si="32"/>
        <v>0</v>
      </c>
      <c r="AA128" s="67">
        <f t="shared" si="32"/>
        <v>0</v>
      </c>
      <c r="AB128" s="67">
        <f t="shared" si="32"/>
        <v>0</v>
      </c>
      <c r="AC128" s="67">
        <f t="shared" si="32"/>
        <v>0</v>
      </c>
      <c r="AD128" s="67">
        <f t="shared" si="32"/>
        <v>0</v>
      </c>
      <c r="AE128" s="67">
        <f t="shared" si="32"/>
        <v>0</v>
      </c>
      <c r="AF128" s="67">
        <f t="shared" si="32"/>
        <v>0</v>
      </c>
      <c r="AG128" s="67">
        <f t="shared" si="32"/>
        <v>0</v>
      </c>
      <c r="AH128" s="67">
        <f t="shared" si="32"/>
        <v>0</v>
      </c>
      <c r="AI128" s="67">
        <f t="shared" si="32"/>
        <v>0</v>
      </c>
      <c r="AJ128" s="67">
        <f t="shared" si="32"/>
        <v>0</v>
      </c>
      <c r="AK128" s="67">
        <f t="shared" si="32"/>
        <v>0</v>
      </c>
      <c r="AL128" s="67">
        <f t="shared" si="32"/>
        <v>0</v>
      </c>
      <c r="AM128" s="67">
        <f t="shared" si="32"/>
        <v>0</v>
      </c>
      <c r="AN128" s="67">
        <f t="shared" si="32"/>
        <v>0</v>
      </c>
      <c r="AO128" s="67">
        <f t="shared" si="32"/>
        <v>0</v>
      </c>
      <c r="AP128" s="67">
        <f t="shared" si="32"/>
        <v>0</v>
      </c>
      <c r="AQ128" s="67">
        <f t="shared" si="32"/>
        <v>0</v>
      </c>
      <c r="AR128" s="67">
        <f t="shared" si="32"/>
        <v>0</v>
      </c>
      <c r="AS128" s="67">
        <f t="shared" si="32"/>
        <v>0</v>
      </c>
      <c r="AT128" s="67">
        <f t="shared" si="32"/>
        <v>0</v>
      </c>
      <c r="AU128" s="67">
        <f t="shared" si="32"/>
        <v>0</v>
      </c>
      <c r="AV128" s="67">
        <f t="shared" si="32"/>
        <v>0</v>
      </c>
      <c r="AW128" s="67">
        <f t="shared" si="32"/>
        <v>0</v>
      </c>
      <c r="AX128" s="67">
        <f t="shared" si="32"/>
        <v>0</v>
      </c>
      <c r="AY128" s="67">
        <f t="shared" si="32"/>
        <v>0</v>
      </c>
      <c r="AZ128" s="67">
        <f t="shared" si="32"/>
        <v>0</v>
      </c>
      <c r="BA128" s="67">
        <f t="shared" si="32"/>
        <v>0</v>
      </c>
      <c r="BB128" s="67">
        <f t="shared" si="32"/>
        <v>0</v>
      </c>
      <c r="BC128" s="67">
        <f t="shared" si="32"/>
        <v>0</v>
      </c>
      <c r="BD128" s="67">
        <f t="shared" si="32"/>
        <v>0</v>
      </c>
      <c r="BE128" s="67">
        <f t="shared" si="32"/>
        <v>0</v>
      </c>
      <c r="BF128" s="67">
        <f t="shared" si="32"/>
        <v>0</v>
      </c>
      <c r="BG128" s="67">
        <f t="shared" si="32"/>
        <v>0</v>
      </c>
      <c r="BH128" s="67">
        <f t="shared" si="32"/>
        <v>0</v>
      </c>
      <c r="BI128" s="67">
        <f t="shared" si="32"/>
        <v>0</v>
      </c>
      <c r="BJ128" s="67">
        <f t="shared" si="32"/>
        <v>0</v>
      </c>
      <c r="BK128" s="67">
        <f t="shared" si="32"/>
        <v>0</v>
      </c>
      <c r="BL128" s="67">
        <f t="shared" si="32"/>
        <v>0</v>
      </c>
      <c r="BM128" s="67">
        <f t="shared" si="32"/>
        <v>0</v>
      </c>
      <c r="BN128" s="67">
        <f t="shared" si="30"/>
        <v>0</v>
      </c>
      <c r="BO128" s="67">
        <f t="shared" si="30"/>
        <v>0</v>
      </c>
      <c r="BP128" s="67">
        <f t="shared" si="30"/>
        <v>0</v>
      </c>
      <c r="BQ128" s="67">
        <f t="shared" si="30"/>
        <v>0</v>
      </c>
      <c r="BR128" s="67">
        <f t="shared" si="30"/>
        <v>0</v>
      </c>
      <c r="BS128" s="67">
        <f t="shared" si="30"/>
        <v>0</v>
      </c>
      <c r="BT128" s="67">
        <f t="shared" si="30"/>
        <v>0</v>
      </c>
      <c r="BU128" s="67">
        <f t="shared" si="30"/>
        <v>0</v>
      </c>
      <c r="BV128" s="67">
        <f t="shared" si="30"/>
        <v>0</v>
      </c>
      <c r="BW128" s="67">
        <f t="shared" si="30"/>
        <v>0</v>
      </c>
      <c r="BX128" s="67">
        <f t="shared" si="30"/>
        <v>0</v>
      </c>
      <c r="BY128" s="67">
        <f t="shared" si="30"/>
        <v>0</v>
      </c>
      <c r="BZ128" s="67">
        <f t="shared" si="30"/>
        <v>0</v>
      </c>
      <c r="CA128" s="67">
        <f t="shared" si="30"/>
        <v>0</v>
      </c>
      <c r="CB128" s="67">
        <f t="shared" si="30"/>
        <v>0</v>
      </c>
      <c r="CC128" s="67">
        <f t="shared" si="30"/>
        <v>0</v>
      </c>
      <c r="CD128" s="67">
        <f t="shared" si="30"/>
        <v>0</v>
      </c>
      <c r="CE128" s="67">
        <f t="shared" si="30"/>
        <v>0</v>
      </c>
      <c r="CF128" s="67">
        <f t="shared" si="30"/>
        <v>0</v>
      </c>
      <c r="CG128" s="67">
        <f t="shared" si="30"/>
        <v>0</v>
      </c>
      <c r="CH128" s="67">
        <f t="shared" si="30"/>
        <v>0</v>
      </c>
      <c r="CI128" s="67">
        <f t="shared" si="30"/>
        <v>0</v>
      </c>
      <c r="CJ128" s="67">
        <f t="shared" si="30"/>
        <v>0</v>
      </c>
      <c r="CK128" s="67">
        <f t="shared" si="30"/>
        <v>0</v>
      </c>
      <c r="CL128" s="67">
        <f t="shared" si="30"/>
        <v>0</v>
      </c>
      <c r="CM128" s="67">
        <f t="shared" si="30"/>
        <v>0</v>
      </c>
      <c r="CN128" s="67">
        <f t="shared" si="30"/>
        <v>0</v>
      </c>
      <c r="CO128" s="67">
        <f t="shared" si="30"/>
        <v>0</v>
      </c>
      <c r="CP128" s="67">
        <f t="shared" si="30"/>
        <v>0</v>
      </c>
      <c r="CQ128" s="67">
        <f t="shared" si="30"/>
        <v>0</v>
      </c>
      <c r="CR128" s="67">
        <f t="shared" si="30"/>
        <v>0</v>
      </c>
      <c r="CS128" s="67">
        <f t="shared" si="30"/>
        <v>0</v>
      </c>
      <c r="CT128" s="67">
        <f t="shared" si="30"/>
        <v>0</v>
      </c>
      <c r="CU128" s="67">
        <f t="shared" si="30"/>
        <v>0</v>
      </c>
      <c r="CV128" s="67">
        <f t="shared" si="30"/>
        <v>0</v>
      </c>
      <c r="CW128" s="67">
        <f t="shared" si="30"/>
        <v>0</v>
      </c>
      <c r="CX128" s="67">
        <f t="shared" si="30"/>
        <v>0</v>
      </c>
      <c r="CY128" s="67">
        <f t="shared" si="30"/>
        <v>0</v>
      </c>
      <c r="CZ128" s="67">
        <f t="shared" si="30"/>
        <v>0</v>
      </c>
      <c r="DA128" s="67">
        <f t="shared" si="30"/>
        <v>0</v>
      </c>
      <c r="DB128" s="67">
        <f t="shared" si="30"/>
        <v>0</v>
      </c>
      <c r="DC128" s="67">
        <f t="shared" si="30"/>
        <v>0</v>
      </c>
      <c r="DD128" s="67">
        <f t="shared" si="30"/>
        <v>0</v>
      </c>
      <c r="DE128" s="67">
        <f t="shared" si="30"/>
        <v>0</v>
      </c>
      <c r="DF128" s="67">
        <f t="shared" si="30"/>
        <v>0</v>
      </c>
      <c r="DG128" s="67">
        <f t="shared" si="30"/>
        <v>0</v>
      </c>
      <c r="DH128" s="67">
        <f t="shared" si="30"/>
        <v>0</v>
      </c>
      <c r="DI128" s="67">
        <f t="shared" si="30"/>
        <v>0</v>
      </c>
      <c r="DJ128" s="67">
        <f t="shared" si="30"/>
        <v>0</v>
      </c>
      <c r="DK128" s="67">
        <f t="shared" si="30"/>
        <v>0</v>
      </c>
      <c r="DL128" s="67">
        <f t="shared" si="30"/>
        <v>0</v>
      </c>
      <c r="DM128" s="67">
        <f t="shared" si="30"/>
        <v>0</v>
      </c>
      <c r="DN128" s="67">
        <f t="shared" si="30"/>
        <v>0</v>
      </c>
      <c r="DO128" s="67">
        <f t="shared" si="30"/>
        <v>0</v>
      </c>
      <c r="DP128" s="67">
        <f t="shared" si="30"/>
        <v>0</v>
      </c>
      <c r="DQ128" s="67">
        <f t="shared" si="30"/>
        <v>0</v>
      </c>
      <c r="DR128" s="67">
        <f t="shared" si="30"/>
        <v>0</v>
      </c>
      <c r="DS128" s="67">
        <f t="shared" si="30"/>
        <v>0</v>
      </c>
      <c r="DT128" s="67">
        <f t="shared" si="30"/>
        <v>0</v>
      </c>
      <c r="DU128" s="67">
        <f t="shared" si="30"/>
        <v>0</v>
      </c>
      <c r="DV128" s="67">
        <f t="shared" si="30"/>
        <v>0</v>
      </c>
      <c r="DW128" s="67">
        <f t="shared" si="30"/>
        <v>0</v>
      </c>
      <c r="DX128" s="67">
        <f t="shared" si="30"/>
        <v>0</v>
      </c>
      <c r="DY128" s="67">
        <f t="shared" si="28"/>
        <v>0</v>
      </c>
      <c r="DZ128" s="67">
        <f t="shared" si="28"/>
        <v>0</v>
      </c>
      <c r="EA128" s="67">
        <f t="shared" si="31"/>
        <v>0</v>
      </c>
      <c r="EB128" s="67">
        <f t="shared" si="31"/>
        <v>0</v>
      </c>
      <c r="EC128" s="67">
        <f t="shared" si="31"/>
        <v>0</v>
      </c>
      <c r="ED128" s="67">
        <f t="shared" si="31"/>
        <v>0</v>
      </c>
      <c r="EE128" s="67">
        <f t="shared" si="31"/>
        <v>0</v>
      </c>
      <c r="EF128" s="67">
        <f t="shared" si="31"/>
        <v>0</v>
      </c>
      <c r="EG128" s="67">
        <f t="shared" si="31"/>
        <v>0</v>
      </c>
      <c r="EH128" s="67">
        <f t="shared" si="31"/>
        <v>0</v>
      </c>
      <c r="EI128" s="67">
        <f t="shared" si="31"/>
        <v>0</v>
      </c>
      <c r="EJ128" s="67">
        <f t="shared" si="31"/>
        <v>0</v>
      </c>
      <c r="EK128" s="67">
        <f t="shared" si="31"/>
        <v>0</v>
      </c>
      <c r="EL128" s="67">
        <f t="shared" si="31"/>
        <v>0</v>
      </c>
      <c r="EM128" s="67">
        <f t="shared" si="31"/>
        <v>0</v>
      </c>
      <c r="EN128" s="67">
        <f t="shared" si="31"/>
        <v>0</v>
      </c>
      <c r="EO128" s="67">
        <f t="shared" si="31"/>
        <v>0</v>
      </c>
      <c r="EP128" s="67">
        <f t="shared" si="31"/>
        <v>0</v>
      </c>
      <c r="EQ128" s="67">
        <f t="shared" si="31"/>
        <v>0</v>
      </c>
      <c r="ER128" s="67">
        <f t="shared" si="31"/>
        <v>0</v>
      </c>
      <c r="ES128" s="67">
        <f t="shared" si="31"/>
        <v>0</v>
      </c>
      <c r="ET128" s="36">
        <f t="shared" si="16"/>
        <v>0</v>
      </c>
    </row>
    <row r="129" spans="1:150" x14ac:dyDescent="0.3">
      <c r="A129" s="37" t="s">
        <v>28</v>
      </c>
      <c r="B129" s="67">
        <f t="shared" si="32"/>
        <v>0</v>
      </c>
      <c r="C129" s="67">
        <f t="shared" si="32"/>
        <v>0</v>
      </c>
      <c r="D129" s="67">
        <f t="shared" si="32"/>
        <v>0</v>
      </c>
      <c r="E129" s="67">
        <f t="shared" si="32"/>
        <v>0</v>
      </c>
      <c r="F129" s="67">
        <f t="shared" si="32"/>
        <v>0</v>
      </c>
      <c r="G129" s="67">
        <f t="shared" si="32"/>
        <v>0</v>
      </c>
      <c r="H129" s="67">
        <f t="shared" si="32"/>
        <v>0</v>
      </c>
      <c r="I129" s="67">
        <f t="shared" si="32"/>
        <v>0</v>
      </c>
      <c r="J129" s="67">
        <f t="shared" si="32"/>
        <v>0</v>
      </c>
      <c r="K129" s="67">
        <f t="shared" si="32"/>
        <v>0</v>
      </c>
      <c r="L129" s="67">
        <f t="shared" si="32"/>
        <v>0</v>
      </c>
      <c r="M129" s="67">
        <f t="shared" si="32"/>
        <v>0</v>
      </c>
      <c r="N129" s="67">
        <f t="shared" si="32"/>
        <v>0</v>
      </c>
      <c r="O129" s="67">
        <f t="shared" si="32"/>
        <v>0</v>
      </c>
      <c r="P129" s="67">
        <f t="shared" si="32"/>
        <v>0</v>
      </c>
      <c r="Q129" s="67">
        <f t="shared" si="32"/>
        <v>0</v>
      </c>
      <c r="R129" s="67">
        <f t="shared" si="32"/>
        <v>0</v>
      </c>
      <c r="S129" s="67">
        <f t="shared" si="32"/>
        <v>0</v>
      </c>
      <c r="T129" s="67">
        <f t="shared" si="32"/>
        <v>0</v>
      </c>
      <c r="U129" s="67">
        <f t="shared" si="32"/>
        <v>0</v>
      </c>
      <c r="V129" s="67">
        <f t="shared" si="32"/>
        <v>0</v>
      </c>
      <c r="W129" s="67">
        <f t="shared" si="32"/>
        <v>0</v>
      </c>
      <c r="X129" s="67">
        <f t="shared" si="32"/>
        <v>0</v>
      </c>
      <c r="Y129" s="67">
        <f t="shared" si="32"/>
        <v>0</v>
      </c>
      <c r="Z129" s="67">
        <f t="shared" si="32"/>
        <v>0</v>
      </c>
      <c r="AA129" s="67">
        <f t="shared" si="32"/>
        <v>0</v>
      </c>
      <c r="AB129" s="67">
        <f t="shared" si="32"/>
        <v>0</v>
      </c>
      <c r="AC129" s="67">
        <f t="shared" si="32"/>
        <v>0</v>
      </c>
      <c r="AD129" s="67">
        <f t="shared" si="32"/>
        <v>0</v>
      </c>
      <c r="AE129" s="67">
        <f t="shared" si="32"/>
        <v>0</v>
      </c>
      <c r="AF129" s="67">
        <f t="shared" si="32"/>
        <v>0</v>
      </c>
      <c r="AG129" s="67">
        <f t="shared" si="32"/>
        <v>0</v>
      </c>
      <c r="AH129" s="67">
        <f t="shared" si="32"/>
        <v>0</v>
      </c>
      <c r="AI129" s="67">
        <f t="shared" si="32"/>
        <v>0</v>
      </c>
      <c r="AJ129" s="67">
        <f t="shared" si="32"/>
        <v>0</v>
      </c>
      <c r="AK129" s="67">
        <f t="shared" si="32"/>
        <v>0</v>
      </c>
      <c r="AL129" s="67">
        <f t="shared" si="32"/>
        <v>0</v>
      </c>
      <c r="AM129" s="67">
        <f t="shared" si="32"/>
        <v>0</v>
      </c>
      <c r="AN129" s="67">
        <f t="shared" si="32"/>
        <v>0</v>
      </c>
      <c r="AO129" s="67">
        <f t="shared" si="32"/>
        <v>0</v>
      </c>
      <c r="AP129" s="67">
        <f t="shared" si="32"/>
        <v>0</v>
      </c>
      <c r="AQ129" s="67">
        <f t="shared" si="32"/>
        <v>0</v>
      </c>
      <c r="AR129" s="67">
        <f t="shared" si="32"/>
        <v>0</v>
      </c>
      <c r="AS129" s="67">
        <f t="shared" si="32"/>
        <v>0</v>
      </c>
      <c r="AT129" s="67">
        <f t="shared" si="32"/>
        <v>0</v>
      </c>
      <c r="AU129" s="67">
        <f t="shared" si="32"/>
        <v>0</v>
      </c>
      <c r="AV129" s="67">
        <f t="shared" si="32"/>
        <v>0</v>
      </c>
      <c r="AW129" s="67">
        <f t="shared" si="32"/>
        <v>0</v>
      </c>
      <c r="AX129" s="67">
        <f t="shared" si="32"/>
        <v>0</v>
      </c>
      <c r="AY129" s="67">
        <f t="shared" si="32"/>
        <v>0</v>
      </c>
      <c r="AZ129" s="67">
        <f t="shared" si="32"/>
        <v>0</v>
      </c>
      <c r="BA129" s="67">
        <f t="shared" si="32"/>
        <v>0</v>
      </c>
      <c r="BB129" s="67">
        <f t="shared" si="32"/>
        <v>0</v>
      </c>
      <c r="BC129" s="67">
        <f t="shared" si="32"/>
        <v>0</v>
      </c>
      <c r="BD129" s="67">
        <f t="shared" si="32"/>
        <v>0</v>
      </c>
      <c r="BE129" s="67">
        <f t="shared" si="32"/>
        <v>0</v>
      </c>
      <c r="BF129" s="67">
        <f t="shared" si="32"/>
        <v>0</v>
      </c>
      <c r="BG129" s="67">
        <f t="shared" si="32"/>
        <v>0</v>
      </c>
      <c r="BH129" s="67">
        <f t="shared" si="32"/>
        <v>0</v>
      </c>
      <c r="BI129" s="67">
        <f t="shared" si="32"/>
        <v>0</v>
      </c>
      <c r="BJ129" s="67">
        <f t="shared" si="32"/>
        <v>0</v>
      </c>
      <c r="BK129" s="67">
        <f t="shared" si="32"/>
        <v>0</v>
      </c>
      <c r="BL129" s="67">
        <f t="shared" si="32"/>
        <v>0</v>
      </c>
      <c r="BM129" s="67">
        <f t="shared" si="32"/>
        <v>0</v>
      </c>
      <c r="BN129" s="67">
        <f t="shared" si="30"/>
        <v>0</v>
      </c>
      <c r="BO129" s="67">
        <f t="shared" si="30"/>
        <v>0</v>
      </c>
      <c r="BP129" s="67">
        <f t="shared" si="30"/>
        <v>0</v>
      </c>
      <c r="BQ129" s="67">
        <f t="shared" si="30"/>
        <v>0</v>
      </c>
      <c r="BR129" s="67">
        <f t="shared" si="30"/>
        <v>0</v>
      </c>
      <c r="BS129" s="67">
        <f t="shared" si="30"/>
        <v>0</v>
      </c>
      <c r="BT129" s="67">
        <f t="shared" si="30"/>
        <v>0</v>
      </c>
      <c r="BU129" s="67">
        <f t="shared" si="30"/>
        <v>0</v>
      </c>
      <c r="BV129" s="67">
        <f t="shared" si="30"/>
        <v>0</v>
      </c>
      <c r="BW129" s="67">
        <f t="shared" si="30"/>
        <v>0</v>
      </c>
      <c r="BX129" s="67">
        <f t="shared" si="30"/>
        <v>0</v>
      </c>
      <c r="BY129" s="67">
        <f t="shared" si="30"/>
        <v>0</v>
      </c>
      <c r="BZ129" s="67">
        <f t="shared" si="30"/>
        <v>0</v>
      </c>
      <c r="CA129" s="67">
        <f t="shared" si="30"/>
        <v>0</v>
      </c>
      <c r="CB129" s="67">
        <f t="shared" si="30"/>
        <v>0</v>
      </c>
      <c r="CC129" s="67">
        <f t="shared" si="30"/>
        <v>0</v>
      </c>
      <c r="CD129" s="67">
        <f t="shared" si="30"/>
        <v>0</v>
      </c>
      <c r="CE129" s="67">
        <f t="shared" si="30"/>
        <v>0</v>
      </c>
      <c r="CF129" s="67">
        <f t="shared" si="30"/>
        <v>0</v>
      </c>
      <c r="CG129" s="67">
        <f t="shared" si="30"/>
        <v>0</v>
      </c>
      <c r="CH129" s="67">
        <f t="shared" si="30"/>
        <v>0</v>
      </c>
      <c r="CI129" s="67">
        <f t="shared" si="30"/>
        <v>0</v>
      </c>
      <c r="CJ129" s="67">
        <f t="shared" si="30"/>
        <v>0</v>
      </c>
      <c r="CK129" s="67">
        <f t="shared" si="30"/>
        <v>0</v>
      </c>
      <c r="CL129" s="67">
        <f t="shared" si="30"/>
        <v>0</v>
      </c>
      <c r="CM129" s="67">
        <f t="shared" si="30"/>
        <v>0</v>
      </c>
      <c r="CN129" s="67">
        <f t="shared" si="30"/>
        <v>0</v>
      </c>
      <c r="CO129" s="67">
        <f t="shared" si="30"/>
        <v>0</v>
      </c>
      <c r="CP129" s="67">
        <f t="shared" si="30"/>
        <v>0</v>
      </c>
      <c r="CQ129" s="67">
        <f t="shared" si="30"/>
        <v>0</v>
      </c>
      <c r="CR129" s="67">
        <f t="shared" si="30"/>
        <v>0</v>
      </c>
      <c r="CS129" s="67">
        <f t="shared" si="30"/>
        <v>0</v>
      </c>
      <c r="CT129" s="67">
        <f t="shared" si="30"/>
        <v>0</v>
      </c>
      <c r="CU129" s="67">
        <f t="shared" si="30"/>
        <v>0</v>
      </c>
      <c r="CV129" s="67">
        <f t="shared" si="30"/>
        <v>0</v>
      </c>
      <c r="CW129" s="67">
        <f t="shared" si="30"/>
        <v>0</v>
      </c>
      <c r="CX129" s="67">
        <f t="shared" si="30"/>
        <v>0</v>
      </c>
      <c r="CY129" s="67">
        <f t="shared" si="30"/>
        <v>0</v>
      </c>
      <c r="CZ129" s="67">
        <f t="shared" si="30"/>
        <v>0</v>
      </c>
      <c r="DA129" s="67">
        <f t="shared" si="30"/>
        <v>0</v>
      </c>
      <c r="DB129" s="67">
        <f t="shared" si="30"/>
        <v>0</v>
      </c>
      <c r="DC129" s="67">
        <f t="shared" si="30"/>
        <v>0</v>
      </c>
      <c r="DD129" s="67">
        <f t="shared" si="30"/>
        <v>0</v>
      </c>
      <c r="DE129" s="67">
        <f t="shared" si="30"/>
        <v>0</v>
      </c>
      <c r="DF129" s="67">
        <f t="shared" si="30"/>
        <v>0</v>
      </c>
      <c r="DG129" s="67">
        <f t="shared" si="30"/>
        <v>0</v>
      </c>
      <c r="DH129" s="67">
        <f t="shared" si="30"/>
        <v>0</v>
      </c>
      <c r="DI129" s="67">
        <f t="shared" si="30"/>
        <v>0</v>
      </c>
      <c r="DJ129" s="67">
        <f t="shared" si="30"/>
        <v>0</v>
      </c>
      <c r="DK129" s="67">
        <f t="shared" si="30"/>
        <v>0</v>
      </c>
      <c r="DL129" s="67">
        <f t="shared" si="30"/>
        <v>0</v>
      </c>
      <c r="DM129" s="67">
        <f t="shared" si="30"/>
        <v>0</v>
      </c>
      <c r="DN129" s="67">
        <f t="shared" si="30"/>
        <v>0</v>
      </c>
      <c r="DO129" s="67">
        <f t="shared" si="30"/>
        <v>0</v>
      </c>
      <c r="DP129" s="67">
        <f t="shared" si="30"/>
        <v>0</v>
      </c>
      <c r="DQ129" s="67">
        <f t="shared" si="30"/>
        <v>0</v>
      </c>
      <c r="DR129" s="67">
        <f t="shared" si="30"/>
        <v>0</v>
      </c>
      <c r="DS129" s="67">
        <f t="shared" si="30"/>
        <v>0</v>
      </c>
      <c r="DT129" s="67">
        <f t="shared" si="30"/>
        <v>0</v>
      </c>
      <c r="DU129" s="67">
        <f t="shared" si="30"/>
        <v>0</v>
      </c>
      <c r="DV129" s="67">
        <f t="shared" si="30"/>
        <v>0</v>
      </c>
      <c r="DW129" s="67">
        <f t="shared" si="30"/>
        <v>0</v>
      </c>
      <c r="DX129" s="67">
        <f t="shared" si="30"/>
        <v>0</v>
      </c>
      <c r="DY129" s="67">
        <f t="shared" si="28"/>
        <v>0</v>
      </c>
      <c r="DZ129" s="67">
        <f t="shared" si="28"/>
        <v>0</v>
      </c>
      <c r="EA129" s="67">
        <f t="shared" si="31"/>
        <v>0</v>
      </c>
      <c r="EB129" s="67">
        <f t="shared" si="31"/>
        <v>0</v>
      </c>
      <c r="EC129" s="67">
        <f t="shared" si="31"/>
        <v>0</v>
      </c>
      <c r="ED129" s="67">
        <f t="shared" si="31"/>
        <v>0</v>
      </c>
      <c r="EE129" s="67">
        <f t="shared" si="31"/>
        <v>0</v>
      </c>
      <c r="EF129" s="67">
        <f t="shared" si="31"/>
        <v>0</v>
      </c>
      <c r="EG129" s="67">
        <f t="shared" si="31"/>
        <v>0</v>
      </c>
      <c r="EH129" s="67">
        <f t="shared" si="31"/>
        <v>0</v>
      </c>
      <c r="EI129" s="67">
        <f t="shared" si="31"/>
        <v>0</v>
      </c>
      <c r="EJ129" s="67">
        <f t="shared" si="31"/>
        <v>0</v>
      </c>
      <c r="EK129" s="67">
        <f t="shared" si="31"/>
        <v>0</v>
      </c>
      <c r="EL129" s="67">
        <f t="shared" si="31"/>
        <v>0</v>
      </c>
      <c r="EM129" s="67">
        <f t="shared" si="31"/>
        <v>0</v>
      </c>
      <c r="EN129" s="67">
        <f t="shared" si="31"/>
        <v>0</v>
      </c>
      <c r="EO129" s="67">
        <f t="shared" si="31"/>
        <v>0</v>
      </c>
      <c r="EP129" s="67">
        <f t="shared" si="31"/>
        <v>0</v>
      </c>
      <c r="EQ129" s="67">
        <f t="shared" si="31"/>
        <v>0</v>
      </c>
      <c r="ER129" s="67">
        <f t="shared" si="31"/>
        <v>0</v>
      </c>
      <c r="ES129" s="67">
        <f t="shared" si="31"/>
        <v>0</v>
      </c>
      <c r="ET129" s="36">
        <f t="shared" si="16"/>
        <v>0</v>
      </c>
    </row>
    <row r="130" spans="1:150" x14ac:dyDescent="0.3">
      <c r="A130" s="37" t="s">
        <v>13</v>
      </c>
      <c r="B130" s="67">
        <f t="shared" si="32"/>
        <v>152512.2859420398</v>
      </c>
      <c r="C130" s="67">
        <f t="shared" si="32"/>
        <v>0</v>
      </c>
      <c r="D130" s="67">
        <f t="shared" si="32"/>
        <v>0</v>
      </c>
      <c r="E130" s="67">
        <f t="shared" si="32"/>
        <v>141778.36678291851</v>
      </c>
      <c r="F130" s="67">
        <f t="shared" si="32"/>
        <v>235813.57063753781</v>
      </c>
      <c r="G130" s="67">
        <f t="shared" si="32"/>
        <v>46964.135762385507</v>
      </c>
      <c r="H130" s="67">
        <f t="shared" si="32"/>
        <v>53300.565434424359</v>
      </c>
      <c r="I130" s="67">
        <f t="shared" si="32"/>
        <v>129563.78860965834</v>
      </c>
      <c r="J130" s="67">
        <f t="shared" si="32"/>
        <v>0</v>
      </c>
      <c r="K130" s="67">
        <f t="shared" si="32"/>
        <v>0</v>
      </c>
      <c r="L130" s="67">
        <f t="shared" si="32"/>
        <v>0</v>
      </c>
      <c r="M130" s="67">
        <f t="shared" si="32"/>
        <v>0</v>
      </c>
      <c r="N130" s="67">
        <f t="shared" si="32"/>
        <v>0</v>
      </c>
      <c r="O130" s="67">
        <f t="shared" si="32"/>
        <v>0</v>
      </c>
      <c r="P130" s="67">
        <f t="shared" si="32"/>
        <v>32211.703053314828</v>
      </c>
      <c r="Q130" s="67">
        <f t="shared" si="32"/>
        <v>0</v>
      </c>
      <c r="R130" s="67">
        <f t="shared" si="32"/>
        <v>0</v>
      </c>
      <c r="S130" s="67">
        <f t="shared" si="32"/>
        <v>0</v>
      </c>
      <c r="T130" s="67">
        <f t="shared" si="32"/>
        <v>81292.327204259214</v>
      </c>
      <c r="U130" s="67">
        <f t="shared" si="32"/>
        <v>0</v>
      </c>
      <c r="V130" s="67">
        <f t="shared" si="32"/>
        <v>0</v>
      </c>
      <c r="W130" s="67">
        <f t="shared" si="32"/>
        <v>58043.243372183038</v>
      </c>
      <c r="X130" s="67">
        <f t="shared" si="32"/>
        <v>0</v>
      </c>
      <c r="Y130" s="67">
        <f t="shared" si="32"/>
        <v>41105.012928429802</v>
      </c>
      <c r="Z130" s="67">
        <f t="shared" si="32"/>
        <v>0</v>
      </c>
      <c r="AA130" s="67">
        <f t="shared" si="32"/>
        <v>0</v>
      </c>
      <c r="AB130" s="67">
        <f t="shared" si="32"/>
        <v>0</v>
      </c>
      <c r="AC130" s="67">
        <f t="shared" si="32"/>
        <v>0</v>
      </c>
      <c r="AD130" s="67">
        <f t="shared" si="32"/>
        <v>0</v>
      </c>
      <c r="AE130" s="67">
        <f t="shared" si="32"/>
        <v>127181.42236922185</v>
      </c>
      <c r="AF130" s="67">
        <f t="shared" si="32"/>
        <v>0</v>
      </c>
      <c r="AG130" s="67">
        <f t="shared" si="32"/>
        <v>0</v>
      </c>
      <c r="AH130" s="67">
        <f t="shared" si="32"/>
        <v>0</v>
      </c>
      <c r="AI130" s="67">
        <f t="shared" si="32"/>
        <v>0</v>
      </c>
      <c r="AJ130" s="67">
        <f t="shared" si="32"/>
        <v>0</v>
      </c>
      <c r="AK130" s="67">
        <f t="shared" si="32"/>
        <v>0</v>
      </c>
      <c r="AL130" s="67">
        <f t="shared" si="32"/>
        <v>0</v>
      </c>
      <c r="AM130" s="67">
        <f t="shared" si="32"/>
        <v>0</v>
      </c>
      <c r="AN130" s="67">
        <f t="shared" si="32"/>
        <v>0</v>
      </c>
      <c r="AO130" s="67">
        <f t="shared" si="32"/>
        <v>77612.33766089112</v>
      </c>
      <c r="AP130" s="67">
        <f t="shared" si="32"/>
        <v>0</v>
      </c>
      <c r="AQ130" s="67">
        <f t="shared" si="32"/>
        <v>0</v>
      </c>
      <c r="AR130" s="67">
        <f t="shared" si="32"/>
        <v>0</v>
      </c>
      <c r="AS130" s="67">
        <f t="shared" si="32"/>
        <v>0</v>
      </c>
      <c r="AT130" s="67">
        <f t="shared" si="32"/>
        <v>0</v>
      </c>
      <c r="AU130" s="67">
        <f t="shared" si="32"/>
        <v>165567.75027062758</v>
      </c>
      <c r="AV130" s="67">
        <f t="shared" si="32"/>
        <v>0</v>
      </c>
      <c r="AW130" s="67">
        <f t="shared" si="32"/>
        <v>22333.538829073306</v>
      </c>
      <c r="AX130" s="67">
        <f t="shared" si="32"/>
        <v>0</v>
      </c>
      <c r="AY130" s="67">
        <f t="shared" si="32"/>
        <v>232664.40277293918</v>
      </c>
      <c r="AZ130" s="67">
        <f t="shared" si="32"/>
        <v>0</v>
      </c>
      <c r="BA130" s="67">
        <f t="shared" si="32"/>
        <v>343008.06350663357</v>
      </c>
      <c r="BB130" s="67">
        <f t="shared" si="32"/>
        <v>0</v>
      </c>
      <c r="BC130" s="67">
        <f t="shared" si="32"/>
        <v>0</v>
      </c>
      <c r="BD130" s="67">
        <f t="shared" si="32"/>
        <v>143522.82613168066</v>
      </c>
      <c r="BE130" s="67">
        <f t="shared" si="32"/>
        <v>0</v>
      </c>
      <c r="BF130" s="67">
        <f t="shared" si="32"/>
        <v>228948.63009798544</v>
      </c>
      <c r="BG130" s="67">
        <f t="shared" si="32"/>
        <v>0</v>
      </c>
      <c r="BH130" s="67">
        <f t="shared" si="32"/>
        <v>109390.70206813763</v>
      </c>
      <c r="BI130" s="67">
        <f t="shared" si="32"/>
        <v>88428.367582294391</v>
      </c>
      <c r="BJ130" s="67">
        <f t="shared" si="32"/>
        <v>0</v>
      </c>
      <c r="BK130" s="67">
        <f t="shared" si="32"/>
        <v>126219.46672167169</v>
      </c>
      <c r="BL130" s="67">
        <f t="shared" si="32"/>
        <v>71150.698772237229</v>
      </c>
      <c r="BM130" s="67">
        <f t="shared" ref="BM130" si="33">BM78*BM104</f>
        <v>0</v>
      </c>
      <c r="BN130" s="67">
        <f t="shared" si="30"/>
        <v>0</v>
      </c>
      <c r="BO130" s="67">
        <f t="shared" si="30"/>
        <v>0</v>
      </c>
      <c r="BP130" s="67">
        <f t="shared" ref="BP130:DY130" si="34">BP78*BP104</f>
        <v>62746.061429238762</v>
      </c>
      <c r="BQ130" s="67">
        <f t="shared" si="34"/>
        <v>0</v>
      </c>
      <c r="BR130" s="67">
        <f t="shared" si="34"/>
        <v>69353.392734955982</v>
      </c>
      <c r="BS130" s="67">
        <f t="shared" si="34"/>
        <v>0</v>
      </c>
      <c r="BT130" s="67">
        <f t="shared" si="34"/>
        <v>115288.42537163268</v>
      </c>
      <c r="BU130" s="67">
        <f t="shared" si="34"/>
        <v>165962.7403477499</v>
      </c>
      <c r="BV130" s="67">
        <f t="shared" si="34"/>
        <v>0</v>
      </c>
      <c r="BW130" s="67">
        <f t="shared" si="34"/>
        <v>0</v>
      </c>
      <c r="BX130" s="67">
        <f t="shared" si="34"/>
        <v>0</v>
      </c>
      <c r="BY130" s="67">
        <f t="shared" si="34"/>
        <v>34623.123445687073</v>
      </c>
      <c r="BZ130" s="67">
        <f t="shared" si="34"/>
        <v>0</v>
      </c>
      <c r="CA130" s="67">
        <f t="shared" si="34"/>
        <v>126869.98412229885</v>
      </c>
      <c r="CB130" s="67">
        <f t="shared" si="34"/>
        <v>0</v>
      </c>
      <c r="CC130" s="67">
        <f t="shared" si="34"/>
        <v>186536.01072065832</v>
      </c>
      <c r="CD130" s="67">
        <f t="shared" si="34"/>
        <v>39246.202703857743</v>
      </c>
      <c r="CE130" s="67">
        <f t="shared" si="34"/>
        <v>0</v>
      </c>
      <c r="CF130" s="67">
        <f t="shared" si="34"/>
        <v>0</v>
      </c>
      <c r="CG130" s="67">
        <f t="shared" si="34"/>
        <v>0</v>
      </c>
      <c r="CH130" s="67">
        <f t="shared" si="34"/>
        <v>0</v>
      </c>
      <c r="CI130" s="67">
        <f t="shared" si="34"/>
        <v>145026.32263383528</v>
      </c>
      <c r="CJ130" s="67">
        <f t="shared" si="34"/>
        <v>0</v>
      </c>
      <c r="CK130" s="67">
        <f t="shared" si="34"/>
        <v>0</v>
      </c>
      <c r="CL130" s="67">
        <f t="shared" si="34"/>
        <v>475705.25790788239</v>
      </c>
      <c r="CM130" s="67">
        <f t="shared" si="34"/>
        <v>0</v>
      </c>
      <c r="CN130" s="67">
        <f t="shared" si="34"/>
        <v>87401.942711227326</v>
      </c>
      <c r="CO130" s="67">
        <f t="shared" si="34"/>
        <v>0</v>
      </c>
      <c r="CP130" s="67">
        <f t="shared" si="34"/>
        <v>0</v>
      </c>
      <c r="CQ130" s="67">
        <f t="shared" si="34"/>
        <v>0</v>
      </c>
      <c r="CR130" s="67">
        <f t="shared" si="34"/>
        <v>52689.432633569755</v>
      </c>
      <c r="CS130" s="67">
        <f t="shared" si="34"/>
        <v>0</v>
      </c>
      <c r="CT130" s="67">
        <f t="shared" si="34"/>
        <v>0</v>
      </c>
      <c r="CU130" s="67">
        <f t="shared" si="34"/>
        <v>67975.831587697277</v>
      </c>
      <c r="CV130" s="67">
        <f t="shared" si="34"/>
        <v>12573.171700399313</v>
      </c>
      <c r="CW130" s="67">
        <f t="shared" si="34"/>
        <v>0</v>
      </c>
      <c r="CX130" s="67">
        <f t="shared" si="34"/>
        <v>0</v>
      </c>
      <c r="CY130" s="67">
        <f t="shared" si="34"/>
        <v>84789.251118340326</v>
      </c>
      <c r="CZ130" s="67">
        <f t="shared" si="34"/>
        <v>0</v>
      </c>
      <c r="DA130" s="67">
        <f t="shared" si="34"/>
        <v>0</v>
      </c>
      <c r="DB130" s="67">
        <f t="shared" si="34"/>
        <v>0</v>
      </c>
      <c r="DC130" s="67">
        <f t="shared" si="34"/>
        <v>0</v>
      </c>
      <c r="DD130" s="67">
        <f t="shared" si="34"/>
        <v>0</v>
      </c>
      <c r="DE130" s="67">
        <f t="shared" si="34"/>
        <v>0</v>
      </c>
      <c r="DF130" s="67">
        <f t="shared" si="34"/>
        <v>0</v>
      </c>
      <c r="DG130" s="67">
        <f t="shared" si="34"/>
        <v>0</v>
      </c>
      <c r="DH130" s="67">
        <f t="shared" si="34"/>
        <v>0</v>
      </c>
      <c r="DI130" s="67">
        <f t="shared" si="34"/>
        <v>47436.031852588305</v>
      </c>
      <c r="DJ130" s="67">
        <f t="shared" si="34"/>
        <v>0</v>
      </c>
      <c r="DK130" s="67">
        <f t="shared" si="34"/>
        <v>0</v>
      </c>
      <c r="DL130" s="67">
        <f t="shared" si="34"/>
        <v>0</v>
      </c>
      <c r="DM130" s="67">
        <f t="shared" si="34"/>
        <v>0</v>
      </c>
      <c r="DN130" s="67">
        <f t="shared" si="34"/>
        <v>100087.96259280721</v>
      </c>
      <c r="DO130" s="67">
        <f t="shared" si="34"/>
        <v>0</v>
      </c>
      <c r="DP130" s="67">
        <f t="shared" si="34"/>
        <v>0</v>
      </c>
      <c r="DQ130" s="67">
        <f t="shared" si="34"/>
        <v>136899.78021720695</v>
      </c>
      <c r="DR130" s="67">
        <f t="shared" si="34"/>
        <v>115838.39580134393</v>
      </c>
      <c r="DS130" s="67">
        <f t="shared" si="34"/>
        <v>115496.52974354874</v>
      </c>
      <c r="DT130" s="67">
        <f t="shared" si="34"/>
        <v>0</v>
      </c>
      <c r="DU130" s="67">
        <f t="shared" si="34"/>
        <v>0</v>
      </c>
      <c r="DV130" s="67">
        <f t="shared" si="34"/>
        <v>0</v>
      </c>
      <c r="DW130" s="67">
        <f t="shared" si="34"/>
        <v>0</v>
      </c>
      <c r="DX130" s="67">
        <f t="shared" si="34"/>
        <v>0</v>
      </c>
      <c r="DY130" s="67">
        <f t="shared" si="34"/>
        <v>117051.54392399064</v>
      </c>
      <c r="DZ130" s="67">
        <f t="shared" si="28"/>
        <v>0</v>
      </c>
      <c r="EA130" s="67">
        <f t="shared" si="31"/>
        <v>0</v>
      </c>
      <c r="EB130" s="67">
        <f t="shared" si="31"/>
        <v>424382.08125259442</v>
      </c>
      <c r="EC130" s="67">
        <f t="shared" si="31"/>
        <v>0</v>
      </c>
      <c r="ED130" s="67">
        <f t="shared" si="31"/>
        <v>0</v>
      </c>
      <c r="EE130" s="67">
        <f t="shared" si="31"/>
        <v>0</v>
      </c>
      <c r="EF130" s="67">
        <f t="shared" si="31"/>
        <v>14587.422568018712</v>
      </c>
      <c r="EG130" s="67">
        <f t="shared" si="31"/>
        <v>114740.85060066098</v>
      </c>
      <c r="EH130" s="67">
        <f t="shared" si="31"/>
        <v>6655.777706449031</v>
      </c>
      <c r="EI130" s="67">
        <f t="shared" si="31"/>
        <v>156561.8218221982</v>
      </c>
      <c r="EJ130" s="67">
        <f t="shared" si="31"/>
        <v>0</v>
      </c>
      <c r="EK130" s="67">
        <f t="shared" si="31"/>
        <v>0</v>
      </c>
      <c r="EL130" s="67">
        <f t="shared" si="31"/>
        <v>0</v>
      </c>
      <c r="EM130" s="67">
        <f t="shared" si="31"/>
        <v>0</v>
      </c>
      <c r="EN130" s="67">
        <f t="shared" si="31"/>
        <v>0</v>
      </c>
      <c r="EO130" s="67">
        <f t="shared" si="31"/>
        <v>0</v>
      </c>
      <c r="EP130" s="67">
        <f t="shared" si="31"/>
        <v>273747.16728328163</v>
      </c>
      <c r="EQ130" s="67">
        <f t="shared" si="31"/>
        <v>0</v>
      </c>
      <c r="ER130" s="67">
        <f t="shared" si="31"/>
        <v>0</v>
      </c>
      <c r="ES130" s="67">
        <f t="shared" si="31"/>
        <v>0</v>
      </c>
      <c r="ET130" s="36">
        <f t="shared" si="16"/>
        <v>6058885.7230442632</v>
      </c>
    </row>
    <row r="131" spans="1:150" x14ac:dyDescent="0.3">
      <c r="A131" s="37" t="s">
        <v>23</v>
      </c>
      <c r="B131" s="67">
        <f t="shared" ref="B131:BM132" si="35">B79*B105</f>
        <v>0</v>
      </c>
      <c r="C131" s="67">
        <f t="shared" si="35"/>
        <v>0</v>
      </c>
      <c r="D131" s="67">
        <f t="shared" si="35"/>
        <v>0</v>
      </c>
      <c r="E131" s="67">
        <f t="shared" si="35"/>
        <v>0</v>
      </c>
      <c r="F131" s="67">
        <f t="shared" si="35"/>
        <v>0</v>
      </c>
      <c r="G131" s="67">
        <f t="shared" si="35"/>
        <v>0</v>
      </c>
      <c r="H131" s="67">
        <f t="shared" si="35"/>
        <v>0</v>
      </c>
      <c r="I131" s="67">
        <f t="shared" si="35"/>
        <v>0</v>
      </c>
      <c r="J131" s="67">
        <f t="shared" si="35"/>
        <v>0</v>
      </c>
      <c r="K131" s="67">
        <f t="shared" si="35"/>
        <v>0</v>
      </c>
      <c r="L131" s="67">
        <f t="shared" si="35"/>
        <v>0</v>
      </c>
      <c r="M131" s="67">
        <f t="shared" si="35"/>
        <v>0</v>
      </c>
      <c r="N131" s="67">
        <f t="shared" si="35"/>
        <v>0</v>
      </c>
      <c r="O131" s="67">
        <f t="shared" si="35"/>
        <v>0</v>
      </c>
      <c r="P131" s="67">
        <f t="shared" si="35"/>
        <v>0</v>
      </c>
      <c r="Q131" s="67">
        <f t="shared" si="35"/>
        <v>0</v>
      </c>
      <c r="R131" s="67">
        <f t="shared" si="35"/>
        <v>0</v>
      </c>
      <c r="S131" s="67">
        <f t="shared" si="35"/>
        <v>0</v>
      </c>
      <c r="T131" s="67">
        <f t="shared" si="35"/>
        <v>0</v>
      </c>
      <c r="U131" s="67">
        <f t="shared" si="35"/>
        <v>0</v>
      </c>
      <c r="V131" s="67">
        <f t="shared" si="35"/>
        <v>0</v>
      </c>
      <c r="W131" s="67">
        <f t="shared" si="35"/>
        <v>0</v>
      </c>
      <c r="X131" s="67">
        <f t="shared" si="35"/>
        <v>0</v>
      </c>
      <c r="Y131" s="67">
        <f t="shared" si="35"/>
        <v>0</v>
      </c>
      <c r="Z131" s="67">
        <f t="shared" si="35"/>
        <v>0</v>
      </c>
      <c r="AA131" s="67">
        <f t="shared" si="35"/>
        <v>0</v>
      </c>
      <c r="AB131" s="67">
        <f t="shared" si="35"/>
        <v>0</v>
      </c>
      <c r="AC131" s="67">
        <f t="shared" si="35"/>
        <v>0</v>
      </c>
      <c r="AD131" s="67">
        <f t="shared" si="35"/>
        <v>0</v>
      </c>
      <c r="AE131" s="67">
        <f t="shared" si="35"/>
        <v>0</v>
      </c>
      <c r="AF131" s="67">
        <f t="shared" si="35"/>
        <v>0</v>
      </c>
      <c r="AG131" s="67">
        <f t="shared" si="35"/>
        <v>0</v>
      </c>
      <c r="AH131" s="67">
        <f t="shared" si="35"/>
        <v>0</v>
      </c>
      <c r="AI131" s="67">
        <f t="shared" si="35"/>
        <v>0</v>
      </c>
      <c r="AJ131" s="67">
        <f t="shared" si="35"/>
        <v>0</v>
      </c>
      <c r="AK131" s="67">
        <f t="shared" si="35"/>
        <v>0</v>
      </c>
      <c r="AL131" s="67">
        <f t="shared" si="35"/>
        <v>0</v>
      </c>
      <c r="AM131" s="67">
        <f t="shared" si="35"/>
        <v>0</v>
      </c>
      <c r="AN131" s="67">
        <f t="shared" si="35"/>
        <v>0</v>
      </c>
      <c r="AO131" s="67">
        <f t="shared" si="35"/>
        <v>0</v>
      </c>
      <c r="AP131" s="67">
        <f t="shared" si="35"/>
        <v>0</v>
      </c>
      <c r="AQ131" s="67">
        <f t="shared" si="35"/>
        <v>0</v>
      </c>
      <c r="AR131" s="67">
        <f t="shared" si="35"/>
        <v>0</v>
      </c>
      <c r="AS131" s="67">
        <f t="shared" si="35"/>
        <v>0</v>
      </c>
      <c r="AT131" s="67">
        <f t="shared" si="35"/>
        <v>0</v>
      </c>
      <c r="AU131" s="67">
        <f t="shared" si="35"/>
        <v>0</v>
      </c>
      <c r="AV131" s="67">
        <f t="shared" si="35"/>
        <v>0</v>
      </c>
      <c r="AW131" s="67">
        <f t="shared" si="35"/>
        <v>0</v>
      </c>
      <c r="AX131" s="67">
        <f t="shared" si="35"/>
        <v>0</v>
      </c>
      <c r="AY131" s="67">
        <f t="shared" si="35"/>
        <v>0</v>
      </c>
      <c r="AZ131" s="67">
        <f t="shared" si="35"/>
        <v>0</v>
      </c>
      <c r="BA131" s="67">
        <f t="shared" si="35"/>
        <v>0</v>
      </c>
      <c r="BB131" s="67">
        <f t="shared" si="35"/>
        <v>0</v>
      </c>
      <c r="BC131" s="67">
        <f t="shared" si="35"/>
        <v>0</v>
      </c>
      <c r="BD131" s="67">
        <f t="shared" si="35"/>
        <v>0</v>
      </c>
      <c r="BE131" s="67">
        <f t="shared" si="35"/>
        <v>0</v>
      </c>
      <c r="BF131" s="67">
        <f t="shared" si="35"/>
        <v>0</v>
      </c>
      <c r="BG131" s="67">
        <f t="shared" si="35"/>
        <v>0</v>
      </c>
      <c r="BH131" s="67">
        <f t="shared" si="35"/>
        <v>0</v>
      </c>
      <c r="BI131" s="67">
        <f t="shared" si="35"/>
        <v>0</v>
      </c>
      <c r="BJ131" s="67">
        <f t="shared" si="35"/>
        <v>0</v>
      </c>
      <c r="BK131" s="67">
        <f t="shared" si="35"/>
        <v>0</v>
      </c>
      <c r="BL131" s="67">
        <f t="shared" si="35"/>
        <v>0</v>
      </c>
      <c r="BM131" s="67">
        <f t="shared" si="35"/>
        <v>0</v>
      </c>
      <c r="BN131" s="67">
        <f t="shared" ref="BN131:DY132" si="36">BN79*BN105</f>
        <v>0</v>
      </c>
      <c r="BO131" s="67">
        <f t="shared" si="36"/>
        <v>0</v>
      </c>
      <c r="BP131" s="67">
        <f t="shared" si="36"/>
        <v>0</v>
      </c>
      <c r="BQ131" s="67">
        <f t="shared" si="36"/>
        <v>0</v>
      </c>
      <c r="BR131" s="67">
        <f t="shared" si="36"/>
        <v>0</v>
      </c>
      <c r="BS131" s="67">
        <f t="shared" si="36"/>
        <v>0</v>
      </c>
      <c r="BT131" s="67">
        <f t="shared" si="36"/>
        <v>0</v>
      </c>
      <c r="BU131" s="67">
        <f t="shared" si="36"/>
        <v>0</v>
      </c>
      <c r="BV131" s="67">
        <f t="shared" si="36"/>
        <v>0</v>
      </c>
      <c r="BW131" s="67">
        <f t="shared" si="36"/>
        <v>0</v>
      </c>
      <c r="BX131" s="67">
        <f t="shared" si="36"/>
        <v>0</v>
      </c>
      <c r="BY131" s="67">
        <f t="shared" si="36"/>
        <v>0</v>
      </c>
      <c r="BZ131" s="67">
        <f t="shared" si="36"/>
        <v>0</v>
      </c>
      <c r="CA131" s="67">
        <f t="shared" si="36"/>
        <v>0</v>
      </c>
      <c r="CB131" s="67">
        <f t="shared" si="36"/>
        <v>0</v>
      </c>
      <c r="CC131" s="67">
        <f t="shared" si="36"/>
        <v>0</v>
      </c>
      <c r="CD131" s="67">
        <f t="shared" si="36"/>
        <v>0</v>
      </c>
      <c r="CE131" s="67">
        <f t="shared" si="36"/>
        <v>0</v>
      </c>
      <c r="CF131" s="67">
        <f t="shared" si="36"/>
        <v>0</v>
      </c>
      <c r="CG131" s="67">
        <f t="shared" si="36"/>
        <v>0</v>
      </c>
      <c r="CH131" s="67">
        <f t="shared" si="36"/>
        <v>0</v>
      </c>
      <c r="CI131" s="67">
        <f t="shared" si="36"/>
        <v>0</v>
      </c>
      <c r="CJ131" s="67">
        <f t="shared" si="36"/>
        <v>0</v>
      </c>
      <c r="CK131" s="67">
        <f t="shared" si="36"/>
        <v>0</v>
      </c>
      <c r="CL131" s="67">
        <f t="shared" si="36"/>
        <v>0</v>
      </c>
      <c r="CM131" s="67">
        <f t="shared" si="36"/>
        <v>0</v>
      </c>
      <c r="CN131" s="67">
        <f t="shared" si="36"/>
        <v>0</v>
      </c>
      <c r="CO131" s="67">
        <f t="shared" si="36"/>
        <v>0</v>
      </c>
      <c r="CP131" s="67">
        <f t="shared" si="36"/>
        <v>0</v>
      </c>
      <c r="CQ131" s="67">
        <f t="shared" si="36"/>
        <v>0</v>
      </c>
      <c r="CR131" s="67">
        <f t="shared" si="36"/>
        <v>0</v>
      </c>
      <c r="CS131" s="67">
        <f t="shared" si="36"/>
        <v>0</v>
      </c>
      <c r="CT131" s="67">
        <f t="shared" si="36"/>
        <v>0</v>
      </c>
      <c r="CU131" s="67">
        <f t="shared" si="36"/>
        <v>0</v>
      </c>
      <c r="CV131" s="67">
        <f t="shared" si="36"/>
        <v>0</v>
      </c>
      <c r="CW131" s="67">
        <f t="shared" si="36"/>
        <v>0</v>
      </c>
      <c r="CX131" s="67">
        <f t="shared" si="36"/>
        <v>0</v>
      </c>
      <c r="CY131" s="67">
        <f t="shared" si="36"/>
        <v>0</v>
      </c>
      <c r="CZ131" s="67">
        <f t="shared" si="36"/>
        <v>0</v>
      </c>
      <c r="DA131" s="67">
        <f t="shared" si="36"/>
        <v>0</v>
      </c>
      <c r="DB131" s="67">
        <f t="shared" si="36"/>
        <v>0</v>
      </c>
      <c r="DC131" s="67">
        <f t="shared" si="36"/>
        <v>0</v>
      </c>
      <c r="DD131" s="67">
        <f t="shared" si="36"/>
        <v>0</v>
      </c>
      <c r="DE131" s="67">
        <f t="shared" si="36"/>
        <v>0</v>
      </c>
      <c r="DF131" s="67">
        <f t="shared" si="36"/>
        <v>0</v>
      </c>
      <c r="DG131" s="67">
        <f t="shared" si="36"/>
        <v>0</v>
      </c>
      <c r="DH131" s="67">
        <f t="shared" si="36"/>
        <v>0</v>
      </c>
      <c r="DI131" s="67">
        <f t="shared" si="36"/>
        <v>0</v>
      </c>
      <c r="DJ131" s="67">
        <f t="shared" si="36"/>
        <v>0</v>
      </c>
      <c r="DK131" s="67">
        <f t="shared" si="36"/>
        <v>0</v>
      </c>
      <c r="DL131" s="67">
        <f t="shared" si="36"/>
        <v>0</v>
      </c>
      <c r="DM131" s="67">
        <f t="shared" si="36"/>
        <v>0</v>
      </c>
      <c r="DN131" s="67">
        <f t="shared" si="36"/>
        <v>0</v>
      </c>
      <c r="DO131" s="67">
        <f t="shared" si="36"/>
        <v>0</v>
      </c>
      <c r="DP131" s="67">
        <f t="shared" si="36"/>
        <v>0</v>
      </c>
      <c r="DQ131" s="67">
        <f t="shared" si="36"/>
        <v>0</v>
      </c>
      <c r="DR131" s="67">
        <f t="shared" si="36"/>
        <v>0</v>
      </c>
      <c r="DS131" s="67">
        <f t="shared" si="36"/>
        <v>0</v>
      </c>
      <c r="DT131" s="67">
        <f t="shared" si="36"/>
        <v>0</v>
      </c>
      <c r="DU131" s="67">
        <f t="shared" si="36"/>
        <v>0</v>
      </c>
      <c r="DV131" s="67">
        <f t="shared" si="36"/>
        <v>0</v>
      </c>
      <c r="DW131" s="67">
        <f t="shared" si="36"/>
        <v>0</v>
      </c>
      <c r="DX131" s="67">
        <f t="shared" si="36"/>
        <v>0</v>
      </c>
      <c r="DY131" s="67">
        <f t="shared" si="36"/>
        <v>0</v>
      </c>
      <c r="DZ131" s="67">
        <f t="shared" si="28"/>
        <v>0</v>
      </c>
      <c r="EA131" s="67">
        <f t="shared" si="31"/>
        <v>0</v>
      </c>
      <c r="EB131" s="67">
        <f t="shared" si="31"/>
        <v>0</v>
      </c>
      <c r="EC131" s="67">
        <f t="shared" si="31"/>
        <v>0</v>
      </c>
      <c r="ED131" s="67">
        <f t="shared" si="31"/>
        <v>0</v>
      </c>
      <c r="EE131" s="67">
        <f t="shared" si="31"/>
        <v>0</v>
      </c>
      <c r="EF131" s="67">
        <f t="shared" si="31"/>
        <v>0</v>
      </c>
      <c r="EG131" s="67">
        <f t="shared" si="31"/>
        <v>0</v>
      </c>
      <c r="EH131" s="67">
        <f t="shared" si="31"/>
        <v>0</v>
      </c>
      <c r="EI131" s="67">
        <f t="shared" si="31"/>
        <v>0</v>
      </c>
      <c r="EJ131" s="67">
        <f t="shared" si="31"/>
        <v>0</v>
      </c>
      <c r="EK131" s="67">
        <f t="shared" si="31"/>
        <v>0</v>
      </c>
      <c r="EL131" s="67">
        <f t="shared" si="31"/>
        <v>0</v>
      </c>
      <c r="EM131" s="67">
        <f t="shared" si="31"/>
        <v>0</v>
      </c>
      <c r="EN131" s="67">
        <f t="shared" si="31"/>
        <v>0</v>
      </c>
      <c r="EO131" s="67">
        <f t="shared" si="31"/>
        <v>0</v>
      </c>
      <c r="EP131" s="67">
        <f t="shared" si="31"/>
        <v>0</v>
      </c>
      <c r="EQ131" s="67">
        <f t="shared" si="31"/>
        <v>0</v>
      </c>
      <c r="ER131" s="67">
        <f t="shared" si="31"/>
        <v>0</v>
      </c>
      <c r="ES131" s="67">
        <f t="shared" si="31"/>
        <v>0</v>
      </c>
      <c r="ET131" s="36">
        <f t="shared" si="16"/>
        <v>0</v>
      </c>
    </row>
    <row r="132" spans="1:150" x14ac:dyDescent="0.3">
      <c r="A132" s="37" t="s">
        <v>14</v>
      </c>
      <c r="B132" s="67">
        <f t="shared" si="35"/>
        <v>0</v>
      </c>
      <c r="C132" s="67">
        <f t="shared" si="35"/>
        <v>0</v>
      </c>
      <c r="D132" s="67">
        <f t="shared" si="35"/>
        <v>0</v>
      </c>
      <c r="E132" s="67">
        <f t="shared" si="35"/>
        <v>0</v>
      </c>
      <c r="F132" s="67">
        <f t="shared" si="35"/>
        <v>0</v>
      </c>
      <c r="G132" s="67">
        <f t="shared" si="35"/>
        <v>0</v>
      </c>
      <c r="H132" s="67">
        <f t="shared" si="35"/>
        <v>0</v>
      </c>
      <c r="I132" s="67">
        <f t="shared" si="35"/>
        <v>0</v>
      </c>
      <c r="J132" s="67">
        <f t="shared" si="35"/>
        <v>0</v>
      </c>
      <c r="K132" s="67">
        <f t="shared" si="35"/>
        <v>0</v>
      </c>
      <c r="L132" s="67">
        <f t="shared" si="35"/>
        <v>0</v>
      </c>
      <c r="M132" s="67">
        <f t="shared" si="35"/>
        <v>0</v>
      </c>
      <c r="N132" s="67">
        <f t="shared" si="35"/>
        <v>0</v>
      </c>
      <c r="O132" s="67">
        <f t="shared" si="35"/>
        <v>0</v>
      </c>
      <c r="P132" s="67">
        <f t="shared" si="35"/>
        <v>0</v>
      </c>
      <c r="Q132" s="67">
        <f t="shared" si="35"/>
        <v>0</v>
      </c>
      <c r="R132" s="67">
        <f t="shared" si="35"/>
        <v>0</v>
      </c>
      <c r="S132" s="67">
        <f t="shared" si="35"/>
        <v>0</v>
      </c>
      <c r="T132" s="67">
        <f t="shared" si="35"/>
        <v>0</v>
      </c>
      <c r="U132" s="67">
        <f t="shared" si="35"/>
        <v>0</v>
      </c>
      <c r="V132" s="67">
        <f t="shared" si="35"/>
        <v>0</v>
      </c>
      <c r="W132" s="67">
        <f t="shared" si="35"/>
        <v>0</v>
      </c>
      <c r="X132" s="67">
        <f t="shared" si="35"/>
        <v>0</v>
      </c>
      <c r="Y132" s="67">
        <f t="shared" si="35"/>
        <v>0</v>
      </c>
      <c r="Z132" s="67">
        <f t="shared" si="35"/>
        <v>0</v>
      </c>
      <c r="AA132" s="67">
        <f t="shared" si="35"/>
        <v>0</v>
      </c>
      <c r="AB132" s="67">
        <f t="shared" si="35"/>
        <v>0</v>
      </c>
      <c r="AC132" s="67">
        <f t="shared" si="35"/>
        <v>0</v>
      </c>
      <c r="AD132" s="67">
        <f t="shared" si="35"/>
        <v>0</v>
      </c>
      <c r="AE132" s="67">
        <f t="shared" si="35"/>
        <v>0</v>
      </c>
      <c r="AF132" s="67">
        <f t="shared" si="35"/>
        <v>0</v>
      </c>
      <c r="AG132" s="67">
        <f t="shared" si="35"/>
        <v>0</v>
      </c>
      <c r="AH132" s="67">
        <f t="shared" si="35"/>
        <v>0</v>
      </c>
      <c r="AI132" s="67">
        <f t="shared" si="35"/>
        <v>0</v>
      </c>
      <c r="AJ132" s="67">
        <f t="shared" si="35"/>
        <v>0</v>
      </c>
      <c r="AK132" s="67">
        <f t="shared" si="35"/>
        <v>0</v>
      </c>
      <c r="AL132" s="67">
        <f t="shared" si="35"/>
        <v>0</v>
      </c>
      <c r="AM132" s="67">
        <f t="shared" si="35"/>
        <v>0</v>
      </c>
      <c r="AN132" s="67">
        <f t="shared" si="35"/>
        <v>0</v>
      </c>
      <c r="AO132" s="67">
        <f t="shared" si="35"/>
        <v>0</v>
      </c>
      <c r="AP132" s="67">
        <f t="shared" si="35"/>
        <v>0</v>
      </c>
      <c r="AQ132" s="67">
        <f t="shared" si="35"/>
        <v>0</v>
      </c>
      <c r="AR132" s="67">
        <f t="shared" si="35"/>
        <v>0</v>
      </c>
      <c r="AS132" s="67">
        <f t="shared" si="35"/>
        <v>0</v>
      </c>
      <c r="AT132" s="67">
        <f t="shared" si="35"/>
        <v>0</v>
      </c>
      <c r="AU132" s="67">
        <f t="shared" si="35"/>
        <v>0</v>
      </c>
      <c r="AV132" s="67">
        <f t="shared" si="35"/>
        <v>0</v>
      </c>
      <c r="AW132" s="67">
        <f t="shared" si="35"/>
        <v>0</v>
      </c>
      <c r="AX132" s="67">
        <f t="shared" si="35"/>
        <v>0</v>
      </c>
      <c r="AY132" s="67">
        <f t="shared" si="35"/>
        <v>0</v>
      </c>
      <c r="AZ132" s="67">
        <f t="shared" si="35"/>
        <v>0</v>
      </c>
      <c r="BA132" s="67">
        <f t="shared" si="35"/>
        <v>0</v>
      </c>
      <c r="BB132" s="67">
        <f t="shared" si="35"/>
        <v>0</v>
      </c>
      <c r="BC132" s="67">
        <f t="shared" si="35"/>
        <v>0</v>
      </c>
      <c r="BD132" s="67">
        <f t="shared" si="35"/>
        <v>0</v>
      </c>
      <c r="BE132" s="67">
        <f t="shared" si="35"/>
        <v>0</v>
      </c>
      <c r="BF132" s="67">
        <f t="shared" si="35"/>
        <v>0</v>
      </c>
      <c r="BG132" s="67">
        <f t="shared" si="35"/>
        <v>0</v>
      </c>
      <c r="BH132" s="67">
        <f t="shared" si="35"/>
        <v>0</v>
      </c>
      <c r="BI132" s="67">
        <f t="shared" si="35"/>
        <v>0</v>
      </c>
      <c r="BJ132" s="67">
        <f t="shared" si="35"/>
        <v>0</v>
      </c>
      <c r="BK132" s="67">
        <f t="shared" si="35"/>
        <v>0</v>
      </c>
      <c r="BL132" s="67">
        <f t="shared" si="35"/>
        <v>0</v>
      </c>
      <c r="BM132" s="67">
        <f t="shared" si="35"/>
        <v>0</v>
      </c>
      <c r="BN132" s="67">
        <f t="shared" si="36"/>
        <v>0</v>
      </c>
      <c r="BO132" s="67">
        <f t="shared" si="36"/>
        <v>0</v>
      </c>
      <c r="BP132" s="67">
        <f t="shared" si="36"/>
        <v>0</v>
      </c>
      <c r="BQ132" s="67">
        <f t="shared" si="36"/>
        <v>0</v>
      </c>
      <c r="BR132" s="67">
        <f t="shared" si="36"/>
        <v>0</v>
      </c>
      <c r="BS132" s="67">
        <f t="shared" si="36"/>
        <v>0</v>
      </c>
      <c r="BT132" s="67">
        <f t="shared" si="36"/>
        <v>0</v>
      </c>
      <c r="BU132" s="67">
        <f t="shared" si="36"/>
        <v>0</v>
      </c>
      <c r="BV132" s="67">
        <f t="shared" si="36"/>
        <v>0</v>
      </c>
      <c r="BW132" s="67">
        <f t="shared" si="36"/>
        <v>0</v>
      </c>
      <c r="BX132" s="67">
        <f t="shared" si="36"/>
        <v>0</v>
      </c>
      <c r="BY132" s="67">
        <f t="shared" si="36"/>
        <v>0</v>
      </c>
      <c r="BZ132" s="67">
        <f t="shared" si="36"/>
        <v>0</v>
      </c>
      <c r="CA132" s="67">
        <f t="shared" si="36"/>
        <v>0</v>
      </c>
      <c r="CB132" s="67">
        <f t="shared" si="36"/>
        <v>0</v>
      </c>
      <c r="CC132" s="67">
        <f t="shared" si="36"/>
        <v>0</v>
      </c>
      <c r="CD132" s="67">
        <f t="shared" si="36"/>
        <v>0</v>
      </c>
      <c r="CE132" s="67">
        <f t="shared" si="36"/>
        <v>0</v>
      </c>
      <c r="CF132" s="67">
        <f t="shared" si="36"/>
        <v>0</v>
      </c>
      <c r="CG132" s="67">
        <f t="shared" si="36"/>
        <v>0</v>
      </c>
      <c r="CH132" s="67">
        <f t="shared" si="36"/>
        <v>0</v>
      </c>
      <c r="CI132" s="67">
        <f t="shared" si="36"/>
        <v>0</v>
      </c>
      <c r="CJ132" s="67">
        <f t="shared" si="36"/>
        <v>0</v>
      </c>
      <c r="CK132" s="67">
        <f t="shared" si="36"/>
        <v>0</v>
      </c>
      <c r="CL132" s="67">
        <f t="shared" si="36"/>
        <v>0</v>
      </c>
      <c r="CM132" s="67">
        <f t="shared" si="36"/>
        <v>0</v>
      </c>
      <c r="CN132" s="67">
        <f t="shared" si="36"/>
        <v>0</v>
      </c>
      <c r="CO132" s="67">
        <f t="shared" si="36"/>
        <v>0</v>
      </c>
      <c r="CP132" s="67">
        <f t="shared" si="36"/>
        <v>0</v>
      </c>
      <c r="CQ132" s="67">
        <f t="shared" si="36"/>
        <v>0</v>
      </c>
      <c r="CR132" s="67">
        <f t="shared" si="36"/>
        <v>0</v>
      </c>
      <c r="CS132" s="67">
        <f t="shared" si="36"/>
        <v>0</v>
      </c>
      <c r="CT132" s="67">
        <f t="shared" si="36"/>
        <v>0</v>
      </c>
      <c r="CU132" s="67">
        <f t="shared" si="36"/>
        <v>0</v>
      </c>
      <c r="CV132" s="67">
        <f t="shared" si="36"/>
        <v>0</v>
      </c>
      <c r="CW132" s="67">
        <f t="shared" si="36"/>
        <v>0</v>
      </c>
      <c r="CX132" s="67">
        <f t="shared" si="36"/>
        <v>0</v>
      </c>
      <c r="CY132" s="67">
        <f t="shared" si="36"/>
        <v>0</v>
      </c>
      <c r="CZ132" s="67">
        <f t="shared" si="36"/>
        <v>0</v>
      </c>
      <c r="DA132" s="67">
        <f t="shared" si="36"/>
        <v>0</v>
      </c>
      <c r="DB132" s="67">
        <f t="shared" si="36"/>
        <v>0</v>
      </c>
      <c r="DC132" s="67">
        <f t="shared" si="36"/>
        <v>0</v>
      </c>
      <c r="DD132" s="67">
        <f t="shared" si="36"/>
        <v>0</v>
      </c>
      <c r="DE132" s="67">
        <f t="shared" si="36"/>
        <v>0</v>
      </c>
      <c r="DF132" s="67">
        <f t="shared" si="36"/>
        <v>0</v>
      </c>
      <c r="DG132" s="67">
        <f t="shared" si="36"/>
        <v>0</v>
      </c>
      <c r="DH132" s="67">
        <f t="shared" si="36"/>
        <v>0</v>
      </c>
      <c r="DI132" s="67">
        <f t="shared" si="36"/>
        <v>0</v>
      </c>
      <c r="DJ132" s="67">
        <f t="shared" si="36"/>
        <v>0</v>
      </c>
      <c r="DK132" s="67">
        <f t="shared" si="36"/>
        <v>0</v>
      </c>
      <c r="DL132" s="67">
        <f t="shared" si="36"/>
        <v>0</v>
      </c>
      <c r="DM132" s="67">
        <f t="shared" si="36"/>
        <v>0</v>
      </c>
      <c r="DN132" s="67">
        <f t="shared" si="36"/>
        <v>0</v>
      </c>
      <c r="DO132" s="67">
        <f t="shared" si="36"/>
        <v>0</v>
      </c>
      <c r="DP132" s="67">
        <f t="shared" si="36"/>
        <v>0</v>
      </c>
      <c r="DQ132" s="67">
        <f t="shared" si="36"/>
        <v>0</v>
      </c>
      <c r="DR132" s="67">
        <f t="shared" si="36"/>
        <v>0</v>
      </c>
      <c r="DS132" s="67">
        <f t="shared" si="36"/>
        <v>0</v>
      </c>
      <c r="DT132" s="67">
        <f t="shared" si="36"/>
        <v>0</v>
      </c>
      <c r="DU132" s="67">
        <f t="shared" si="36"/>
        <v>0</v>
      </c>
      <c r="DV132" s="67">
        <f t="shared" si="36"/>
        <v>0</v>
      </c>
      <c r="DW132" s="67">
        <f t="shared" si="36"/>
        <v>0</v>
      </c>
      <c r="DX132" s="67">
        <f t="shared" si="36"/>
        <v>0</v>
      </c>
      <c r="DY132" s="67">
        <f t="shared" si="36"/>
        <v>0</v>
      </c>
      <c r="DZ132" s="67">
        <f t="shared" si="28"/>
        <v>0</v>
      </c>
      <c r="EA132" s="67">
        <f t="shared" si="31"/>
        <v>0</v>
      </c>
      <c r="EB132" s="67">
        <f t="shared" si="31"/>
        <v>0</v>
      </c>
      <c r="EC132" s="67">
        <f t="shared" si="31"/>
        <v>0</v>
      </c>
      <c r="ED132" s="67">
        <f t="shared" si="31"/>
        <v>0</v>
      </c>
      <c r="EE132" s="67">
        <f t="shared" si="31"/>
        <v>0</v>
      </c>
      <c r="EF132" s="67">
        <f t="shared" si="31"/>
        <v>0</v>
      </c>
      <c r="EG132" s="67">
        <f t="shared" si="31"/>
        <v>0</v>
      </c>
      <c r="EH132" s="67">
        <f t="shared" si="31"/>
        <v>0</v>
      </c>
      <c r="EI132" s="67">
        <f t="shared" si="31"/>
        <v>0</v>
      </c>
      <c r="EJ132" s="67">
        <f t="shared" si="31"/>
        <v>0</v>
      </c>
      <c r="EK132" s="67">
        <f t="shared" si="31"/>
        <v>0</v>
      </c>
      <c r="EL132" s="67">
        <f t="shared" si="31"/>
        <v>0</v>
      </c>
      <c r="EM132" s="67">
        <f t="shared" si="31"/>
        <v>0</v>
      </c>
      <c r="EN132" s="67">
        <f t="shared" si="31"/>
        <v>0</v>
      </c>
      <c r="EO132" s="67">
        <f t="shared" si="31"/>
        <v>0</v>
      </c>
      <c r="EP132" s="67">
        <f t="shared" si="31"/>
        <v>0</v>
      </c>
      <c r="EQ132" s="67">
        <f t="shared" si="31"/>
        <v>0</v>
      </c>
      <c r="ER132" s="67">
        <f t="shared" si="31"/>
        <v>0</v>
      </c>
      <c r="ES132" s="67">
        <f t="shared" si="31"/>
        <v>0</v>
      </c>
      <c r="ET132" s="36">
        <f t="shared" si="16"/>
        <v>0</v>
      </c>
    </row>
    <row r="133" spans="1:150" x14ac:dyDescent="0.3">
      <c r="A133" s="67" t="s">
        <v>160</v>
      </c>
      <c r="B133" s="36">
        <f>SUM(B110:B132)</f>
        <v>152512.2859420398</v>
      </c>
      <c r="C133" s="36">
        <f t="shared" ref="C133:BN133" si="37">SUM(C110:C132)</f>
        <v>194156.05160996073</v>
      </c>
      <c r="D133" s="36">
        <f t="shared" si="37"/>
        <v>41271.179862785393</v>
      </c>
      <c r="E133" s="36">
        <f t="shared" si="37"/>
        <v>141778.36678291851</v>
      </c>
      <c r="F133" s="36">
        <f t="shared" si="37"/>
        <v>235813.57063753781</v>
      </c>
      <c r="G133" s="36">
        <f t="shared" si="37"/>
        <v>46964.135762385507</v>
      </c>
      <c r="H133" s="36">
        <f t="shared" si="37"/>
        <v>53300.565434424359</v>
      </c>
      <c r="I133" s="36">
        <f t="shared" si="37"/>
        <v>129563.78860965834</v>
      </c>
      <c r="J133" s="36">
        <f t="shared" si="37"/>
        <v>58974.408934098763</v>
      </c>
      <c r="K133" s="36">
        <f t="shared" si="37"/>
        <v>91194.340249265966</v>
      </c>
      <c r="L133" s="36">
        <f t="shared" si="37"/>
        <v>420654.78573204344</v>
      </c>
      <c r="M133" s="36">
        <f t="shared" si="37"/>
        <v>366867.58365811431</v>
      </c>
      <c r="N133" s="36">
        <f t="shared" si="37"/>
        <v>311585.95190865517</v>
      </c>
      <c r="O133" s="36">
        <f t="shared" si="37"/>
        <v>227441.27833126413</v>
      </c>
      <c r="P133" s="36">
        <f t="shared" si="37"/>
        <v>32211.703053314828</v>
      </c>
      <c r="Q133" s="36">
        <f t="shared" si="37"/>
        <v>688808.54722806544</v>
      </c>
      <c r="R133" s="36">
        <f t="shared" si="37"/>
        <v>182674.810984109</v>
      </c>
      <c r="S133" s="36">
        <f t="shared" si="37"/>
        <v>635997.42522286728</v>
      </c>
      <c r="T133" s="36">
        <f t="shared" si="37"/>
        <v>81292.327204259214</v>
      </c>
      <c r="U133" s="36">
        <f t="shared" si="37"/>
        <v>301000.83811503788</v>
      </c>
      <c r="V133" s="36">
        <f t="shared" si="37"/>
        <v>303059.22791398712</v>
      </c>
      <c r="W133" s="36">
        <f t="shared" si="37"/>
        <v>58043.243372183038</v>
      </c>
      <c r="X133" s="36">
        <f t="shared" si="37"/>
        <v>116783.97530831826</v>
      </c>
      <c r="Y133" s="36">
        <f t="shared" si="37"/>
        <v>41105.012928429802</v>
      </c>
      <c r="Z133" s="36">
        <f t="shared" si="37"/>
        <v>57928.458888343688</v>
      </c>
      <c r="AA133" s="36">
        <f t="shared" si="37"/>
        <v>124368.50157172611</v>
      </c>
      <c r="AB133" s="36">
        <f t="shared" si="37"/>
        <v>252369.92773078915</v>
      </c>
      <c r="AC133" s="36">
        <f t="shared" si="37"/>
        <v>137222.88962662508</v>
      </c>
      <c r="AD133" s="36">
        <f t="shared" si="37"/>
        <v>216862.70119692941</v>
      </c>
      <c r="AE133" s="36">
        <f t="shared" si="37"/>
        <v>127181.42236922185</v>
      </c>
      <c r="AF133" s="36">
        <f t="shared" si="37"/>
        <v>540223.45976013166</v>
      </c>
      <c r="AG133" s="36">
        <f t="shared" si="37"/>
        <v>1798666.3554881136</v>
      </c>
      <c r="AH133" s="36">
        <f t="shared" si="37"/>
        <v>204056.91085407147</v>
      </c>
      <c r="AI133" s="36">
        <f t="shared" si="37"/>
        <v>198133.56902179582</v>
      </c>
      <c r="AJ133" s="36">
        <f t="shared" si="37"/>
        <v>572677.28175204701</v>
      </c>
      <c r="AK133" s="36">
        <f t="shared" si="37"/>
        <v>152959.65928782613</v>
      </c>
      <c r="AL133" s="36">
        <f t="shared" si="37"/>
        <v>219077.61528162137</v>
      </c>
      <c r="AM133" s="36">
        <f t="shared" si="37"/>
        <v>460906.38730954408</v>
      </c>
      <c r="AN133" s="36">
        <f t="shared" si="37"/>
        <v>171375.75771527615</v>
      </c>
      <c r="AO133" s="36">
        <f t="shared" si="37"/>
        <v>77612.33766089112</v>
      </c>
      <c r="AP133" s="36">
        <f t="shared" si="37"/>
        <v>206671.74641148298</v>
      </c>
      <c r="AQ133" s="36">
        <f t="shared" si="37"/>
        <v>230251.8496734318</v>
      </c>
      <c r="AR133" s="36">
        <f t="shared" si="37"/>
        <v>128565.44296115552</v>
      </c>
      <c r="AS133" s="36">
        <f t="shared" si="37"/>
        <v>335830.28170568979</v>
      </c>
      <c r="AT133" s="36">
        <f t="shared" si="37"/>
        <v>74342.786856973107</v>
      </c>
      <c r="AU133" s="36">
        <f t="shared" si="37"/>
        <v>165567.75027062758</v>
      </c>
      <c r="AV133" s="36">
        <f t="shared" si="37"/>
        <v>99445.878494272649</v>
      </c>
      <c r="AW133" s="36">
        <f t="shared" si="37"/>
        <v>22333.538829073306</v>
      </c>
      <c r="AX133" s="36">
        <f t="shared" si="37"/>
        <v>126253.79213087278</v>
      </c>
      <c r="AY133" s="36">
        <f t="shared" si="37"/>
        <v>232664.40277293918</v>
      </c>
      <c r="AZ133" s="36">
        <f t="shared" si="37"/>
        <v>355931.11595556996</v>
      </c>
      <c r="BA133" s="36">
        <f t="shared" si="37"/>
        <v>343008.06350663357</v>
      </c>
      <c r="BB133" s="36">
        <f t="shared" si="37"/>
        <v>56041.537015888156</v>
      </c>
      <c r="BC133" s="36">
        <f t="shared" si="37"/>
        <v>632848.05568205204</v>
      </c>
      <c r="BD133" s="36">
        <f t="shared" si="37"/>
        <v>143522.82613168066</v>
      </c>
      <c r="BE133" s="36">
        <f t="shared" si="37"/>
        <v>349105.40136956068</v>
      </c>
      <c r="BF133" s="36">
        <f t="shared" si="37"/>
        <v>228948.63009798544</v>
      </c>
      <c r="BG133" s="36">
        <f t="shared" si="37"/>
        <v>134872.14517953969</v>
      </c>
      <c r="BH133" s="36">
        <f t="shared" si="37"/>
        <v>109390.70206813763</v>
      </c>
      <c r="BI133" s="36">
        <f t="shared" si="37"/>
        <v>88428.367582294391</v>
      </c>
      <c r="BJ133" s="36">
        <f t="shared" si="37"/>
        <v>363582.89985797729</v>
      </c>
      <c r="BK133" s="36">
        <f t="shared" si="37"/>
        <v>126219.46672167169</v>
      </c>
      <c r="BL133" s="36">
        <f t="shared" si="37"/>
        <v>71150.698772237229</v>
      </c>
      <c r="BM133" s="36">
        <f t="shared" si="37"/>
        <v>53384.465745492897</v>
      </c>
      <c r="BN133" s="36">
        <f t="shared" si="37"/>
        <v>2294818.5788091128</v>
      </c>
      <c r="BO133" s="36">
        <f t="shared" ref="BO133:DZ133" si="38">SUM(BO110:BO132)</f>
        <v>164439.26592719633</v>
      </c>
      <c r="BP133" s="36">
        <f t="shared" si="38"/>
        <v>62746.061429238762</v>
      </c>
      <c r="BQ133" s="36">
        <f t="shared" si="38"/>
        <v>293922.90287915117</v>
      </c>
      <c r="BR133" s="36">
        <f t="shared" si="38"/>
        <v>69353.392734955982</v>
      </c>
      <c r="BS133" s="36">
        <f t="shared" si="38"/>
        <v>150927.4524235311</v>
      </c>
      <c r="BT133" s="36">
        <f t="shared" si="38"/>
        <v>115288.42537163268</v>
      </c>
      <c r="BU133" s="36">
        <f t="shared" si="38"/>
        <v>165962.7403477499</v>
      </c>
      <c r="BV133" s="36">
        <f t="shared" si="38"/>
        <v>244931.86234833175</v>
      </c>
      <c r="BW133" s="36">
        <f t="shared" si="38"/>
        <v>126142.69465920144</v>
      </c>
      <c r="BX133" s="36">
        <f t="shared" si="38"/>
        <v>218352.47228646273</v>
      </c>
      <c r="BY133" s="36">
        <f t="shared" si="38"/>
        <v>34623.123445687073</v>
      </c>
      <c r="BZ133" s="36">
        <f t="shared" si="38"/>
        <v>259958.44484000446</v>
      </c>
      <c r="CA133" s="36">
        <f t="shared" si="38"/>
        <v>126869.98412229885</v>
      </c>
      <c r="CB133" s="36">
        <f t="shared" si="38"/>
        <v>291801.07428584859</v>
      </c>
      <c r="CC133" s="36">
        <f t="shared" si="38"/>
        <v>186536.01072065832</v>
      </c>
      <c r="CD133" s="36">
        <f t="shared" si="38"/>
        <v>39246.202703857743</v>
      </c>
      <c r="CE133" s="36">
        <f t="shared" si="38"/>
        <v>138323.49019128093</v>
      </c>
      <c r="CF133" s="36">
        <f t="shared" si="38"/>
        <v>305364.67507939768</v>
      </c>
      <c r="CG133" s="36">
        <f t="shared" si="38"/>
        <v>28911.701357735561</v>
      </c>
      <c r="CH133" s="36">
        <f t="shared" si="38"/>
        <v>208582.94781341986</v>
      </c>
      <c r="CI133" s="36">
        <f t="shared" si="38"/>
        <v>145026.32263383528</v>
      </c>
      <c r="CJ133" s="36">
        <f t="shared" si="38"/>
        <v>178828.38753568134</v>
      </c>
      <c r="CK133" s="36">
        <f t="shared" si="38"/>
        <v>111015.62829987193</v>
      </c>
      <c r="CL133" s="36">
        <f t="shared" si="38"/>
        <v>475705.25790788239</v>
      </c>
      <c r="CM133" s="36">
        <f t="shared" si="38"/>
        <v>81910.879598372601</v>
      </c>
      <c r="CN133" s="36">
        <f t="shared" si="38"/>
        <v>87401.942711227326</v>
      </c>
      <c r="CO133" s="36">
        <f t="shared" si="38"/>
        <v>200207.75658181802</v>
      </c>
      <c r="CP133" s="36">
        <f t="shared" si="38"/>
        <v>304631.34889985149</v>
      </c>
      <c r="CQ133" s="36">
        <f t="shared" si="38"/>
        <v>-5212.1638154974362</v>
      </c>
      <c r="CR133" s="36">
        <f t="shared" si="38"/>
        <v>52689.432633569755</v>
      </c>
      <c r="CS133" s="36">
        <f t="shared" si="38"/>
        <v>662334.20665146108</v>
      </c>
      <c r="CT133" s="36">
        <f t="shared" si="38"/>
        <v>307424.32203375036</v>
      </c>
      <c r="CU133" s="36">
        <f t="shared" si="38"/>
        <v>67975.831587697277</v>
      </c>
      <c r="CV133" s="36">
        <f t="shared" si="38"/>
        <v>12573.171700399313</v>
      </c>
      <c r="CW133" s="36">
        <f t="shared" si="38"/>
        <v>378907.94299749978</v>
      </c>
      <c r="CX133" s="36">
        <f t="shared" si="38"/>
        <v>158400.96092161772</v>
      </c>
      <c r="CY133" s="36">
        <f t="shared" si="38"/>
        <v>84789.251118340326</v>
      </c>
      <c r="CZ133" s="36">
        <f t="shared" si="38"/>
        <v>384856.58049715776</v>
      </c>
      <c r="DA133" s="36">
        <f t="shared" si="38"/>
        <v>69969.370897911111</v>
      </c>
      <c r="DB133" s="36">
        <f t="shared" si="38"/>
        <v>59504.522405607058</v>
      </c>
      <c r="DC133" s="36">
        <f t="shared" si="38"/>
        <v>557845.48299714189</v>
      </c>
      <c r="DD133" s="36">
        <f t="shared" si="38"/>
        <v>144584.69385581557</v>
      </c>
      <c r="DE133" s="36">
        <f t="shared" si="38"/>
        <v>33944.427297107453</v>
      </c>
      <c r="DF133" s="36">
        <f t="shared" si="38"/>
        <v>130586.73987623684</v>
      </c>
      <c r="DG133" s="36">
        <f t="shared" si="38"/>
        <v>101820.11378313965</v>
      </c>
      <c r="DH133" s="36">
        <f t="shared" si="38"/>
        <v>5661.6712422648025</v>
      </c>
      <c r="DI133" s="36">
        <f t="shared" si="38"/>
        <v>47436.031852588305</v>
      </c>
      <c r="DJ133" s="36">
        <f t="shared" si="38"/>
        <v>420121.77642902103</v>
      </c>
      <c r="DK133" s="36">
        <f t="shared" si="38"/>
        <v>377142.41413095815</v>
      </c>
      <c r="DL133" s="36">
        <f t="shared" si="38"/>
        <v>369787.7477484009</v>
      </c>
      <c r="DM133" s="36">
        <f t="shared" si="38"/>
        <v>207399.37312180112</v>
      </c>
      <c r="DN133" s="36">
        <f t="shared" si="38"/>
        <v>100087.96259280721</v>
      </c>
      <c r="DO133" s="36">
        <f t="shared" si="38"/>
        <v>105520.3757084675</v>
      </c>
      <c r="DP133" s="36">
        <f t="shared" si="38"/>
        <v>194648.44603764484</v>
      </c>
      <c r="DQ133" s="36">
        <f t="shared" si="38"/>
        <v>136899.78021720695</v>
      </c>
      <c r="DR133" s="36">
        <f t="shared" si="38"/>
        <v>115838.39580134393</v>
      </c>
      <c r="DS133" s="36">
        <f t="shared" si="38"/>
        <v>115496.52974354874</v>
      </c>
      <c r="DT133" s="36">
        <f t="shared" si="38"/>
        <v>275336.25187228789</v>
      </c>
      <c r="DU133" s="36">
        <f t="shared" si="38"/>
        <v>41341.043804515073</v>
      </c>
      <c r="DV133" s="36">
        <f t="shared" si="38"/>
        <v>783912.0348126546</v>
      </c>
      <c r="DW133" s="36">
        <f t="shared" si="38"/>
        <v>269341.70080237626</v>
      </c>
      <c r="DX133" s="36">
        <f t="shared" si="38"/>
        <v>372793.09490202385</v>
      </c>
      <c r="DY133" s="36">
        <f t="shared" si="38"/>
        <v>117051.54392399064</v>
      </c>
      <c r="DZ133" s="36">
        <f t="shared" si="38"/>
        <v>60574.431921503703</v>
      </c>
      <c r="EA133" s="36">
        <f t="shared" ref="EA133:ET133" si="39">SUM(EA110:EA132)</f>
        <v>109247.02187772546</v>
      </c>
      <c r="EB133" s="36">
        <f t="shared" si="39"/>
        <v>438233.47551962698</v>
      </c>
      <c r="EC133" s="36">
        <f t="shared" si="39"/>
        <v>266051.62529252499</v>
      </c>
      <c r="ED133" s="36">
        <f t="shared" si="39"/>
        <v>451481.12501150841</v>
      </c>
      <c r="EE133" s="36">
        <f t="shared" si="39"/>
        <v>124349.64040192428</v>
      </c>
      <c r="EF133" s="36">
        <f t="shared" si="39"/>
        <v>14587.422568018712</v>
      </c>
      <c r="EG133" s="36">
        <f t="shared" si="39"/>
        <v>114740.85060066098</v>
      </c>
      <c r="EH133" s="36">
        <f t="shared" si="39"/>
        <v>6655.777706449031</v>
      </c>
      <c r="EI133" s="36">
        <f t="shared" si="39"/>
        <v>156561.8218221982</v>
      </c>
      <c r="EJ133" s="36">
        <f t="shared" si="39"/>
        <v>381401.32618301845</v>
      </c>
      <c r="EK133" s="36">
        <f t="shared" si="39"/>
        <v>81264.126393751067</v>
      </c>
      <c r="EL133" s="36">
        <f t="shared" si="39"/>
        <v>105666.13387003083</v>
      </c>
      <c r="EM133" s="36">
        <f t="shared" si="39"/>
        <v>136150.17786699004</v>
      </c>
      <c r="EN133" s="36">
        <f t="shared" si="39"/>
        <v>92486.722305542673</v>
      </c>
      <c r="EO133" s="36">
        <f t="shared" si="39"/>
        <v>105081.5127374146</v>
      </c>
      <c r="EP133" s="36">
        <f t="shared" si="39"/>
        <v>273747.16728328163</v>
      </c>
      <c r="EQ133" s="36">
        <f t="shared" si="39"/>
        <v>105295.39122063914</v>
      </c>
      <c r="ER133" s="36">
        <f t="shared" si="39"/>
        <v>216018.19072025554</v>
      </c>
      <c r="ES133" s="36">
        <f t="shared" si="39"/>
        <v>100016.56668315205</v>
      </c>
      <c r="ET133" s="74">
        <f t="shared" si="39"/>
        <v>32613293.084208287</v>
      </c>
    </row>
    <row r="135" spans="1:150" ht="15" thickBot="1" x14ac:dyDescent="0.35"/>
    <row r="136" spans="1:150" ht="15" thickBot="1" x14ac:dyDescent="0.35">
      <c r="A136" s="26" t="s">
        <v>181</v>
      </c>
      <c r="B136" s="75">
        <v>500</v>
      </c>
    </row>
    <row r="137" spans="1:150" x14ac:dyDescent="0.3">
      <c r="A137" s="37" t="s">
        <v>1</v>
      </c>
      <c r="B137" s="76" t="s">
        <v>30</v>
      </c>
      <c r="C137" s="37" t="s">
        <v>6</v>
      </c>
      <c r="D137" s="37" t="s">
        <v>31</v>
      </c>
      <c r="E137" s="37" t="s">
        <v>32</v>
      </c>
      <c r="F137" s="37" t="s">
        <v>33</v>
      </c>
      <c r="G137" s="37" t="s">
        <v>34</v>
      </c>
      <c r="H137" s="37" t="s">
        <v>15</v>
      </c>
      <c r="I137" s="37" t="s">
        <v>35</v>
      </c>
      <c r="J137" s="37" t="s">
        <v>36</v>
      </c>
      <c r="K137" s="37" t="s">
        <v>37</v>
      </c>
      <c r="L137" s="37" t="s">
        <v>38</v>
      </c>
      <c r="M137" s="37" t="s">
        <v>39</v>
      </c>
      <c r="N137" s="37" t="s">
        <v>20</v>
      </c>
      <c r="O137" s="37" t="s">
        <v>40</v>
      </c>
      <c r="P137" s="37" t="s">
        <v>41</v>
      </c>
      <c r="Q137" s="37" t="s">
        <v>42</v>
      </c>
      <c r="R137" s="37" t="s">
        <v>43</v>
      </c>
      <c r="S137" s="37" t="s">
        <v>44</v>
      </c>
      <c r="T137" s="37" t="s">
        <v>45</v>
      </c>
      <c r="U137" s="37" t="s">
        <v>46</v>
      </c>
      <c r="V137" s="37" t="s">
        <v>47</v>
      </c>
      <c r="W137" s="37" t="s">
        <v>48</v>
      </c>
      <c r="X137" s="37" t="s">
        <v>49</v>
      </c>
      <c r="Y137" s="37" t="s">
        <v>50</v>
      </c>
      <c r="Z137" s="37" t="s">
        <v>51</v>
      </c>
      <c r="AA137" s="37" t="s">
        <v>52</v>
      </c>
      <c r="AB137" s="37" t="s">
        <v>53</v>
      </c>
      <c r="AC137" s="37" t="s">
        <v>54</v>
      </c>
      <c r="AD137" s="37" t="s">
        <v>55</v>
      </c>
      <c r="AE137" s="37" t="s">
        <v>56</v>
      </c>
      <c r="AF137" s="37" t="s">
        <v>57</v>
      </c>
      <c r="AG137" s="37" t="s">
        <v>58</v>
      </c>
      <c r="AH137" s="37" t="s">
        <v>59</v>
      </c>
      <c r="AI137" s="37" t="s">
        <v>60</v>
      </c>
      <c r="AJ137" s="37" t="s">
        <v>21</v>
      </c>
      <c r="AK137" s="37" t="s">
        <v>61</v>
      </c>
      <c r="AL137" s="37" t="s">
        <v>5</v>
      </c>
      <c r="AM137" s="37" t="s">
        <v>62</v>
      </c>
      <c r="AN137" s="37" t="s">
        <v>63</v>
      </c>
      <c r="AO137" s="37" t="s">
        <v>16</v>
      </c>
      <c r="AP137" s="37" t="s">
        <v>64</v>
      </c>
      <c r="AQ137" s="37" t="s">
        <v>65</v>
      </c>
      <c r="AR137" s="37" t="s">
        <v>66</v>
      </c>
      <c r="AS137" s="37" t="s">
        <v>67</v>
      </c>
      <c r="AT137" s="37" t="s">
        <v>68</v>
      </c>
      <c r="AU137" s="37" t="s">
        <v>69</v>
      </c>
      <c r="AV137" s="37" t="s">
        <v>70</v>
      </c>
      <c r="AW137" s="37" t="s">
        <v>71</v>
      </c>
      <c r="AX137" s="37" t="s">
        <v>72</v>
      </c>
      <c r="AY137" s="37" t="s">
        <v>17</v>
      </c>
      <c r="AZ137" s="37" t="s">
        <v>73</v>
      </c>
      <c r="BA137" s="37" t="s">
        <v>74</v>
      </c>
      <c r="BB137" s="37" t="s">
        <v>75</v>
      </c>
      <c r="BC137" s="37" t="s">
        <v>76</v>
      </c>
      <c r="BD137" s="37" t="s">
        <v>77</v>
      </c>
      <c r="BE137" s="37" t="s">
        <v>29</v>
      </c>
      <c r="BF137" s="37" t="s">
        <v>78</v>
      </c>
      <c r="BG137" s="37" t="s">
        <v>79</v>
      </c>
      <c r="BH137" s="37" t="s">
        <v>80</v>
      </c>
      <c r="BI137" s="37" t="s">
        <v>81</v>
      </c>
      <c r="BJ137" s="37" t="s">
        <v>82</v>
      </c>
      <c r="BK137" s="37" t="s">
        <v>83</v>
      </c>
      <c r="BL137" s="37" t="s">
        <v>84</v>
      </c>
      <c r="BM137" s="37" t="s">
        <v>85</v>
      </c>
      <c r="BN137" s="37" t="s">
        <v>22</v>
      </c>
      <c r="BO137" s="37" t="s">
        <v>7</v>
      </c>
      <c r="BP137" s="37" t="s">
        <v>86</v>
      </c>
      <c r="BQ137" s="37" t="s">
        <v>18</v>
      </c>
      <c r="BR137" s="37" t="s">
        <v>87</v>
      </c>
      <c r="BS137" s="37" t="s">
        <v>88</v>
      </c>
      <c r="BT137" s="37" t="s">
        <v>89</v>
      </c>
      <c r="BU137" s="37" t="s">
        <v>90</v>
      </c>
      <c r="BV137" s="37" t="s">
        <v>91</v>
      </c>
      <c r="BW137" s="37" t="s">
        <v>92</v>
      </c>
      <c r="BX137" s="37" t="s">
        <v>93</v>
      </c>
      <c r="BY137" s="37" t="s">
        <v>94</v>
      </c>
      <c r="BZ137" s="37" t="s">
        <v>95</v>
      </c>
      <c r="CA137" s="37" t="s">
        <v>96</v>
      </c>
      <c r="CB137" s="37" t="s">
        <v>97</v>
      </c>
      <c r="CC137" s="37" t="s">
        <v>98</v>
      </c>
      <c r="CD137" s="37" t="s">
        <v>99</v>
      </c>
      <c r="CE137" s="37" t="s">
        <v>100</v>
      </c>
      <c r="CF137" s="37" t="s">
        <v>26</v>
      </c>
      <c r="CG137" s="37" t="s">
        <v>101</v>
      </c>
      <c r="CH137" s="37" t="s">
        <v>102</v>
      </c>
      <c r="CI137" s="37" t="s">
        <v>103</v>
      </c>
      <c r="CJ137" s="37" t="s">
        <v>104</v>
      </c>
      <c r="CK137" s="37" t="s">
        <v>105</v>
      </c>
      <c r="CL137" s="37" t="s">
        <v>106</v>
      </c>
      <c r="CM137" s="37" t="s">
        <v>19</v>
      </c>
      <c r="CN137" s="37" t="s">
        <v>107</v>
      </c>
      <c r="CO137" s="37" t="s">
        <v>108</v>
      </c>
      <c r="CP137" s="37" t="s">
        <v>109</v>
      </c>
      <c r="CQ137" s="37" t="s">
        <v>110</v>
      </c>
      <c r="CR137" s="37" t="s">
        <v>111</v>
      </c>
      <c r="CS137" s="37" t="s">
        <v>112</v>
      </c>
      <c r="CT137" s="37" t="s">
        <v>180</v>
      </c>
      <c r="CU137" s="37" t="s">
        <v>114</v>
      </c>
      <c r="CV137" s="37" t="s">
        <v>115</v>
      </c>
      <c r="CW137" s="37" t="s">
        <v>116</v>
      </c>
      <c r="CX137" s="37" t="s">
        <v>117</v>
      </c>
      <c r="CY137" s="37" t="s">
        <v>118</v>
      </c>
      <c r="CZ137" s="37" t="s">
        <v>119</v>
      </c>
      <c r="DA137" s="37" t="s">
        <v>120</v>
      </c>
      <c r="DB137" s="37" t="s">
        <v>121</v>
      </c>
      <c r="DC137" s="37" t="s">
        <v>122</v>
      </c>
      <c r="DD137" s="37" t="s">
        <v>123</v>
      </c>
      <c r="DE137" s="37" t="s">
        <v>124</v>
      </c>
      <c r="DF137" s="37" t="s">
        <v>125</v>
      </c>
      <c r="DG137" s="37" t="s">
        <v>126</v>
      </c>
      <c r="DH137" s="37" t="s">
        <v>127</v>
      </c>
      <c r="DI137" s="37" t="s">
        <v>128</v>
      </c>
      <c r="DJ137" s="37" t="s">
        <v>27</v>
      </c>
      <c r="DK137" s="37" t="s">
        <v>25</v>
      </c>
      <c r="DL137" s="37" t="s">
        <v>129</v>
      </c>
      <c r="DM137" s="37" t="s">
        <v>130</v>
      </c>
      <c r="DN137" s="37" t="s">
        <v>8</v>
      </c>
      <c r="DO137" s="37" t="s">
        <v>131</v>
      </c>
      <c r="DP137" s="37" t="s">
        <v>28</v>
      </c>
      <c r="DQ137" s="37" t="s">
        <v>132</v>
      </c>
      <c r="DR137" s="37" t="s">
        <v>133</v>
      </c>
      <c r="DS137" s="37" t="s">
        <v>134</v>
      </c>
      <c r="DT137" s="37" t="s">
        <v>135</v>
      </c>
      <c r="DU137" s="37" t="s">
        <v>136</v>
      </c>
      <c r="DV137" s="37" t="s">
        <v>137</v>
      </c>
      <c r="DW137" s="37" t="s">
        <v>138</v>
      </c>
      <c r="DX137" s="37" t="s">
        <v>139</v>
      </c>
      <c r="DY137" s="37" t="s">
        <v>140</v>
      </c>
      <c r="DZ137" s="37" t="s">
        <v>141</v>
      </c>
      <c r="EA137" s="37" t="s">
        <v>142</v>
      </c>
      <c r="EB137" s="37" t="s">
        <v>143</v>
      </c>
      <c r="EC137" s="37" t="s">
        <v>144</v>
      </c>
      <c r="ED137" s="37" t="s">
        <v>145</v>
      </c>
      <c r="EE137" s="37" t="s">
        <v>146</v>
      </c>
      <c r="EF137" s="37" t="s">
        <v>147</v>
      </c>
      <c r="EG137" s="37" t="s">
        <v>148</v>
      </c>
      <c r="EH137" s="37" t="s">
        <v>149</v>
      </c>
      <c r="EI137" s="37" t="s">
        <v>150</v>
      </c>
      <c r="EJ137" s="37" t="s">
        <v>151</v>
      </c>
      <c r="EK137" s="37" t="s">
        <v>152</v>
      </c>
      <c r="EL137" s="37" t="s">
        <v>153</v>
      </c>
      <c r="EM137" s="37" t="s">
        <v>154</v>
      </c>
      <c r="EN137" s="37" t="s">
        <v>155</v>
      </c>
      <c r="EO137" s="37" t="s">
        <v>156</v>
      </c>
      <c r="EP137" s="37" t="s">
        <v>157</v>
      </c>
      <c r="EQ137" s="37" t="s">
        <v>158</v>
      </c>
      <c r="ER137" s="37" t="s">
        <v>23</v>
      </c>
      <c r="ES137" s="37" t="s">
        <v>159</v>
      </c>
    </row>
    <row r="138" spans="1:150" x14ac:dyDescent="0.3">
      <c r="A138" s="37" t="s">
        <v>6</v>
      </c>
      <c r="B138" s="77">
        <f>IF(B19&lt;=$B$136,1,0)</f>
        <v>0</v>
      </c>
      <c r="C138" s="77">
        <f t="shared" ref="C138:BN139" si="40">IF(C19&lt;=$B$136,1,0)</f>
        <v>1</v>
      </c>
      <c r="D138" s="77">
        <f t="shared" si="40"/>
        <v>0</v>
      </c>
      <c r="E138" s="77">
        <f t="shared" si="40"/>
        <v>0</v>
      </c>
      <c r="F138" s="77">
        <f t="shared" si="40"/>
        <v>0</v>
      </c>
      <c r="G138" s="77">
        <f t="shared" si="40"/>
        <v>0</v>
      </c>
      <c r="H138" s="77">
        <f t="shared" si="40"/>
        <v>0</v>
      </c>
      <c r="I138" s="77">
        <f t="shared" si="40"/>
        <v>0</v>
      </c>
      <c r="J138" s="77">
        <f t="shared" si="40"/>
        <v>1</v>
      </c>
      <c r="K138" s="77">
        <f t="shared" si="40"/>
        <v>0</v>
      </c>
      <c r="L138" s="77">
        <f t="shared" si="40"/>
        <v>0</v>
      </c>
      <c r="M138" s="77">
        <f t="shared" si="40"/>
        <v>0</v>
      </c>
      <c r="N138" s="77">
        <f t="shared" si="40"/>
        <v>0</v>
      </c>
      <c r="O138" s="77">
        <f t="shared" si="40"/>
        <v>0</v>
      </c>
      <c r="P138" s="77">
        <f t="shared" si="40"/>
        <v>0</v>
      </c>
      <c r="Q138" s="77">
        <f t="shared" si="40"/>
        <v>0</v>
      </c>
      <c r="R138" s="77">
        <f t="shared" si="40"/>
        <v>0</v>
      </c>
      <c r="S138" s="77">
        <f t="shared" si="40"/>
        <v>0</v>
      </c>
      <c r="T138" s="77">
        <f t="shared" si="40"/>
        <v>0</v>
      </c>
      <c r="U138" s="77">
        <f t="shared" si="40"/>
        <v>0</v>
      </c>
      <c r="V138" s="77">
        <f t="shared" si="40"/>
        <v>0</v>
      </c>
      <c r="W138" s="77">
        <f t="shared" si="40"/>
        <v>0</v>
      </c>
      <c r="X138" s="77">
        <f t="shared" si="40"/>
        <v>1</v>
      </c>
      <c r="Y138" s="77">
        <f t="shared" si="40"/>
        <v>0</v>
      </c>
      <c r="Z138" s="77">
        <f t="shared" si="40"/>
        <v>0</v>
      </c>
      <c r="AA138" s="77">
        <f t="shared" si="40"/>
        <v>0</v>
      </c>
      <c r="AB138" s="77">
        <f t="shared" si="40"/>
        <v>0</v>
      </c>
      <c r="AC138" s="77">
        <f t="shared" si="40"/>
        <v>0</v>
      </c>
      <c r="AD138" s="77">
        <f t="shared" si="40"/>
        <v>0</v>
      </c>
      <c r="AE138" s="77">
        <f t="shared" si="40"/>
        <v>0</v>
      </c>
      <c r="AF138" s="77">
        <f t="shared" si="40"/>
        <v>0</v>
      </c>
      <c r="AG138" s="77">
        <f t="shared" si="40"/>
        <v>0</v>
      </c>
      <c r="AH138" s="77">
        <f t="shared" si="40"/>
        <v>0</v>
      </c>
      <c r="AI138" s="77">
        <f t="shared" si="40"/>
        <v>0</v>
      </c>
      <c r="AJ138" s="77">
        <f t="shared" si="40"/>
        <v>0</v>
      </c>
      <c r="AK138" s="77">
        <f t="shared" si="40"/>
        <v>0</v>
      </c>
      <c r="AL138" s="77">
        <f t="shared" si="40"/>
        <v>0</v>
      </c>
      <c r="AM138" s="77">
        <f t="shared" si="40"/>
        <v>0</v>
      </c>
      <c r="AN138" s="77">
        <f t="shared" si="40"/>
        <v>0</v>
      </c>
      <c r="AO138" s="77">
        <f t="shared" si="40"/>
        <v>0</v>
      </c>
      <c r="AP138" s="77">
        <f t="shared" si="40"/>
        <v>0</v>
      </c>
      <c r="AQ138" s="77">
        <f t="shared" si="40"/>
        <v>0</v>
      </c>
      <c r="AR138" s="77">
        <f t="shared" si="40"/>
        <v>0</v>
      </c>
      <c r="AS138" s="77">
        <f t="shared" si="40"/>
        <v>0</v>
      </c>
      <c r="AT138" s="77">
        <f t="shared" si="40"/>
        <v>0</v>
      </c>
      <c r="AU138" s="77">
        <f t="shared" si="40"/>
        <v>0</v>
      </c>
      <c r="AV138" s="77">
        <f t="shared" si="40"/>
        <v>0</v>
      </c>
      <c r="AW138" s="77">
        <f t="shared" si="40"/>
        <v>0</v>
      </c>
      <c r="AX138" s="77">
        <f t="shared" si="40"/>
        <v>0</v>
      </c>
      <c r="AY138" s="77">
        <f t="shared" si="40"/>
        <v>0</v>
      </c>
      <c r="AZ138" s="77">
        <f t="shared" si="40"/>
        <v>0</v>
      </c>
      <c r="BA138" s="77">
        <f t="shared" si="40"/>
        <v>0</v>
      </c>
      <c r="BB138" s="77">
        <f t="shared" si="40"/>
        <v>0</v>
      </c>
      <c r="BC138" s="77">
        <f t="shared" si="40"/>
        <v>0</v>
      </c>
      <c r="BD138" s="77">
        <f t="shared" si="40"/>
        <v>0</v>
      </c>
      <c r="BE138" s="77">
        <f t="shared" si="40"/>
        <v>0</v>
      </c>
      <c r="BF138" s="77">
        <f t="shared" si="40"/>
        <v>0</v>
      </c>
      <c r="BG138" s="77">
        <f t="shared" si="40"/>
        <v>0</v>
      </c>
      <c r="BH138" s="77">
        <f t="shared" si="40"/>
        <v>0</v>
      </c>
      <c r="BI138" s="77">
        <f t="shared" si="40"/>
        <v>0</v>
      </c>
      <c r="BJ138" s="77">
        <f t="shared" si="40"/>
        <v>1</v>
      </c>
      <c r="BK138" s="77">
        <f t="shared" si="40"/>
        <v>0</v>
      </c>
      <c r="BL138" s="77">
        <f t="shared" si="40"/>
        <v>0</v>
      </c>
      <c r="BM138" s="77">
        <f t="shared" si="40"/>
        <v>0</v>
      </c>
      <c r="BN138" s="77">
        <f t="shared" si="40"/>
        <v>0</v>
      </c>
      <c r="BO138" s="77">
        <f t="shared" ref="BO138:DZ141" si="41">IF(BO19&lt;=$B$136,1,0)</f>
        <v>1</v>
      </c>
      <c r="BP138" s="77">
        <f t="shared" si="41"/>
        <v>0</v>
      </c>
      <c r="BQ138" s="77">
        <f t="shared" si="41"/>
        <v>0</v>
      </c>
      <c r="BR138" s="77">
        <f t="shared" si="41"/>
        <v>0</v>
      </c>
      <c r="BS138" s="77">
        <f t="shared" si="41"/>
        <v>1</v>
      </c>
      <c r="BT138" s="77">
        <f t="shared" si="41"/>
        <v>0</v>
      </c>
      <c r="BU138" s="77">
        <f t="shared" si="41"/>
        <v>0</v>
      </c>
      <c r="BV138" s="77">
        <f t="shared" si="41"/>
        <v>1</v>
      </c>
      <c r="BW138" s="77">
        <f t="shared" si="41"/>
        <v>0</v>
      </c>
      <c r="BX138" s="77">
        <f t="shared" si="41"/>
        <v>1</v>
      </c>
      <c r="BY138" s="77">
        <f t="shared" si="41"/>
        <v>0</v>
      </c>
      <c r="BZ138" s="77">
        <f t="shared" si="41"/>
        <v>0</v>
      </c>
      <c r="CA138" s="77">
        <f t="shared" si="41"/>
        <v>0</v>
      </c>
      <c r="CB138" s="77">
        <f t="shared" si="41"/>
        <v>0</v>
      </c>
      <c r="CC138" s="77">
        <f t="shared" si="41"/>
        <v>0</v>
      </c>
      <c r="CD138" s="77">
        <f t="shared" si="41"/>
        <v>0</v>
      </c>
      <c r="CE138" s="77">
        <f t="shared" si="41"/>
        <v>0</v>
      </c>
      <c r="CF138" s="77">
        <f t="shared" si="41"/>
        <v>0</v>
      </c>
      <c r="CG138" s="77">
        <f t="shared" si="41"/>
        <v>0</v>
      </c>
      <c r="CH138" s="77">
        <f t="shared" si="41"/>
        <v>0</v>
      </c>
      <c r="CI138" s="77">
        <f t="shared" si="41"/>
        <v>0</v>
      </c>
      <c r="CJ138" s="77">
        <f t="shared" si="41"/>
        <v>0</v>
      </c>
      <c r="CK138" s="77">
        <f t="shared" si="41"/>
        <v>0</v>
      </c>
      <c r="CL138" s="77">
        <f t="shared" si="41"/>
        <v>0</v>
      </c>
      <c r="CM138" s="77">
        <f t="shared" si="41"/>
        <v>0</v>
      </c>
      <c r="CN138" s="77">
        <f t="shared" si="41"/>
        <v>0</v>
      </c>
      <c r="CO138" s="77">
        <f t="shared" si="41"/>
        <v>0</v>
      </c>
      <c r="CP138" s="77">
        <f t="shared" si="41"/>
        <v>0</v>
      </c>
      <c r="CQ138" s="77">
        <f t="shared" si="41"/>
        <v>1</v>
      </c>
      <c r="CR138" s="77">
        <f t="shared" si="41"/>
        <v>0</v>
      </c>
      <c r="CS138" s="77">
        <f t="shared" si="41"/>
        <v>1</v>
      </c>
      <c r="CT138" s="77">
        <f t="shared" si="41"/>
        <v>0</v>
      </c>
      <c r="CU138" s="77">
        <f t="shared" si="41"/>
        <v>0</v>
      </c>
      <c r="CV138" s="77">
        <f t="shared" si="41"/>
        <v>0</v>
      </c>
      <c r="CW138" s="77">
        <f t="shared" si="41"/>
        <v>0</v>
      </c>
      <c r="CX138" s="77">
        <f t="shared" si="41"/>
        <v>0</v>
      </c>
      <c r="CY138" s="77">
        <f t="shared" si="41"/>
        <v>0</v>
      </c>
      <c r="CZ138" s="77">
        <f t="shared" si="41"/>
        <v>0</v>
      </c>
      <c r="DA138" s="77">
        <f t="shared" si="41"/>
        <v>0</v>
      </c>
      <c r="DB138" s="77">
        <f t="shared" si="41"/>
        <v>0</v>
      </c>
      <c r="DC138" s="77">
        <f t="shared" si="41"/>
        <v>0</v>
      </c>
      <c r="DD138" s="77">
        <f t="shared" si="41"/>
        <v>0</v>
      </c>
      <c r="DE138" s="77">
        <f t="shared" si="41"/>
        <v>1</v>
      </c>
      <c r="DF138" s="77">
        <f t="shared" si="41"/>
        <v>1</v>
      </c>
      <c r="DG138" s="77">
        <f t="shared" si="41"/>
        <v>1</v>
      </c>
      <c r="DH138" s="77">
        <f t="shared" si="41"/>
        <v>1</v>
      </c>
      <c r="DI138" s="77">
        <f t="shared" si="41"/>
        <v>0</v>
      </c>
      <c r="DJ138" s="77">
        <f t="shared" si="41"/>
        <v>0</v>
      </c>
      <c r="DK138" s="77">
        <f t="shared" si="41"/>
        <v>0</v>
      </c>
      <c r="DL138" s="77">
        <f t="shared" si="41"/>
        <v>0</v>
      </c>
      <c r="DM138" s="77">
        <f t="shared" si="41"/>
        <v>0</v>
      </c>
      <c r="DN138" s="77">
        <f t="shared" si="41"/>
        <v>0</v>
      </c>
      <c r="DO138" s="77">
        <f t="shared" si="41"/>
        <v>1</v>
      </c>
      <c r="DP138" s="77">
        <f t="shared" si="41"/>
        <v>0</v>
      </c>
      <c r="DQ138" s="77">
        <f t="shared" si="41"/>
        <v>0</v>
      </c>
      <c r="DR138" s="77">
        <f t="shared" si="41"/>
        <v>0</v>
      </c>
      <c r="DS138" s="77">
        <f t="shared" si="41"/>
        <v>0</v>
      </c>
      <c r="DT138" s="77">
        <f t="shared" si="41"/>
        <v>0</v>
      </c>
      <c r="DU138" s="77">
        <f t="shared" si="41"/>
        <v>0</v>
      </c>
      <c r="DV138" s="77">
        <f t="shared" si="41"/>
        <v>0</v>
      </c>
      <c r="DW138" s="77">
        <f t="shared" si="41"/>
        <v>0</v>
      </c>
      <c r="DX138" s="77">
        <f t="shared" si="41"/>
        <v>0</v>
      </c>
      <c r="DY138" s="77">
        <f t="shared" si="41"/>
        <v>0</v>
      </c>
      <c r="DZ138" s="77">
        <f t="shared" si="41"/>
        <v>0</v>
      </c>
      <c r="EA138" s="77">
        <f t="shared" ref="EA138:ES140" si="42">IF(EA19&lt;=$B$136,1,0)</f>
        <v>0</v>
      </c>
      <c r="EB138" s="77">
        <f t="shared" si="42"/>
        <v>0</v>
      </c>
      <c r="EC138" s="77">
        <f t="shared" si="42"/>
        <v>0</v>
      </c>
      <c r="ED138" s="77">
        <f t="shared" si="42"/>
        <v>0</v>
      </c>
      <c r="EE138" s="77">
        <f t="shared" si="42"/>
        <v>0</v>
      </c>
      <c r="EF138" s="77">
        <f t="shared" si="42"/>
        <v>0</v>
      </c>
      <c r="EG138" s="77">
        <f t="shared" si="42"/>
        <v>0</v>
      </c>
      <c r="EH138" s="77">
        <f t="shared" si="42"/>
        <v>0</v>
      </c>
      <c r="EI138" s="77">
        <f t="shared" si="42"/>
        <v>0</v>
      </c>
      <c r="EJ138" s="77">
        <f t="shared" si="42"/>
        <v>0</v>
      </c>
      <c r="EK138" s="77">
        <f t="shared" si="42"/>
        <v>0</v>
      </c>
      <c r="EL138" s="77">
        <f t="shared" si="42"/>
        <v>0</v>
      </c>
      <c r="EM138" s="77">
        <f t="shared" si="42"/>
        <v>0</v>
      </c>
      <c r="EN138" s="77">
        <f t="shared" si="42"/>
        <v>1</v>
      </c>
      <c r="EO138" s="77">
        <f t="shared" si="42"/>
        <v>1</v>
      </c>
      <c r="EP138" s="77">
        <f t="shared" si="42"/>
        <v>0</v>
      </c>
      <c r="EQ138" s="77">
        <f t="shared" si="42"/>
        <v>0</v>
      </c>
      <c r="ER138" s="77">
        <f t="shared" si="42"/>
        <v>0</v>
      </c>
      <c r="ES138" s="77">
        <f t="shared" si="42"/>
        <v>0</v>
      </c>
    </row>
    <row r="139" spans="1:150" x14ac:dyDescent="0.3">
      <c r="A139" s="37" t="s">
        <v>15</v>
      </c>
      <c r="B139" s="77">
        <f t="shared" ref="B139:Q160" si="43">IF(B20&lt;=$B$136,1,0)</f>
        <v>1</v>
      </c>
      <c r="C139" s="77">
        <f t="shared" si="43"/>
        <v>0</v>
      </c>
      <c r="D139" s="77">
        <f t="shared" si="43"/>
        <v>0</v>
      </c>
      <c r="E139" s="77">
        <f t="shared" si="43"/>
        <v>0</v>
      </c>
      <c r="F139" s="77">
        <f t="shared" si="43"/>
        <v>1</v>
      </c>
      <c r="G139" s="77">
        <f t="shared" si="43"/>
        <v>0</v>
      </c>
      <c r="H139" s="77">
        <f t="shared" si="43"/>
        <v>1</v>
      </c>
      <c r="I139" s="77">
        <f t="shared" si="43"/>
        <v>1</v>
      </c>
      <c r="J139" s="77">
        <f t="shared" si="43"/>
        <v>0</v>
      </c>
      <c r="K139" s="77">
        <f t="shared" si="43"/>
        <v>0</v>
      </c>
      <c r="L139" s="77">
        <f t="shared" si="43"/>
        <v>0</v>
      </c>
      <c r="M139" s="77">
        <f t="shared" si="43"/>
        <v>0</v>
      </c>
      <c r="N139" s="77">
        <f t="shared" si="43"/>
        <v>0</v>
      </c>
      <c r="O139" s="77">
        <f t="shared" si="43"/>
        <v>0</v>
      </c>
      <c r="P139" s="77">
        <f t="shared" si="43"/>
        <v>1</v>
      </c>
      <c r="Q139" s="77">
        <f t="shared" si="43"/>
        <v>0</v>
      </c>
      <c r="R139" s="77">
        <f t="shared" si="40"/>
        <v>0</v>
      </c>
      <c r="S139" s="77">
        <f t="shared" si="40"/>
        <v>0</v>
      </c>
      <c r="T139" s="77">
        <f t="shared" si="40"/>
        <v>1</v>
      </c>
      <c r="U139" s="77">
        <f t="shared" si="40"/>
        <v>0</v>
      </c>
      <c r="V139" s="77">
        <f t="shared" si="40"/>
        <v>0</v>
      </c>
      <c r="W139" s="77">
        <f t="shared" si="40"/>
        <v>1</v>
      </c>
      <c r="X139" s="77">
        <f t="shared" si="40"/>
        <v>0</v>
      </c>
      <c r="Y139" s="77">
        <f t="shared" si="40"/>
        <v>1</v>
      </c>
      <c r="Z139" s="77">
        <f t="shared" si="40"/>
        <v>0</v>
      </c>
      <c r="AA139" s="77">
        <f t="shared" si="40"/>
        <v>0</v>
      </c>
      <c r="AB139" s="77">
        <f t="shared" si="40"/>
        <v>0</v>
      </c>
      <c r="AC139" s="77">
        <f t="shared" si="40"/>
        <v>0</v>
      </c>
      <c r="AD139" s="77">
        <f t="shared" si="40"/>
        <v>0</v>
      </c>
      <c r="AE139" s="77">
        <f t="shared" si="40"/>
        <v>1</v>
      </c>
      <c r="AF139" s="77">
        <f t="shared" si="40"/>
        <v>0</v>
      </c>
      <c r="AG139" s="77">
        <f t="shared" si="40"/>
        <v>0</v>
      </c>
      <c r="AH139" s="77">
        <f t="shared" si="40"/>
        <v>0</v>
      </c>
      <c r="AI139" s="77">
        <f t="shared" si="40"/>
        <v>0</v>
      </c>
      <c r="AJ139" s="77">
        <f t="shared" si="40"/>
        <v>0</v>
      </c>
      <c r="AK139" s="77">
        <f t="shared" si="40"/>
        <v>0</v>
      </c>
      <c r="AL139" s="77">
        <f t="shared" si="40"/>
        <v>0</v>
      </c>
      <c r="AM139" s="77">
        <f t="shared" si="40"/>
        <v>0</v>
      </c>
      <c r="AN139" s="77">
        <f t="shared" si="40"/>
        <v>0</v>
      </c>
      <c r="AO139" s="77">
        <f t="shared" si="40"/>
        <v>1</v>
      </c>
      <c r="AP139" s="77">
        <f t="shared" si="40"/>
        <v>0</v>
      </c>
      <c r="AQ139" s="77">
        <f t="shared" si="40"/>
        <v>0</v>
      </c>
      <c r="AR139" s="77">
        <f t="shared" si="40"/>
        <v>0</v>
      </c>
      <c r="AS139" s="77">
        <f t="shared" si="40"/>
        <v>0</v>
      </c>
      <c r="AT139" s="77">
        <f t="shared" si="40"/>
        <v>0</v>
      </c>
      <c r="AU139" s="77">
        <f t="shared" si="40"/>
        <v>0</v>
      </c>
      <c r="AV139" s="77">
        <f t="shared" si="40"/>
        <v>0</v>
      </c>
      <c r="AW139" s="77">
        <f t="shared" si="40"/>
        <v>1</v>
      </c>
      <c r="AX139" s="77">
        <f t="shared" si="40"/>
        <v>0</v>
      </c>
      <c r="AY139" s="77">
        <f t="shared" si="40"/>
        <v>1</v>
      </c>
      <c r="AZ139" s="77">
        <f t="shared" si="40"/>
        <v>0</v>
      </c>
      <c r="BA139" s="77">
        <f t="shared" si="40"/>
        <v>1</v>
      </c>
      <c r="BB139" s="77">
        <f t="shared" si="40"/>
        <v>0</v>
      </c>
      <c r="BC139" s="77">
        <f t="shared" si="40"/>
        <v>0</v>
      </c>
      <c r="BD139" s="77">
        <f t="shared" si="40"/>
        <v>1</v>
      </c>
      <c r="BE139" s="77">
        <f t="shared" si="40"/>
        <v>0</v>
      </c>
      <c r="BF139" s="77">
        <f t="shared" si="40"/>
        <v>0</v>
      </c>
      <c r="BG139" s="77">
        <f t="shared" si="40"/>
        <v>0</v>
      </c>
      <c r="BH139" s="77">
        <f t="shared" si="40"/>
        <v>1</v>
      </c>
      <c r="BI139" s="77">
        <f t="shared" si="40"/>
        <v>1</v>
      </c>
      <c r="BJ139" s="77">
        <f t="shared" si="40"/>
        <v>0</v>
      </c>
      <c r="BK139" s="77">
        <f t="shared" si="40"/>
        <v>1</v>
      </c>
      <c r="BL139" s="77">
        <f t="shared" si="40"/>
        <v>0</v>
      </c>
      <c r="BM139" s="77">
        <f t="shared" si="40"/>
        <v>0</v>
      </c>
      <c r="BN139" s="77">
        <f t="shared" si="40"/>
        <v>0</v>
      </c>
      <c r="BO139" s="77">
        <f t="shared" si="41"/>
        <v>0</v>
      </c>
      <c r="BP139" s="77">
        <f t="shared" si="41"/>
        <v>0</v>
      </c>
      <c r="BQ139" s="77">
        <f t="shared" si="41"/>
        <v>1</v>
      </c>
      <c r="BR139" s="77">
        <f t="shared" si="41"/>
        <v>1</v>
      </c>
      <c r="BS139" s="77">
        <f t="shared" si="41"/>
        <v>0</v>
      </c>
      <c r="BT139" s="77">
        <f t="shared" si="41"/>
        <v>1</v>
      </c>
      <c r="BU139" s="77">
        <f t="shared" si="41"/>
        <v>1</v>
      </c>
      <c r="BV139" s="77">
        <f t="shared" si="41"/>
        <v>0</v>
      </c>
      <c r="BW139" s="77">
        <f t="shared" si="41"/>
        <v>0</v>
      </c>
      <c r="BX139" s="77">
        <f t="shared" si="41"/>
        <v>0</v>
      </c>
      <c r="BY139" s="77">
        <f t="shared" si="41"/>
        <v>1</v>
      </c>
      <c r="BZ139" s="77">
        <f t="shared" si="41"/>
        <v>0</v>
      </c>
      <c r="CA139" s="77">
        <f t="shared" si="41"/>
        <v>0</v>
      </c>
      <c r="CB139" s="77">
        <f t="shared" si="41"/>
        <v>0</v>
      </c>
      <c r="CC139" s="77">
        <f t="shared" si="41"/>
        <v>1</v>
      </c>
      <c r="CD139" s="77">
        <f t="shared" si="41"/>
        <v>1</v>
      </c>
      <c r="CE139" s="77">
        <f t="shared" si="41"/>
        <v>0</v>
      </c>
      <c r="CF139" s="77">
        <f t="shared" si="41"/>
        <v>0</v>
      </c>
      <c r="CG139" s="77">
        <f t="shared" si="41"/>
        <v>0</v>
      </c>
      <c r="CH139" s="77">
        <f t="shared" si="41"/>
        <v>0</v>
      </c>
      <c r="CI139" s="77">
        <f t="shared" si="41"/>
        <v>1</v>
      </c>
      <c r="CJ139" s="77">
        <f t="shared" si="41"/>
        <v>0</v>
      </c>
      <c r="CK139" s="77">
        <f t="shared" si="41"/>
        <v>1</v>
      </c>
      <c r="CL139" s="77">
        <f t="shared" si="41"/>
        <v>0</v>
      </c>
      <c r="CM139" s="77">
        <f t="shared" si="41"/>
        <v>0</v>
      </c>
      <c r="CN139" s="77">
        <f t="shared" si="41"/>
        <v>1</v>
      </c>
      <c r="CO139" s="77">
        <f t="shared" si="41"/>
        <v>0</v>
      </c>
      <c r="CP139" s="77">
        <f t="shared" si="41"/>
        <v>0</v>
      </c>
      <c r="CQ139" s="77">
        <f t="shared" si="41"/>
        <v>0</v>
      </c>
      <c r="CR139" s="77">
        <f t="shared" si="41"/>
        <v>1</v>
      </c>
      <c r="CS139" s="77">
        <f t="shared" si="41"/>
        <v>0</v>
      </c>
      <c r="CT139" s="77">
        <f t="shared" si="41"/>
        <v>0</v>
      </c>
      <c r="CU139" s="77">
        <f t="shared" si="41"/>
        <v>1</v>
      </c>
      <c r="CV139" s="77">
        <f t="shared" si="41"/>
        <v>1</v>
      </c>
      <c r="CW139" s="77">
        <f t="shared" si="41"/>
        <v>0</v>
      </c>
      <c r="CX139" s="77">
        <f t="shared" si="41"/>
        <v>0</v>
      </c>
      <c r="CY139" s="77">
        <f t="shared" si="41"/>
        <v>1</v>
      </c>
      <c r="CZ139" s="77">
        <f t="shared" si="41"/>
        <v>0</v>
      </c>
      <c r="DA139" s="77">
        <f t="shared" si="41"/>
        <v>0</v>
      </c>
      <c r="DB139" s="77">
        <f t="shared" si="41"/>
        <v>0</v>
      </c>
      <c r="DC139" s="77">
        <f t="shared" si="41"/>
        <v>0</v>
      </c>
      <c r="DD139" s="77">
        <f t="shared" si="41"/>
        <v>0</v>
      </c>
      <c r="DE139" s="77">
        <f t="shared" si="41"/>
        <v>0</v>
      </c>
      <c r="DF139" s="77">
        <f t="shared" si="41"/>
        <v>0</v>
      </c>
      <c r="DG139" s="77">
        <f t="shared" si="41"/>
        <v>0</v>
      </c>
      <c r="DH139" s="77">
        <f t="shared" si="41"/>
        <v>0</v>
      </c>
      <c r="DI139" s="77">
        <f t="shared" si="41"/>
        <v>1</v>
      </c>
      <c r="DJ139" s="77">
        <f t="shared" si="41"/>
        <v>0</v>
      </c>
      <c r="DK139" s="77">
        <f t="shared" si="41"/>
        <v>0</v>
      </c>
      <c r="DL139" s="77">
        <f t="shared" si="41"/>
        <v>0</v>
      </c>
      <c r="DM139" s="77">
        <f t="shared" si="41"/>
        <v>0</v>
      </c>
      <c r="DN139" s="77">
        <f t="shared" si="41"/>
        <v>0</v>
      </c>
      <c r="DO139" s="77">
        <f t="shared" si="41"/>
        <v>0</v>
      </c>
      <c r="DP139" s="77">
        <f t="shared" si="41"/>
        <v>0</v>
      </c>
      <c r="DQ139" s="77">
        <f t="shared" si="41"/>
        <v>1</v>
      </c>
      <c r="DR139" s="77">
        <f t="shared" si="41"/>
        <v>1</v>
      </c>
      <c r="DS139" s="77">
        <f t="shared" si="41"/>
        <v>1</v>
      </c>
      <c r="DT139" s="77">
        <f t="shared" si="41"/>
        <v>0</v>
      </c>
      <c r="DU139" s="77">
        <f t="shared" si="41"/>
        <v>0</v>
      </c>
      <c r="DV139" s="77">
        <f t="shared" si="41"/>
        <v>0</v>
      </c>
      <c r="DW139" s="77">
        <f t="shared" si="41"/>
        <v>0</v>
      </c>
      <c r="DX139" s="77">
        <f t="shared" si="41"/>
        <v>0</v>
      </c>
      <c r="DY139" s="77">
        <f t="shared" si="41"/>
        <v>1</v>
      </c>
      <c r="DZ139" s="77">
        <f t="shared" si="41"/>
        <v>0</v>
      </c>
      <c r="EA139" s="77">
        <f t="shared" si="42"/>
        <v>0</v>
      </c>
      <c r="EB139" s="77">
        <f t="shared" si="42"/>
        <v>0</v>
      </c>
      <c r="EC139" s="77">
        <f t="shared" si="42"/>
        <v>0</v>
      </c>
      <c r="ED139" s="77">
        <f t="shared" si="42"/>
        <v>0</v>
      </c>
      <c r="EE139" s="77">
        <f t="shared" si="42"/>
        <v>0</v>
      </c>
      <c r="EF139" s="77">
        <f t="shared" si="42"/>
        <v>1</v>
      </c>
      <c r="EG139" s="77">
        <f t="shared" si="42"/>
        <v>1</v>
      </c>
      <c r="EH139" s="77">
        <f t="shared" si="42"/>
        <v>0</v>
      </c>
      <c r="EI139" s="77">
        <f t="shared" si="42"/>
        <v>0</v>
      </c>
      <c r="EJ139" s="77">
        <f t="shared" si="42"/>
        <v>0</v>
      </c>
      <c r="EK139" s="77">
        <f t="shared" si="42"/>
        <v>0</v>
      </c>
      <c r="EL139" s="77">
        <f t="shared" si="42"/>
        <v>0</v>
      </c>
      <c r="EM139" s="77">
        <f t="shared" si="42"/>
        <v>0</v>
      </c>
      <c r="EN139" s="77">
        <f t="shared" si="42"/>
        <v>0</v>
      </c>
      <c r="EO139" s="77">
        <f t="shared" si="42"/>
        <v>0</v>
      </c>
      <c r="EP139" s="77">
        <f t="shared" si="42"/>
        <v>0</v>
      </c>
      <c r="EQ139" s="77">
        <f t="shared" si="42"/>
        <v>0</v>
      </c>
      <c r="ER139" s="77">
        <f t="shared" si="42"/>
        <v>0</v>
      </c>
      <c r="ES139" s="77">
        <f t="shared" si="42"/>
        <v>0</v>
      </c>
    </row>
    <row r="140" spans="1:150" x14ac:dyDescent="0.3">
      <c r="A140" s="37" t="s">
        <v>4</v>
      </c>
      <c r="B140" s="77">
        <f t="shared" si="43"/>
        <v>1</v>
      </c>
      <c r="C140" s="77">
        <f t="shared" ref="C140:BN143" si="44">IF(C21&lt;=$B$136,1,0)</f>
        <v>0</v>
      </c>
      <c r="D140" s="77">
        <f t="shared" si="44"/>
        <v>0</v>
      </c>
      <c r="E140" s="77">
        <f t="shared" si="44"/>
        <v>0</v>
      </c>
      <c r="F140" s="77">
        <f t="shared" si="44"/>
        <v>1</v>
      </c>
      <c r="G140" s="77">
        <f t="shared" si="44"/>
        <v>0</v>
      </c>
      <c r="H140" s="77">
        <f t="shared" si="44"/>
        <v>1</v>
      </c>
      <c r="I140" s="77">
        <f t="shared" si="44"/>
        <v>1</v>
      </c>
      <c r="J140" s="77">
        <f t="shared" si="44"/>
        <v>0</v>
      </c>
      <c r="K140" s="77">
        <f t="shared" si="44"/>
        <v>0</v>
      </c>
      <c r="L140" s="77">
        <f t="shared" si="44"/>
        <v>0</v>
      </c>
      <c r="M140" s="77">
        <f t="shared" si="44"/>
        <v>0</v>
      </c>
      <c r="N140" s="77">
        <f t="shared" si="44"/>
        <v>0</v>
      </c>
      <c r="O140" s="77">
        <f t="shared" si="44"/>
        <v>0</v>
      </c>
      <c r="P140" s="77">
        <f t="shared" si="44"/>
        <v>1</v>
      </c>
      <c r="Q140" s="77">
        <f t="shared" si="44"/>
        <v>0</v>
      </c>
      <c r="R140" s="77">
        <f t="shared" si="44"/>
        <v>0</v>
      </c>
      <c r="S140" s="77">
        <f t="shared" si="44"/>
        <v>0</v>
      </c>
      <c r="T140" s="77">
        <f t="shared" si="44"/>
        <v>1</v>
      </c>
      <c r="U140" s="77">
        <f t="shared" si="44"/>
        <v>0</v>
      </c>
      <c r="V140" s="77">
        <f t="shared" si="44"/>
        <v>0</v>
      </c>
      <c r="W140" s="77">
        <f t="shared" si="44"/>
        <v>1</v>
      </c>
      <c r="X140" s="77">
        <f t="shared" si="44"/>
        <v>0</v>
      </c>
      <c r="Y140" s="77">
        <f t="shared" si="44"/>
        <v>1</v>
      </c>
      <c r="Z140" s="77">
        <f t="shared" si="44"/>
        <v>0</v>
      </c>
      <c r="AA140" s="77">
        <f t="shared" si="44"/>
        <v>0</v>
      </c>
      <c r="AB140" s="77">
        <f t="shared" si="44"/>
        <v>0</v>
      </c>
      <c r="AC140" s="77">
        <f t="shared" si="44"/>
        <v>0</v>
      </c>
      <c r="AD140" s="77">
        <f t="shared" si="44"/>
        <v>0</v>
      </c>
      <c r="AE140" s="77">
        <f t="shared" si="44"/>
        <v>1</v>
      </c>
      <c r="AF140" s="77">
        <f t="shared" si="44"/>
        <v>0</v>
      </c>
      <c r="AG140" s="77">
        <f t="shared" si="44"/>
        <v>0</v>
      </c>
      <c r="AH140" s="77">
        <f t="shared" si="44"/>
        <v>0</v>
      </c>
      <c r="AI140" s="77">
        <f t="shared" si="44"/>
        <v>0</v>
      </c>
      <c r="AJ140" s="77">
        <f t="shared" si="44"/>
        <v>0</v>
      </c>
      <c r="AK140" s="77">
        <f t="shared" si="44"/>
        <v>0</v>
      </c>
      <c r="AL140" s="77">
        <f t="shared" si="44"/>
        <v>0</v>
      </c>
      <c r="AM140" s="77">
        <f t="shared" si="44"/>
        <v>0</v>
      </c>
      <c r="AN140" s="77">
        <f t="shared" si="44"/>
        <v>0</v>
      </c>
      <c r="AO140" s="77">
        <f t="shared" si="44"/>
        <v>1</v>
      </c>
      <c r="AP140" s="77">
        <f t="shared" si="44"/>
        <v>0</v>
      </c>
      <c r="AQ140" s="77">
        <f t="shared" si="44"/>
        <v>0</v>
      </c>
      <c r="AR140" s="77">
        <f t="shared" si="44"/>
        <v>0</v>
      </c>
      <c r="AS140" s="77">
        <f t="shared" si="44"/>
        <v>0</v>
      </c>
      <c r="AT140" s="77">
        <f t="shared" si="44"/>
        <v>0</v>
      </c>
      <c r="AU140" s="77">
        <f t="shared" si="44"/>
        <v>0</v>
      </c>
      <c r="AV140" s="77">
        <f t="shared" si="44"/>
        <v>0</v>
      </c>
      <c r="AW140" s="77">
        <f t="shared" si="44"/>
        <v>1</v>
      </c>
      <c r="AX140" s="77">
        <f t="shared" si="44"/>
        <v>0</v>
      </c>
      <c r="AY140" s="77">
        <f t="shared" si="44"/>
        <v>1</v>
      </c>
      <c r="AZ140" s="77">
        <f t="shared" si="44"/>
        <v>0</v>
      </c>
      <c r="BA140" s="77">
        <f t="shared" si="44"/>
        <v>1</v>
      </c>
      <c r="BB140" s="77">
        <f t="shared" si="44"/>
        <v>0</v>
      </c>
      <c r="BC140" s="77">
        <f t="shared" si="44"/>
        <v>0</v>
      </c>
      <c r="BD140" s="77">
        <f t="shared" si="44"/>
        <v>1</v>
      </c>
      <c r="BE140" s="77">
        <f t="shared" si="44"/>
        <v>0</v>
      </c>
      <c r="BF140" s="77">
        <f t="shared" si="44"/>
        <v>0</v>
      </c>
      <c r="BG140" s="77">
        <f t="shared" si="44"/>
        <v>0</v>
      </c>
      <c r="BH140" s="77">
        <f t="shared" si="44"/>
        <v>1</v>
      </c>
      <c r="BI140" s="77">
        <f t="shared" si="44"/>
        <v>0</v>
      </c>
      <c r="BJ140" s="77">
        <f t="shared" si="44"/>
        <v>0</v>
      </c>
      <c r="BK140" s="77">
        <f t="shared" si="44"/>
        <v>1</v>
      </c>
      <c r="BL140" s="77">
        <f t="shared" si="44"/>
        <v>0</v>
      </c>
      <c r="BM140" s="77">
        <f t="shared" si="44"/>
        <v>0</v>
      </c>
      <c r="BN140" s="77">
        <f t="shared" si="44"/>
        <v>0</v>
      </c>
      <c r="BO140" s="77">
        <f t="shared" si="41"/>
        <v>0</v>
      </c>
      <c r="BP140" s="77">
        <f t="shared" si="41"/>
        <v>0</v>
      </c>
      <c r="BQ140" s="77">
        <f t="shared" si="41"/>
        <v>0</v>
      </c>
      <c r="BR140" s="77">
        <f t="shared" si="41"/>
        <v>1</v>
      </c>
      <c r="BS140" s="77">
        <f t="shared" si="41"/>
        <v>0</v>
      </c>
      <c r="BT140" s="77">
        <f t="shared" si="41"/>
        <v>1</v>
      </c>
      <c r="BU140" s="77">
        <f t="shared" si="41"/>
        <v>1</v>
      </c>
      <c r="BV140" s="77">
        <f t="shared" si="41"/>
        <v>0</v>
      </c>
      <c r="BW140" s="77">
        <f t="shared" si="41"/>
        <v>0</v>
      </c>
      <c r="BX140" s="77">
        <f t="shared" si="41"/>
        <v>0</v>
      </c>
      <c r="BY140" s="77">
        <f t="shared" si="41"/>
        <v>1</v>
      </c>
      <c r="BZ140" s="77">
        <f t="shared" si="41"/>
        <v>0</v>
      </c>
      <c r="CA140" s="77">
        <f t="shared" si="41"/>
        <v>0</v>
      </c>
      <c r="CB140" s="77">
        <f t="shared" si="41"/>
        <v>0</v>
      </c>
      <c r="CC140" s="77">
        <f t="shared" si="41"/>
        <v>1</v>
      </c>
      <c r="CD140" s="77">
        <f t="shared" si="41"/>
        <v>1</v>
      </c>
      <c r="CE140" s="77">
        <f t="shared" si="41"/>
        <v>0</v>
      </c>
      <c r="CF140" s="77">
        <f t="shared" si="41"/>
        <v>0</v>
      </c>
      <c r="CG140" s="77">
        <f t="shared" si="41"/>
        <v>0</v>
      </c>
      <c r="CH140" s="77">
        <f t="shared" si="41"/>
        <v>0</v>
      </c>
      <c r="CI140" s="77">
        <f t="shared" si="41"/>
        <v>1</v>
      </c>
      <c r="CJ140" s="77">
        <f t="shared" si="41"/>
        <v>0</v>
      </c>
      <c r="CK140" s="77">
        <f t="shared" si="41"/>
        <v>0</v>
      </c>
      <c r="CL140" s="77">
        <f t="shared" si="41"/>
        <v>0</v>
      </c>
      <c r="CM140" s="77">
        <f t="shared" si="41"/>
        <v>0</v>
      </c>
      <c r="CN140" s="77">
        <f t="shared" si="41"/>
        <v>1</v>
      </c>
      <c r="CO140" s="77">
        <f t="shared" si="41"/>
        <v>0</v>
      </c>
      <c r="CP140" s="77">
        <f t="shared" si="41"/>
        <v>0</v>
      </c>
      <c r="CQ140" s="77">
        <f t="shared" si="41"/>
        <v>0</v>
      </c>
      <c r="CR140" s="77">
        <f t="shared" si="41"/>
        <v>1</v>
      </c>
      <c r="CS140" s="77">
        <f t="shared" si="41"/>
        <v>0</v>
      </c>
      <c r="CT140" s="77">
        <f t="shared" si="41"/>
        <v>0</v>
      </c>
      <c r="CU140" s="77">
        <f t="shared" si="41"/>
        <v>1</v>
      </c>
      <c r="CV140" s="77">
        <f t="shared" si="41"/>
        <v>1</v>
      </c>
      <c r="CW140" s="77">
        <f t="shared" si="41"/>
        <v>0</v>
      </c>
      <c r="CX140" s="77">
        <f t="shared" si="41"/>
        <v>0</v>
      </c>
      <c r="CY140" s="77">
        <f t="shared" si="41"/>
        <v>1</v>
      </c>
      <c r="CZ140" s="77">
        <f t="shared" si="41"/>
        <v>0</v>
      </c>
      <c r="DA140" s="77">
        <f t="shared" si="41"/>
        <v>0</v>
      </c>
      <c r="DB140" s="77">
        <f t="shared" si="41"/>
        <v>0</v>
      </c>
      <c r="DC140" s="77">
        <f t="shared" si="41"/>
        <v>0</v>
      </c>
      <c r="DD140" s="77">
        <f t="shared" si="41"/>
        <v>0</v>
      </c>
      <c r="DE140" s="77">
        <f t="shared" si="41"/>
        <v>0</v>
      </c>
      <c r="DF140" s="77">
        <f t="shared" si="41"/>
        <v>0</v>
      </c>
      <c r="DG140" s="77">
        <f t="shared" si="41"/>
        <v>0</v>
      </c>
      <c r="DH140" s="77">
        <f t="shared" si="41"/>
        <v>0</v>
      </c>
      <c r="DI140" s="77">
        <f t="shared" si="41"/>
        <v>1</v>
      </c>
      <c r="DJ140" s="77">
        <f t="shared" si="41"/>
        <v>0</v>
      </c>
      <c r="DK140" s="77">
        <f t="shared" si="41"/>
        <v>0</v>
      </c>
      <c r="DL140" s="77">
        <f t="shared" si="41"/>
        <v>0</v>
      </c>
      <c r="DM140" s="77">
        <f t="shared" si="41"/>
        <v>0</v>
      </c>
      <c r="DN140" s="77">
        <f t="shared" si="41"/>
        <v>0</v>
      </c>
      <c r="DO140" s="77">
        <f t="shared" si="41"/>
        <v>0</v>
      </c>
      <c r="DP140" s="77">
        <f t="shared" si="41"/>
        <v>0</v>
      </c>
      <c r="DQ140" s="77">
        <f t="shared" si="41"/>
        <v>1</v>
      </c>
      <c r="DR140" s="77">
        <f t="shared" si="41"/>
        <v>1</v>
      </c>
      <c r="DS140" s="77">
        <f t="shared" si="41"/>
        <v>1</v>
      </c>
      <c r="DT140" s="77">
        <f t="shared" si="41"/>
        <v>0</v>
      </c>
      <c r="DU140" s="77">
        <f t="shared" si="41"/>
        <v>0</v>
      </c>
      <c r="DV140" s="77">
        <f t="shared" si="41"/>
        <v>0</v>
      </c>
      <c r="DW140" s="77">
        <f t="shared" si="41"/>
        <v>0</v>
      </c>
      <c r="DX140" s="77">
        <f t="shared" si="41"/>
        <v>0</v>
      </c>
      <c r="DY140" s="77">
        <f t="shared" si="41"/>
        <v>1</v>
      </c>
      <c r="DZ140" s="77">
        <f t="shared" si="41"/>
        <v>0</v>
      </c>
      <c r="EA140" s="77">
        <f t="shared" si="42"/>
        <v>0</v>
      </c>
      <c r="EB140" s="77">
        <f t="shared" si="42"/>
        <v>0</v>
      </c>
      <c r="EC140" s="77">
        <f t="shared" si="42"/>
        <v>0</v>
      </c>
      <c r="ED140" s="77">
        <f t="shared" si="42"/>
        <v>0</v>
      </c>
      <c r="EE140" s="77">
        <f t="shared" si="42"/>
        <v>0</v>
      </c>
      <c r="EF140" s="77">
        <f t="shared" si="42"/>
        <v>1</v>
      </c>
      <c r="EG140" s="77">
        <f t="shared" si="42"/>
        <v>1</v>
      </c>
      <c r="EH140" s="77">
        <f t="shared" si="42"/>
        <v>0</v>
      </c>
      <c r="EI140" s="77">
        <f t="shared" si="42"/>
        <v>0</v>
      </c>
      <c r="EJ140" s="77">
        <f t="shared" si="42"/>
        <v>0</v>
      </c>
      <c r="EK140" s="77">
        <f t="shared" si="42"/>
        <v>0</v>
      </c>
      <c r="EL140" s="77">
        <f t="shared" si="42"/>
        <v>0</v>
      </c>
      <c r="EM140" s="77">
        <f t="shared" si="42"/>
        <v>0</v>
      </c>
      <c r="EN140" s="77">
        <f t="shared" si="42"/>
        <v>0</v>
      </c>
      <c r="EO140" s="77">
        <f t="shared" si="42"/>
        <v>0</v>
      </c>
      <c r="EP140" s="77">
        <f t="shared" si="42"/>
        <v>0</v>
      </c>
      <c r="EQ140" s="77">
        <f t="shared" si="42"/>
        <v>0</v>
      </c>
      <c r="ER140" s="77">
        <f t="shared" si="42"/>
        <v>0</v>
      </c>
      <c r="ES140" s="77">
        <f t="shared" si="42"/>
        <v>0</v>
      </c>
    </row>
    <row r="141" spans="1:150" x14ac:dyDescent="0.3">
      <c r="A141" s="37" t="s">
        <v>20</v>
      </c>
      <c r="B141" s="77">
        <f t="shared" si="43"/>
        <v>0</v>
      </c>
      <c r="C141" s="77">
        <f t="shared" si="44"/>
        <v>0</v>
      </c>
      <c r="D141" s="77">
        <f t="shared" si="44"/>
        <v>0</v>
      </c>
      <c r="E141" s="77">
        <f t="shared" si="44"/>
        <v>0</v>
      </c>
      <c r="F141" s="77">
        <f t="shared" si="44"/>
        <v>0</v>
      </c>
      <c r="G141" s="77">
        <f t="shared" si="44"/>
        <v>0</v>
      </c>
      <c r="H141" s="77">
        <f t="shared" si="44"/>
        <v>0</v>
      </c>
      <c r="I141" s="77">
        <f t="shared" si="44"/>
        <v>0</v>
      </c>
      <c r="J141" s="77">
        <f t="shared" si="44"/>
        <v>0</v>
      </c>
      <c r="K141" s="77">
        <f t="shared" si="44"/>
        <v>0</v>
      </c>
      <c r="L141" s="77">
        <f t="shared" si="44"/>
        <v>0</v>
      </c>
      <c r="M141" s="77">
        <f t="shared" si="44"/>
        <v>0</v>
      </c>
      <c r="N141" s="77">
        <f t="shared" si="44"/>
        <v>1</v>
      </c>
      <c r="O141" s="77">
        <f t="shared" si="44"/>
        <v>0</v>
      </c>
      <c r="P141" s="77">
        <f t="shared" si="44"/>
        <v>0</v>
      </c>
      <c r="Q141" s="77">
        <f t="shared" si="44"/>
        <v>0</v>
      </c>
      <c r="R141" s="77">
        <f t="shared" si="44"/>
        <v>0</v>
      </c>
      <c r="S141" s="77">
        <f t="shared" si="44"/>
        <v>0</v>
      </c>
      <c r="T141" s="77">
        <f t="shared" si="44"/>
        <v>0</v>
      </c>
      <c r="U141" s="77">
        <f t="shared" si="44"/>
        <v>0</v>
      </c>
      <c r="V141" s="77">
        <f t="shared" si="44"/>
        <v>0</v>
      </c>
      <c r="W141" s="77">
        <f t="shared" si="44"/>
        <v>0</v>
      </c>
      <c r="X141" s="77">
        <f t="shared" si="44"/>
        <v>0</v>
      </c>
      <c r="Y141" s="77">
        <f t="shared" si="44"/>
        <v>0</v>
      </c>
      <c r="Z141" s="77">
        <f t="shared" si="44"/>
        <v>0</v>
      </c>
      <c r="AA141" s="77">
        <f t="shared" si="44"/>
        <v>0</v>
      </c>
      <c r="AB141" s="77">
        <f t="shared" si="44"/>
        <v>0</v>
      </c>
      <c r="AC141" s="77">
        <f t="shared" si="44"/>
        <v>0</v>
      </c>
      <c r="AD141" s="77">
        <f t="shared" si="44"/>
        <v>1</v>
      </c>
      <c r="AE141" s="77">
        <f t="shared" si="44"/>
        <v>0</v>
      </c>
      <c r="AF141" s="77">
        <f t="shared" si="44"/>
        <v>0</v>
      </c>
      <c r="AG141" s="77">
        <f t="shared" si="44"/>
        <v>1</v>
      </c>
      <c r="AH141" s="77">
        <f t="shared" si="44"/>
        <v>1</v>
      </c>
      <c r="AI141" s="77">
        <f t="shared" si="44"/>
        <v>1</v>
      </c>
      <c r="AJ141" s="77">
        <f t="shared" si="44"/>
        <v>1</v>
      </c>
      <c r="AK141" s="77">
        <f t="shared" si="44"/>
        <v>1</v>
      </c>
      <c r="AL141" s="77">
        <f t="shared" si="44"/>
        <v>0</v>
      </c>
      <c r="AM141" s="77">
        <f t="shared" si="44"/>
        <v>0</v>
      </c>
      <c r="AN141" s="77">
        <f t="shared" si="44"/>
        <v>1</v>
      </c>
      <c r="AO141" s="77">
        <f t="shared" si="44"/>
        <v>0</v>
      </c>
      <c r="AP141" s="77">
        <f t="shared" si="44"/>
        <v>0</v>
      </c>
      <c r="AQ141" s="77">
        <f t="shared" si="44"/>
        <v>0</v>
      </c>
      <c r="AR141" s="77">
        <f t="shared" si="44"/>
        <v>0</v>
      </c>
      <c r="AS141" s="77">
        <f t="shared" si="44"/>
        <v>0</v>
      </c>
      <c r="AT141" s="77">
        <f t="shared" si="44"/>
        <v>1</v>
      </c>
      <c r="AU141" s="77">
        <f t="shared" si="44"/>
        <v>0</v>
      </c>
      <c r="AV141" s="77">
        <f t="shared" si="44"/>
        <v>0</v>
      </c>
      <c r="AW141" s="77">
        <f t="shared" si="44"/>
        <v>0</v>
      </c>
      <c r="AX141" s="77">
        <f t="shared" si="44"/>
        <v>0</v>
      </c>
      <c r="AY141" s="77">
        <f t="shared" si="44"/>
        <v>0</v>
      </c>
      <c r="AZ141" s="77">
        <f t="shared" si="44"/>
        <v>0</v>
      </c>
      <c r="BA141" s="77">
        <f t="shared" si="44"/>
        <v>0</v>
      </c>
      <c r="BB141" s="77">
        <f t="shared" si="44"/>
        <v>0</v>
      </c>
      <c r="BC141" s="77">
        <f t="shared" si="44"/>
        <v>0</v>
      </c>
      <c r="BD141" s="77">
        <f t="shared" si="44"/>
        <v>0</v>
      </c>
      <c r="BE141" s="77">
        <f t="shared" si="44"/>
        <v>0</v>
      </c>
      <c r="BF141" s="77">
        <f t="shared" si="44"/>
        <v>0</v>
      </c>
      <c r="BG141" s="77">
        <f t="shared" si="44"/>
        <v>0</v>
      </c>
      <c r="BH141" s="77">
        <f t="shared" si="44"/>
        <v>0</v>
      </c>
      <c r="BI141" s="77">
        <f t="shared" si="44"/>
        <v>0</v>
      </c>
      <c r="BJ141" s="77">
        <f t="shared" si="44"/>
        <v>0</v>
      </c>
      <c r="BK141" s="77">
        <f t="shared" si="44"/>
        <v>0</v>
      </c>
      <c r="BL141" s="77">
        <f t="shared" si="44"/>
        <v>0</v>
      </c>
      <c r="BM141" s="77">
        <f t="shared" si="44"/>
        <v>1</v>
      </c>
      <c r="BN141" s="77">
        <f t="shared" si="44"/>
        <v>0</v>
      </c>
      <c r="BO141" s="77">
        <f t="shared" si="41"/>
        <v>0</v>
      </c>
      <c r="BP141" s="77">
        <f t="shared" si="41"/>
        <v>0</v>
      </c>
      <c r="BQ141" s="77">
        <f t="shared" si="41"/>
        <v>0</v>
      </c>
      <c r="BR141" s="77">
        <f t="shared" si="41"/>
        <v>0</v>
      </c>
      <c r="BS141" s="77">
        <f t="shared" si="41"/>
        <v>0</v>
      </c>
      <c r="BT141" s="77">
        <f t="shared" si="41"/>
        <v>0</v>
      </c>
      <c r="BU141" s="77">
        <f t="shared" si="41"/>
        <v>0</v>
      </c>
      <c r="BV141" s="77">
        <f t="shared" si="41"/>
        <v>0</v>
      </c>
      <c r="BW141" s="77">
        <f t="shared" si="41"/>
        <v>0</v>
      </c>
      <c r="BX141" s="77">
        <f t="shared" si="41"/>
        <v>0</v>
      </c>
      <c r="BY141" s="77">
        <f t="shared" si="41"/>
        <v>0</v>
      </c>
      <c r="BZ141" s="77">
        <f t="shared" si="41"/>
        <v>1</v>
      </c>
      <c r="CA141" s="77">
        <f t="shared" si="41"/>
        <v>0</v>
      </c>
      <c r="CB141" s="77">
        <f t="shared" si="41"/>
        <v>0</v>
      </c>
      <c r="CC141" s="77">
        <f t="shared" si="41"/>
        <v>0</v>
      </c>
      <c r="CD141" s="77">
        <f t="shared" si="41"/>
        <v>0</v>
      </c>
      <c r="CE141" s="77">
        <f t="shared" si="41"/>
        <v>0</v>
      </c>
      <c r="CF141" s="77">
        <f t="shared" si="41"/>
        <v>0</v>
      </c>
      <c r="CG141" s="77">
        <f t="shared" si="41"/>
        <v>0</v>
      </c>
      <c r="CH141" s="77">
        <f t="shared" si="41"/>
        <v>0</v>
      </c>
      <c r="CI141" s="77">
        <f t="shared" si="41"/>
        <v>0</v>
      </c>
      <c r="CJ141" s="77">
        <f t="shared" si="41"/>
        <v>1</v>
      </c>
      <c r="CK141" s="77">
        <f t="shared" si="41"/>
        <v>0</v>
      </c>
      <c r="CL141" s="77">
        <f t="shared" si="41"/>
        <v>0</v>
      </c>
      <c r="CM141" s="77">
        <f t="shared" si="41"/>
        <v>0</v>
      </c>
      <c r="CN141" s="77">
        <f t="shared" si="41"/>
        <v>0</v>
      </c>
      <c r="CO141" s="77">
        <f t="shared" si="41"/>
        <v>1</v>
      </c>
      <c r="CP141" s="77">
        <f t="shared" si="41"/>
        <v>1</v>
      </c>
      <c r="CQ141" s="77">
        <f t="shared" si="41"/>
        <v>0</v>
      </c>
      <c r="CR141" s="77">
        <f t="shared" si="41"/>
        <v>0</v>
      </c>
      <c r="CS141" s="77">
        <f t="shared" si="41"/>
        <v>0</v>
      </c>
      <c r="CT141" s="77">
        <f t="shared" si="41"/>
        <v>0</v>
      </c>
      <c r="CU141" s="77">
        <f t="shared" si="41"/>
        <v>0</v>
      </c>
      <c r="CV141" s="77">
        <f t="shared" si="41"/>
        <v>0</v>
      </c>
      <c r="CW141" s="77">
        <f t="shared" si="41"/>
        <v>0</v>
      </c>
      <c r="CX141" s="77">
        <f t="shared" si="41"/>
        <v>0</v>
      </c>
      <c r="CY141" s="77">
        <f t="shared" si="41"/>
        <v>0</v>
      </c>
      <c r="CZ141" s="77">
        <f t="shared" si="41"/>
        <v>0</v>
      </c>
      <c r="DA141" s="77">
        <f t="shared" si="41"/>
        <v>1</v>
      </c>
      <c r="DB141" s="77">
        <f t="shared" si="41"/>
        <v>0</v>
      </c>
      <c r="DC141" s="77">
        <f t="shared" si="41"/>
        <v>1</v>
      </c>
      <c r="DD141" s="77">
        <f t="shared" si="41"/>
        <v>0</v>
      </c>
      <c r="DE141" s="77">
        <f t="shared" si="41"/>
        <v>0</v>
      </c>
      <c r="DF141" s="77">
        <f t="shared" si="41"/>
        <v>0</v>
      </c>
      <c r="DG141" s="77">
        <f t="shared" si="41"/>
        <v>0</v>
      </c>
      <c r="DH141" s="77">
        <f t="shared" si="41"/>
        <v>0</v>
      </c>
      <c r="DI141" s="77">
        <f t="shared" si="41"/>
        <v>0</v>
      </c>
      <c r="DJ141" s="77">
        <f t="shared" si="41"/>
        <v>0</v>
      </c>
      <c r="DK141" s="77">
        <f t="shared" si="41"/>
        <v>0</v>
      </c>
      <c r="DL141" s="77">
        <f t="shared" si="41"/>
        <v>0</v>
      </c>
      <c r="DM141" s="77">
        <f t="shared" si="41"/>
        <v>0</v>
      </c>
      <c r="DN141" s="77">
        <f t="shared" si="41"/>
        <v>0</v>
      </c>
      <c r="DO141" s="77">
        <f t="shared" si="41"/>
        <v>0</v>
      </c>
      <c r="DP141" s="77">
        <f t="shared" si="41"/>
        <v>0</v>
      </c>
      <c r="DQ141" s="77">
        <f t="shared" si="41"/>
        <v>0</v>
      </c>
      <c r="DR141" s="77">
        <f t="shared" si="41"/>
        <v>0</v>
      </c>
      <c r="DS141" s="77">
        <f t="shared" si="41"/>
        <v>0</v>
      </c>
      <c r="DT141" s="77">
        <f t="shared" si="41"/>
        <v>0</v>
      </c>
      <c r="DU141" s="77">
        <f t="shared" si="41"/>
        <v>1</v>
      </c>
      <c r="DV141" s="77">
        <f t="shared" si="41"/>
        <v>0</v>
      </c>
      <c r="DW141" s="77">
        <f t="shared" si="41"/>
        <v>0</v>
      </c>
      <c r="DX141" s="77">
        <f t="shared" si="41"/>
        <v>0</v>
      </c>
      <c r="DY141" s="77">
        <f t="shared" si="41"/>
        <v>0</v>
      </c>
      <c r="DZ141" s="77">
        <f t="shared" ref="DZ141:ES154" si="45">IF(DZ22&lt;=$B$136,1,0)</f>
        <v>0</v>
      </c>
      <c r="EA141" s="77">
        <f t="shared" si="45"/>
        <v>1</v>
      </c>
      <c r="EB141" s="77">
        <f t="shared" si="45"/>
        <v>0</v>
      </c>
      <c r="EC141" s="77">
        <f t="shared" si="45"/>
        <v>0</v>
      </c>
      <c r="ED141" s="77">
        <f t="shared" si="45"/>
        <v>0</v>
      </c>
      <c r="EE141" s="77">
        <f t="shared" si="45"/>
        <v>0</v>
      </c>
      <c r="EF141" s="77">
        <f t="shared" si="45"/>
        <v>0</v>
      </c>
      <c r="EG141" s="77">
        <f t="shared" si="45"/>
        <v>0</v>
      </c>
      <c r="EH141" s="77">
        <f t="shared" si="45"/>
        <v>0</v>
      </c>
      <c r="EI141" s="77">
        <f t="shared" si="45"/>
        <v>0</v>
      </c>
      <c r="EJ141" s="77">
        <f t="shared" si="45"/>
        <v>0</v>
      </c>
      <c r="EK141" s="77">
        <f t="shared" si="45"/>
        <v>1</v>
      </c>
      <c r="EL141" s="77">
        <f t="shared" si="45"/>
        <v>1</v>
      </c>
      <c r="EM141" s="77">
        <f t="shared" si="45"/>
        <v>0</v>
      </c>
      <c r="EN141" s="77">
        <f t="shared" si="45"/>
        <v>0</v>
      </c>
      <c r="EO141" s="77">
        <f t="shared" si="45"/>
        <v>0</v>
      </c>
      <c r="EP141" s="77">
        <f t="shared" si="45"/>
        <v>0</v>
      </c>
      <c r="EQ141" s="77">
        <f t="shared" si="45"/>
        <v>1</v>
      </c>
      <c r="ER141" s="77">
        <f t="shared" si="45"/>
        <v>0</v>
      </c>
      <c r="ES141" s="77">
        <f t="shared" si="45"/>
        <v>0</v>
      </c>
    </row>
    <row r="142" spans="1:150" x14ac:dyDescent="0.3">
      <c r="A142" s="37" t="s">
        <v>24</v>
      </c>
      <c r="B142" s="77">
        <f t="shared" si="43"/>
        <v>0</v>
      </c>
      <c r="C142" s="77">
        <f t="shared" si="44"/>
        <v>0</v>
      </c>
      <c r="D142" s="77">
        <f t="shared" si="44"/>
        <v>0</v>
      </c>
      <c r="E142" s="77">
        <f t="shared" si="44"/>
        <v>0</v>
      </c>
      <c r="F142" s="77">
        <f t="shared" si="44"/>
        <v>0</v>
      </c>
      <c r="G142" s="77">
        <f t="shared" si="44"/>
        <v>0</v>
      </c>
      <c r="H142" s="77">
        <f t="shared" si="44"/>
        <v>0</v>
      </c>
      <c r="I142" s="77">
        <f t="shared" si="44"/>
        <v>0</v>
      </c>
      <c r="J142" s="77">
        <f t="shared" si="44"/>
        <v>0</v>
      </c>
      <c r="K142" s="77">
        <f t="shared" si="44"/>
        <v>0</v>
      </c>
      <c r="L142" s="77">
        <f t="shared" si="44"/>
        <v>0</v>
      </c>
      <c r="M142" s="77">
        <f t="shared" si="44"/>
        <v>0</v>
      </c>
      <c r="N142" s="77">
        <f t="shared" si="44"/>
        <v>0</v>
      </c>
      <c r="O142" s="77">
        <f t="shared" si="44"/>
        <v>0</v>
      </c>
      <c r="P142" s="77">
        <f t="shared" si="44"/>
        <v>0</v>
      </c>
      <c r="Q142" s="77">
        <f t="shared" si="44"/>
        <v>0</v>
      </c>
      <c r="R142" s="77">
        <f t="shared" si="44"/>
        <v>0</v>
      </c>
      <c r="S142" s="77">
        <f t="shared" si="44"/>
        <v>0</v>
      </c>
      <c r="T142" s="77">
        <f t="shared" si="44"/>
        <v>0</v>
      </c>
      <c r="U142" s="77">
        <f t="shared" si="44"/>
        <v>0</v>
      </c>
      <c r="V142" s="77">
        <f t="shared" si="44"/>
        <v>0</v>
      </c>
      <c r="W142" s="77">
        <f t="shared" si="44"/>
        <v>0</v>
      </c>
      <c r="X142" s="77">
        <f t="shared" si="44"/>
        <v>0</v>
      </c>
      <c r="Y142" s="77">
        <f t="shared" si="44"/>
        <v>0</v>
      </c>
      <c r="Z142" s="77">
        <f t="shared" si="44"/>
        <v>0</v>
      </c>
      <c r="AA142" s="77">
        <f t="shared" si="44"/>
        <v>0</v>
      </c>
      <c r="AB142" s="77">
        <f t="shared" si="44"/>
        <v>0</v>
      </c>
      <c r="AC142" s="77">
        <f t="shared" si="44"/>
        <v>0</v>
      </c>
      <c r="AD142" s="77">
        <f t="shared" si="44"/>
        <v>1</v>
      </c>
      <c r="AE142" s="77">
        <f t="shared" si="44"/>
        <v>0</v>
      </c>
      <c r="AF142" s="77">
        <f t="shared" si="44"/>
        <v>0</v>
      </c>
      <c r="AG142" s="77">
        <f t="shared" si="44"/>
        <v>0</v>
      </c>
      <c r="AH142" s="77">
        <f t="shared" si="44"/>
        <v>0</v>
      </c>
      <c r="AI142" s="77">
        <f t="shared" si="44"/>
        <v>0</v>
      </c>
      <c r="AJ142" s="77">
        <f t="shared" si="44"/>
        <v>1</v>
      </c>
      <c r="AK142" s="77">
        <f t="shared" si="44"/>
        <v>0</v>
      </c>
      <c r="AL142" s="77">
        <f t="shared" si="44"/>
        <v>0</v>
      </c>
      <c r="AM142" s="77">
        <f t="shared" si="44"/>
        <v>0</v>
      </c>
      <c r="AN142" s="77">
        <f t="shared" si="44"/>
        <v>0</v>
      </c>
      <c r="AO142" s="77">
        <f t="shared" si="44"/>
        <v>0</v>
      </c>
      <c r="AP142" s="77">
        <f t="shared" si="44"/>
        <v>0</v>
      </c>
      <c r="AQ142" s="77">
        <f t="shared" si="44"/>
        <v>0</v>
      </c>
      <c r="AR142" s="77">
        <f t="shared" si="44"/>
        <v>0</v>
      </c>
      <c r="AS142" s="77">
        <f t="shared" si="44"/>
        <v>1</v>
      </c>
      <c r="AT142" s="77">
        <f t="shared" si="44"/>
        <v>1</v>
      </c>
      <c r="AU142" s="77">
        <f t="shared" si="44"/>
        <v>0</v>
      </c>
      <c r="AV142" s="77">
        <f t="shared" si="44"/>
        <v>0</v>
      </c>
      <c r="AW142" s="77">
        <f t="shared" si="44"/>
        <v>0</v>
      </c>
      <c r="AX142" s="77">
        <f t="shared" si="44"/>
        <v>0</v>
      </c>
      <c r="AY142" s="77">
        <f t="shared" si="44"/>
        <v>0</v>
      </c>
      <c r="AZ142" s="77">
        <f t="shared" si="44"/>
        <v>0</v>
      </c>
      <c r="BA142" s="77">
        <f t="shared" si="44"/>
        <v>0</v>
      </c>
      <c r="BB142" s="77">
        <f t="shared" si="44"/>
        <v>0</v>
      </c>
      <c r="BC142" s="77">
        <f t="shared" si="44"/>
        <v>0</v>
      </c>
      <c r="BD142" s="77">
        <f t="shared" si="44"/>
        <v>0</v>
      </c>
      <c r="BE142" s="77">
        <f t="shared" si="44"/>
        <v>0</v>
      </c>
      <c r="BF142" s="77">
        <f t="shared" si="44"/>
        <v>0</v>
      </c>
      <c r="BG142" s="77">
        <f t="shared" si="44"/>
        <v>0</v>
      </c>
      <c r="BH142" s="77">
        <f t="shared" si="44"/>
        <v>0</v>
      </c>
      <c r="BI142" s="77">
        <f t="shared" si="44"/>
        <v>0</v>
      </c>
      <c r="BJ142" s="77">
        <f t="shared" si="44"/>
        <v>0</v>
      </c>
      <c r="BK142" s="77">
        <f t="shared" si="44"/>
        <v>0</v>
      </c>
      <c r="BL142" s="77">
        <f t="shared" si="44"/>
        <v>0</v>
      </c>
      <c r="BM142" s="77">
        <f t="shared" si="44"/>
        <v>0</v>
      </c>
      <c r="BN142" s="77">
        <f t="shared" si="44"/>
        <v>0</v>
      </c>
      <c r="BO142" s="77">
        <f t="shared" ref="BO142:DZ157" si="46">IF(BO23&lt;=$B$136,1,0)</f>
        <v>0</v>
      </c>
      <c r="BP142" s="77">
        <f t="shared" si="46"/>
        <v>0</v>
      </c>
      <c r="BQ142" s="77">
        <f t="shared" si="46"/>
        <v>0</v>
      </c>
      <c r="BR142" s="77">
        <f t="shared" si="46"/>
        <v>0</v>
      </c>
      <c r="BS142" s="77">
        <f t="shared" si="46"/>
        <v>0</v>
      </c>
      <c r="BT142" s="77">
        <f t="shared" si="46"/>
        <v>0</v>
      </c>
      <c r="BU142" s="77">
        <f t="shared" si="46"/>
        <v>0</v>
      </c>
      <c r="BV142" s="77">
        <f t="shared" si="46"/>
        <v>0</v>
      </c>
      <c r="BW142" s="77">
        <f t="shared" si="46"/>
        <v>0</v>
      </c>
      <c r="BX142" s="77">
        <f t="shared" si="46"/>
        <v>0</v>
      </c>
      <c r="BY142" s="77">
        <f t="shared" si="46"/>
        <v>0</v>
      </c>
      <c r="BZ142" s="77">
        <f t="shared" si="46"/>
        <v>1</v>
      </c>
      <c r="CA142" s="77">
        <f t="shared" si="46"/>
        <v>0</v>
      </c>
      <c r="CB142" s="77">
        <f t="shared" si="46"/>
        <v>0</v>
      </c>
      <c r="CC142" s="77">
        <f t="shared" si="46"/>
        <v>0</v>
      </c>
      <c r="CD142" s="77">
        <f t="shared" si="46"/>
        <v>0</v>
      </c>
      <c r="CE142" s="77">
        <f t="shared" si="46"/>
        <v>0</v>
      </c>
      <c r="CF142" s="77">
        <f t="shared" si="46"/>
        <v>0</v>
      </c>
      <c r="CG142" s="77">
        <f t="shared" si="46"/>
        <v>0</v>
      </c>
      <c r="CH142" s="77">
        <f t="shared" si="46"/>
        <v>1</v>
      </c>
      <c r="CI142" s="77">
        <f t="shared" si="46"/>
        <v>0</v>
      </c>
      <c r="CJ142" s="77">
        <f t="shared" si="46"/>
        <v>1</v>
      </c>
      <c r="CK142" s="77">
        <f t="shared" si="46"/>
        <v>0</v>
      </c>
      <c r="CL142" s="77">
        <f t="shared" si="46"/>
        <v>0</v>
      </c>
      <c r="CM142" s="77">
        <f t="shared" si="46"/>
        <v>0</v>
      </c>
      <c r="CN142" s="77">
        <f t="shared" si="46"/>
        <v>0</v>
      </c>
      <c r="CO142" s="77">
        <f t="shared" si="46"/>
        <v>1</v>
      </c>
      <c r="CP142" s="77">
        <f t="shared" si="46"/>
        <v>0</v>
      </c>
      <c r="CQ142" s="77">
        <f t="shared" si="46"/>
        <v>0</v>
      </c>
      <c r="CR142" s="77">
        <f t="shared" si="46"/>
        <v>0</v>
      </c>
      <c r="CS142" s="77">
        <f t="shared" si="46"/>
        <v>0</v>
      </c>
      <c r="CT142" s="77">
        <f t="shared" si="46"/>
        <v>0</v>
      </c>
      <c r="CU142" s="77">
        <f t="shared" si="46"/>
        <v>0</v>
      </c>
      <c r="CV142" s="77">
        <f t="shared" si="46"/>
        <v>0</v>
      </c>
      <c r="CW142" s="77">
        <f t="shared" si="46"/>
        <v>0</v>
      </c>
      <c r="CX142" s="77">
        <f t="shared" si="46"/>
        <v>0</v>
      </c>
      <c r="CY142" s="77">
        <f t="shared" si="46"/>
        <v>0</v>
      </c>
      <c r="CZ142" s="77">
        <f t="shared" si="46"/>
        <v>0</v>
      </c>
      <c r="DA142" s="77">
        <f t="shared" si="46"/>
        <v>1</v>
      </c>
      <c r="DB142" s="77">
        <f t="shared" si="46"/>
        <v>0</v>
      </c>
      <c r="DC142" s="77">
        <f t="shared" si="46"/>
        <v>1</v>
      </c>
      <c r="DD142" s="77">
        <f t="shared" si="46"/>
        <v>0</v>
      </c>
      <c r="DE142" s="77">
        <f t="shared" si="46"/>
        <v>0</v>
      </c>
      <c r="DF142" s="77">
        <f t="shared" si="46"/>
        <v>0</v>
      </c>
      <c r="DG142" s="77">
        <f t="shared" si="46"/>
        <v>0</v>
      </c>
      <c r="DH142" s="77">
        <f t="shared" si="46"/>
        <v>0</v>
      </c>
      <c r="DI142" s="77">
        <f t="shared" si="46"/>
        <v>0</v>
      </c>
      <c r="DJ142" s="77">
        <f t="shared" si="46"/>
        <v>0</v>
      </c>
      <c r="DK142" s="77">
        <f t="shared" si="46"/>
        <v>0</v>
      </c>
      <c r="DL142" s="77">
        <f t="shared" si="46"/>
        <v>0</v>
      </c>
      <c r="DM142" s="77">
        <f t="shared" si="46"/>
        <v>0</v>
      </c>
      <c r="DN142" s="77">
        <f t="shared" si="46"/>
        <v>0</v>
      </c>
      <c r="DO142" s="77">
        <f t="shared" si="46"/>
        <v>0</v>
      </c>
      <c r="DP142" s="77">
        <f t="shared" si="46"/>
        <v>0</v>
      </c>
      <c r="DQ142" s="77">
        <f t="shared" si="46"/>
        <v>0</v>
      </c>
      <c r="DR142" s="77">
        <f t="shared" si="46"/>
        <v>0</v>
      </c>
      <c r="DS142" s="77">
        <f t="shared" si="46"/>
        <v>0</v>
      </c>
      <c r="DT142" s="77">
        <f t="shared" si="46"/>
        <v>0</v>
      </c>
      <c r="DU142" s="77">
        <f t="shared" si="46"/>
        <v>1</v>
      </c>
      <c r="DV142" s="77">
        <f t="shared" si="46"/>
        <v>0</v>
      </c>
      <c r="DW142" s="77">
        <f t="shared" si="46"/>
        <v>0</v>
      </c>
      <c r="DX142" s="77">
        <f t="shared" si="46"/>
        <v>0</v>
      </c>
      <c r="DY142" s="77">
        <f t="shared" si="46"/>
        <v>0</v>
      </c>
      <c r="DZ142" s="77">
        <f t="shared" si="46"/>
        <v>0</v>
      </c>
      <c r="EA142" s="77">
        <f t="shared" si="45"/>
        <v>0</v>
      </c>
      <c r="EB142" s="77">
        <f t="shared" si="45"/>
        <v>0</v>
      </c>
      <c r="EC142" s="77">
        <f t="shared" si="45"/>
        <v>0</v>
      </c>
      <c r="ED142" s="77">
        <f t="shared" si="45"/>
        <v>0</v>
      </c>
      <c r="EE142" s="77">
        <f t="shared" si="45"/>
        <v>0</v>
      </c>
      <c r="EF142" s="77">
        <f t="shared" si="45"/>
        <v>0</v>
      </c>
      <c r="EG142" s="77">
        <f t="shared" si="45"/>
        <v>0</v>
      </c>
      <c r="EH142" s="77">
        <f t="shared" si="45"/>
        <v>0</v>
      </c>
      <c r="EI142" s="77">
        <f t="shared" si="45"/>
        <v>0</v>
      </c>
      <c r="EJ142" s="77">
        <f t="shared" si="45"/>
        <v>0</v>
      </c>
      <c r="EK142" s="77">
        <f t="shared" si="45"/>
        <v>1</v>
      </c>
      <c r="EL142" s="77">
        <f t="shared" si="45"/>
        <v>1</v>
      </c>
      <c r="EM142" s="77">
        <f t="shared" si="45"/>
        <v>1</v>
      </c>
      <c r="EN142" s="77">
        <f t="shared" si="45"/>
        <v>0</v>
      </c>
      <c r="EO142" s="77">
        <f t="shared" si="45"/>
        <v>0</v>
      </c>
      <c r="EP142" s="77">
        <f t="shared" si="45"/>
        <v>0</v>
      </c>
      <c r="EQ142" s="77">
        <f t="shared" si="45"/>
        <v>0</v>
      </c>
      <c r="ER142" s="77">
        <f t="shared" si="45"/>
        <v>0</v>
      </c>
      <c r="ES142" s="77">
        <f t="shared" si="45"/>
        <v>0</v>
      </c>
    </row>
    <row r="143" spans="1:150" x14ac:dyDescent="0.3">
      <c r="A143" s="37" t="s">
        <v>21</v>
      </c>
      <c r="B143" s="77">
        <f t="shared" si="43"/>
        <v>0</v>
      </c>
      <c r="C143" s="77">
        <f t="shared" si="44"/>
        <v>0</v>
      </c>
      <c r="D143" s="77">
        <f t="shared" si="44"/>
        <v>0</v>
      </c>
      <c r="E143" s="77">
        <f t="shared" si="44"/>
        <v>0</v>
      </c>
      <c r="F143" s="77">
        <f t="shared" si="44"/>
        <v>0</v>
      </c>
      <c r="G143" s="77">
        <f t="shared" si="44"/>
        <v>0</v>
      </c>
      <c r="H143" s="77">
        <f t="shared" si="44"/>
        <v>0</v>
      </c>
      <c r="I143" s="77">
        <f t="shared" si="44"/>
        <v>0</v>
      </c>
      <c r="J143" s="77">
        <f t="shared" si="44"/>
        <v>0</v>
      </c>
      <c r="K143" s="77">
        <f t="shared" si="44"/>
        <v>0</v>
      </c>
      <c r="L143" s="77">
        <f t="shared" si="44"/>
        <v>0</v>
      </c>
      <c r="M143" s="77">
        <f t="shared" si="44"/>
        <v>0</v>
      </c>
      <c r="N143" s="77">
        <f t="shared" si="44"/>
        <v>1</v>
      </c>
      <c r="O143" s="77">
        <f t="shared" si="44"/>
        <v>0</v>
      </c>
      <c r="P143" s="77">
        <f t="shared" si="44"/>
        <v>0</v>
      </c>
      <c r="Q143" s="77">
        <f t="shared" si="44"/>
        <v>0</v>
      </c>
      <c r="R143" s="77">
        <f t="shared" si="44"/>
        <v>0</v>
      </c>
      <c r="S143" s="77">
        <f t="shared" si="44"/>
        <v>0</v>
      </c>
      <c r="T143" s="77">
        <f t="shared" si="44"/>
        <v>0</v>
      </c>
      <c r="U143" s="77">
        <f t="shared" si="44"/>
        <v>0</v>
      </c>
      <c r="V143" s="77">
        <f t="shared" si="44"/>
        <v>0</v>
      </c>
      <c r="W143" s="77">
        <f t="shared" si="44"/>
        <v>0</v>
      </c>
      <c r="X143" s="77">
        <f t="shared" si="44"/>
        <v>0</v>
      </c>
      <c r="Y143" s="77">
        <f t="shared" si="44"/>
        <v>0</v>
      </c>
      <c r="Z143" s="77">
        <f t="shared" si="44"/>
        <v>0</v>
      </c>
      <c r="AA143" s="77">
        <f t="shared" si="44"/>
        <v>0</v>
      </c>
      <c r="AB143" s="77">
        <f t="shared" si="44"/>
        <v>0</v>
      </c>
      <c r="AC143" s="77">
        <f t="shared" si="44"/>
        <v>0</v>
      </c>
      <c r="AD143" s="77">
        <f t="shared" si="44"/>
        <v>1</v>
      </c>
      <c r="AE143" s="77">
        <f t="shared" si="44"/>
        <v>0</v>
      </c>
      <c r="AF143" s="77">
        <f t="shared" si="44"/>
        <v>0</v>
      </c>
      <c r="AG143" s="77">
        <f t="shared" si="44"/>
        <v>0</v>
      </c>
      <c r="AH143" s="77">
        <f t="shared" si="44"/>
        <v>1</v>
      </c>
      <c r="AI143" s="77">
        <f t="shared" si="44"/>
        <v>1</v>
      </c>
      <c r="AJ143" s="77">
        <f t="shared" si="44"/>
        <v>1</v>
      </c>
      <c r="AK143" s="77">
        <f t="shared" si="44"/>
        <v>1</v>
      </c>
      <c r="AL143" s="77">
        <f t="shared" si="44"/>
        <v>0</v>
      </c>
      <c r="AM143" s="77">
        <f t="shared" si="44"/>
        <v>0</v>
      </c>
      <c r="AN143" s="77">
        <f t="shared" si="44"/>
        <v>0</v>
      </c>
      <c r="AO143" s="77">
        <f t="shared" si="44"/>
        <v>0</v>
      </c>
      <c r="AP143" s="77">
        <f t="shared" si="44"/>
        <v>0</v>
      </c>
      <c r="AQ143" s="77">
        <f t="shared" si="44"/>
        <v>0</v>
      </c>
      <c r="AR143" s="77">
        <f t="shared" si="44"/>
        <v>0</v>
      </c>
      <c r="AS143" s="77">
        <f t="shared" si="44"/>
        <v>1</v>
      </c>
      <c r="AT143" s="77">
        <f t="shared" si="44"/>
        <v>1</v>
      </c>
      <c r="AU143" s="77">
        <f t="shared" si="44"/>
        <v>0</v>
      </c>
      <c r="AV143" s="77">
        <f t="shared" si="44"/>
        <v>0</v>
      </c>
      <c r="AW143" s="77">
        <f t="shared" si="44"/>
        <v>0</v>
      </c>
      <c r="AX143" s="77">
        <f t="shared" si="44"/>
        <v>0</v>
      </c>
      <c r="AY143" s="77">
        <f t="shared" si="44"/>
        <v>0</v>
      </c>
      <c r="AZ143" s="77">
        <f t="shared" si="44"/>
        <v>0</v>
      </c>
      <c r="BA143" s="77">
        <f t="shared" si="44"/>
        <v>0</v>
      </c>
      <c r="BB143" s="77">
        <f t="shared" si="44"/>
        <v>0</v>
      </c>
      <c r="BC143" s="77">
        <f t="shared" si="44"/>
        <v>0</v>
      </c>
      <c r="BD143" s="77">
        <f t="shared" si="44"/>
        <v>0</v>
      </c>
      <c r="BE143" s="77">
        <f t="shared" si="44"/>
        <v>0</v>
      </c>
      <c r="BF143" s="77">
        <f t="shared" si="44"/>
        <v>0</v>
      </c>
      <c r="BG143" s="77">
        <f t="shared" si="44"/>
        <v>0</v>
      </c>
      <c r="BH143" s="77">
        <f t="shared" si="44"/>
        <v>0</v>
      </c>
      <c r="BI143" s="77">
        <f t="shared" si="44"/>
        <v>0</v>
      </c>
      <c r="BJ143" s="77">
        <f t="shared" si="44"/>
        <v>0</v>
      </c>
      <c r="BK143" s="77">
        <f t="shared" si="44"/>
        <v>0</v>
      </c>
      <c r="BL143" s="77">
        <f t="shared" si="44"/>
        <v>0</v>
      </c>
      <c r="BM143" s="77">
        <f t="shared" si="44"/>
        <v>0</v>
      </c>
      <c r="BN143" s="77">
        <f t="shared" ref="BN143:DY146" si="47">IF(BN24&lt;=$B$136,1,0)</f>
        <v>0</v>
      </c>
      <c r="BO143" s="77">
        <f t="shared" si="47"/>
        <v>0</v>
      </c>
      <c r="BP143" s="77">
        <f t="shared" si="47"/>
        <v>0</v>
      </c>
      <c r="BQ143" s="77">
        <f t="shared" si="47"/>
        <v>0</v>
      </c>
      <c r="BR143" s="77">
        <f t="shared" si="47"/>
        <v>0</v>
      </c>
      <c r="BS143" s="77">
        <f t="shared" si="47"/>
        <v>0</v>
      </c>
      <c r="BT143" s="77">
        <f t="shared" si="47"/>
        <v>0</v>
      </c>
      <c r="BU143" s="77">
        <f t="shared" si="47"/>
        <v>0</v>
      </c>
      <c r="BV143" s="77">
        <f t="shared" si="47"/>
        <v>0</v>
      </c>
      <c r="BW143" s="77">
        <f t="shared" si="47"/>
        <v>0</v>
      </c>
      <c r="BX143" s="77">
        <f t="shared" si="47"/>
        <v>0</v>
      </c>
      <c r="BY143" s="77">
        <f t="shared" si="47"/>
        <v>0</v>
      </c>
      <c r="BZ143" s="77">
        <f t="shared" si="47"/>
        <v>1</v>
      </c>
      <c r="CA143" s="77">
        <f t="shared" si="47"/>
        <v>0</v>
      </c>
      <c r="CB143" s="77">
        <f t="shared" si="47"/>
        <v>0</v>
      </c>
      <c r="CC143" s="77">
        <f t="shared" si="47"/>
        <v>0</v>
      </c>
      <c r="CD143" s="77">
        <f t="shared" si="47"/>
        <v>0</v>
      </c>
      <c r="CE143" s="77">
        <f t="shared" si="47"/>
        <v>0</v>
      </c>
      <c r="CF143" s="77">
        <f t="shared" si="47"/>
        <v>0</v>
      </c>
      <c r="CG143" s="77">
        <f t="shared" si="47"/>
        <v>0</v>
      </c>
      <c r="CH143" s="77">
        <f t="shared" si="47"/>
        <v>1</v>
      </c>
      <c r="CI143" s="77">
        <f t="shared" si="47"/>
        <v>0</v>
      </c>
      <c r="CJ143" s="77">
        <f t="shared" si="47"/>
        <v>1</v>
      </c>
      <c r="CK143" s="77">
        <f t="shared" si="47"/>
        <v>0</v>
      </c>
      <c r="CL143" s="77">
        <f t="shared" si="47"/>
        <v>0</v>
      </c>
      <c r="CM143" s="77">
        <f t="shared" si="47"/>
        <v>0</v>
      </c>
      <c r="CN143" s="77">
        <f t="shared" si="47"/>
        <v>0</v>
      </c>
      <c r="CO143" s="77">
        <f t="shared" si="47"/>
        <v>1</v>
      </c>
      <c r="CP143" s="77">
        <f t="shared" si="47"/>
        <v>0</v>
      </c>
      <c r="CQ143" s="77">
        <f t="shared" si="47"/>
        <v>0</v>
      </c>
      <c r="CR143" s="77">
        <f t="shared" si="47"/>
        <v>0</v>
      </c>
      <c r="CS143" s="77">
        <f t="shared" si="47"/>
        <v>0</v>
      </c>
      <c r="CT143" s="77">
        <f t="shared" si="47"/>
        <v>0</v>
      </c>
      <c r="CU143" s="77">
        <f t="shared" si="47"/>
        <v>0</v>
      </c>
      <c r="CV143" s="77">
        <f t="shared" si="47"/>
        <v>0</v>
      </c>
      <c r="CW143" s="77">
        <f t="shared" si="47"/>
        <v>0</v>
      </c>
      <c r="CX143" s="77">
        <f t="shared" si="47"/>
        <v>0</v>
      </c>
      <c r="CY143" s="77">
        <f t="shared" si="47"/>
        <v>0</v>
      </c>
      <c r="CZ143" s="77">
        <f t="shared" si="47"/>
        <v>0</v>
      </c>
      <c r="DA143" s="77">
        <f t="shared" si="47"/>
        <v>1</v>
      </c>
      <c r="DB143" s="77">
        <f t="shared" si="47"/>
        <v>0</v>
      </c>
      <c r="DC143" s="77">
        <f t="shared" si="47"/>
        <v>1</v>
      </c>
      <c r="DD143" s="77">
        <f t="shared" si="47"/>
        <v>0</v>
      </c>
      <c r="DE143" s="77">
        <f t="shared" si="47"/>
        <v>0</v>
      </c>
      <c r="DF143" s="77">
        <f t="shared" si="47"/>
        <v>0</v>
      </c>
      <c r="DG143" s="77">
        <f t="shared" si="47"/>
        <v>0</v>
      </c>
      <c r="DH143" s="77">
        <f t="shared" si="47"/>
        <v>0</v>
      </c>
      <c r="DI143" s="77">
        <f t="shared" si="47"/>
        <v>0</v>
      </c>
      <c r="DJ143" s="77">
        <f t="shared" si="47"/>
        <v>0</v>
      </c>
      <c r="DK143" s="77">
        <f t="shared" si="47"/>
        <v>0</v>
      </c>
      <c r="DL143" s="77">
        <f t="shared" si="47"/>
        <v>0</v>
      </c>
      <c r="DM143" s="77">
        <f t="shared" si="47"/>
        <v>0</v>
      </c>
      <c r="DN143" s="77">
        <f t="shared" si="47"/>
        <v>0</v>
      </c>
      <c r="DO143" s="77">
        <f t="shared" si="47"/>
        <v>0</v>
      </c>
      <c r="DP143" s="77">
        <f t="shared" si="47"/>
        <v>0</v>
      </c>
      <c r="DQ143" s="77">
        <f t="shared" si="47"/>
        <v>0</v>
      </c>
      <c r="DR143" s="77">
        <f t="shared" si="47"/>
        <v>0</v>
      </c>
      <c r="DS143" s="77">
        <f t="shared" si="47"/>
        <v>0</v>
      </c>
      <c r="DT143" s="77">
        <f t="shared" si="47"/>
        <v>0</v>
      </c>
      <c r="DU143" s="77">
        <f t="shared" si="47"/>
        <v>1</v>
      </c>
      <c r="DV143" s="77">
        <f t="shared" si="47"/>
        <v>0</v>
      </c>
      <c r="DW143" s="77">
        <f t="shared" si="47"/>
        <v>0</v>
      </c>
      <c r="DX143" s="77">
        <f t="shared" si="47"/>
        <v>0</v>
      </c>
      <c r="DY143" s="77">
        <f t="shared" si="47"/>
        <v>0</v>
      </c>
      <c r="DZ143" s="77">
        <f t="shared" si="46"/>
        <v>0</v>
      </c>
      <c r="EA143" s="77">
        <f t="shared" si="45"/>
        <v>1</v>
      </c>
      <c r="EB143" s="77">
        <f t="shared" si="45"/>
        <v>0</v>
      </c>
      <c r="EC143" s="77">
        <f t="shared" si="45"/>
        <v>0</v>
      </c>
      <c r="ED143" s="77">
        <f t="shared" si="45"/>
        <v>0</v>
      </c>
      <c r="EE143" s="77">
        <f t="shared" si="45"/>
        <v>0</v>
      </c>
      <c r="EF143" s="77">
        <f t="shared" si="45"/>
        <v>0</v>
      </c>
      <c r="EG143" s="77">
        <f t="shared" si="45"/>
        <v>0</v>
      </c>
      <c r="EH143" s="77">
        <f t="shared" si="45"/>
        <v>0</v>
      </c>
      <c r="EI143" s="77">
        <f t="shared" si="45"/>
        <v>0</v>
      </c>
      <c r="EJ143" s="77">
        <f t="shared" si="45"/>
        <v>0</v>
      </c>
      <c r="EK143" s="77">
        <f t="shared" si="45"/>
        <v>1</v>
      </c>
      <c r="EL143" s="77">
        <f t="shared" si="45"/>
        <v>1</v>
      </c>
      <c r="EM143" s="77">
        <f t="shared" si="45"/>
        <v>1</v>
      </c>
      <c r="EN143" s="77">
        <f t="shared" si="45"/>
        <v>0</v>
      </c>
      <c r="EO143" s="77">
        <f t="shared" si="45"/>
        <v>0</v>
      </c>
      <c r="EP143" s="77">
        <f t="shared" si="45"/>
        <v>0</v>
      </c>
      <c r="EQ143" s="77">
        <f t="shared" si="45"/>
        <v>1</v>
      </c>
      <c r="ER143" s="77">
        <f t="shared" si="45"/>
        <v>0</v>
      </c>
      <c r="ES143" s="77">
        <f t="shared" si="45"/>
        <v>0</v>
      </c>
    </row>
    <row r="144" spans="1:150" x14ac:dyDescent="0.3">
      <c r="A144" s="37" t="s">
        <v>5</v>
      </c>
      <c r="B144" s="77">
        <f t="shared" si="43"/>
        <v>0</v>
      </c>
      <c r="C144" s="77">
        <f t="shared" ref="C144:BN147" si="48">IF(C25&lt;=$B$136,1,0)</f>
        <v>0</v>
      </c>
      <c r="D144" s="77">
        <f t="shared" si="48"/>
        <v>0</v>
      </c>
      <c r="E144" s="77">
        <f t="shared" si="48"/>
        <v>0</v>
      </c>
      <c r="F144" s="77">
        <f t="shared" si="48"/>
        <v>0</v>
      </c>
      <c r="G144" s="77">
        <f t="shared" si="48"/>
        <v>0</v>
      </c>
      <c r="H144" s="77">
        <f t="shared" si="48"/>
        <v>0</v>
      </c>
      <c r="I144" s="77">
        <f t="shared" si="48"/>
        <v>0</v>
      </c>
      <c r="J144" s="77">
        <f t="shared" si="48"/>
        <v>0</v>
      </c>
      <c r="K144" s="77">
        <f t="shared" si="48"/>
        <v>0</v>
      </c>
      <c r="L144" s="77">
        <f t="shared" si="48"/>
        <v>1</v>
      </c>
      <c r="M144" s="77">
        <f t="shared" si="48"/>
        <v>0</v>
      </c>
      <c r="N144" s="77">
        <f t="shared" si="48"/>
        <v>0</v>
      </c>
      <c r="O144" s="77">
        <f t="shared" si="48"/>
        <v>0</v>
      </c>
      <c r="P144" s="77">
        <f t="shared" si="48"/>
        <v>0</v>
      </c>
      <c r="Q144" s="77">
        <f t="shared" si="48"/>
        <v>0</v>
      </c>
      <c r="R144" s="77">
        <f t="shared" si="48"/>
        <v>0</v>
      </c>
      <c r="S144" s="77">
        <f t="shared" si="48"/>
        <v>0</v>
      </c>
      <c r="T144" s="77">
        <f t="shared" si="48"/>
        <v>0</v>
      </c>
      <c r="U144" s="77">
        <f t="shared" si="48"/>
        <v>0</v>
      </c>
      <c r="V144" s="77">
        <f t="shared" si="48"/>
        <v>0</v>
      </c>
      <c r="W144" s="77">
        <f t="shared" si="48"/>
        <v>0</v>
      </c>
      <c r="X144" s="77">
        <f t="shared" si="48"/>
        <v>0</v>
      </c>
      <c r="Y144" s="77">
        <f t="shared" si="48"/>
        <v>0</v>
      </c>
      <c r="Z144" s="77">
        <f t="shared" si="48"/>
        <v>1</v>
      </c>
      <c r="AA144" s="77">
        <f t="shared" si="48"/>
        <v>0</v>
      </c>
      <c r="AB144" s="77">
        <f t="shared" si="48"/>
        <v>0</v>
      </c>
      <c r="AC144" s="77">
        <f t="shared" si="48"/>
        <v>1</v>
      </c>
      <c r="AD144" s="77">
        <f t="shared" si="48"/>
        <v>0</v>
      </c>
      <c r="AE144" s="77">
        <f t="shared" si="48"/>
        <v>0</v>
      </c>
      <c r="AF144" s="77">
        <f t="shared" si="48"/>
        <v>0</v>
      </c>
      <c r="AG144" s="77">
        <f t="shared" si="48"/>
        <v>0</v>
      </c>
      <c r="AH144" s="77">
        <f t="shared" si="48"/>
        <v>0</v>
      </c>
      <c r="AI144" s="77">
        <f t="shared" si="48"/>
        <v>0</v>
      </c>
      <c r="AJ144" s="77">
        <f t="shared" si="48"/>
        <v>0</v>
      </c>
      <c r="AK144" s="77">
        <f t="shared" si="48"/>
        <v>0</v>
      </c>
      <c r="AL144" s="77">
        <f t="shared" si="48"/>
        <v>1</v>
      </c>
      <c r="AM144" s="77">
        <f t="shared" si="48"/>
        <v>0</v>
      </c>
      <c r="AN144" s="77">
        <f t="shared" si="48"/>
        <v>0</v>
      </c>
      <c r="AO144" s="77">
        <f t="shared" si="48"/>
        <v>0</v>
      </c>
      <c r="AP144" s="77">
        <f t="shared" si="48"/>
        <v>0</v>
      </c>
      <c r="AQ144" s="77">
        <f t="shared" si="48"/>
        <v>0</v>
      </c>
      <c r="AR144" s="77">
        <f t="shared" si="48"/>
        <v>1</v>
      </c>
      <c r="AS144" s="77">
        <f t="shared" si="48"/>
        <v>0</v>
      </c>
      <c r="AT144" s="77">
        <f t="shared" si="48"/>
        <v>0</v>
      </c>
      <c r="AU144" s="77">
        <f t="shared" si="48"/>
        <v>0</v>
      </c>
      <c r="AV144" s="77">
        <f t="shared" si="48"/>
        <v>0</v>
      </c>
      <c r="AW144" s="77">
        <f t="shared" si="48"/>
        <v>0</v>
      </c>
      <c r="AX144" s="77">
        <f t="shared" si="48"/>
        <v>0</v>
      </c>
      <c r="AY144" s="77">
        <f t="shared" si="48"/>
        <v>0</v>
      </c>
      <c r="AZ144" s="77">
        <f t="shared" si="48"/>
        <v>0</v>
      </c>
      <c r="BA144" s="77">
        <f t="shared" si="48"/>
        <v>0</v>
      </c>
      <c r="BB144" s="77">
        <f t="shared" si="48"/>
        <v>0</v>
      </c>
      <c r="BC144" s="77">
        <f t="shared" si="48"/>
        <v>0</v>
      </c>
      <c r="BD144" s="77">
        <f t="shared" si="48"/>
        <v>0</v>
      </c>
      <c r="BE144" s="77">
        <f t="shared" si="48"/>
        <v>0</v>
      </c>
      <c r="BF144" s="77">
        <f t="shared" si="48"/>
        <v>0</v>
      </c>
      <c r="BG144" s="77">
        <f t="shared" si="48"/>
        <v>0</v>
      </c>
      <c r="BH144" s="77">
        <f t="shared" si="48"/>
        <v>0</v>
      </c>
      <c r="BI144" s="77">
        <f t="shared" si="48"/>
        <v>0</v>
      </c>
      <c r="BJ144" s="77">
        <f t="shared" si="48"/>
        <v>0</v>
      </c>
      <c r="BK144" s="77">
        <f t="shared" si="48"/>
        <v>0</v>
      </c>
      <c r="BL144" s="77">
        <f t="shared" si="48"/>
        <v>0</v>
      </c>
      <c r="BM144" s="77">
        <f t="shared" si="48"/>
        <v>0</v>
      </c>
      <c r="BN144" s="77">
        <f t="shared" si="48"/>
        <v>0</v>
      </c>
      <c r="BO144" s="77">
        <f t="shared" si="47"/>
        <v>0</v>
      </c>
      <c r="BP144" s="77">
        <f t="shared" si="47"/>
        <v>0</v>
      </c>
      <c r="BQ144" s="77">
        <f t="shared" si="47"/>
        <v>0</v>
      </c>
      <c r="BR144" s="77">
        <f t="shared" si="47"/>
        <v>0</v>
      </c>
      <c r="BS144" s="77">
        <f t="shared" si="47"/>
        <v>0</v>
      </c>
      <c r="BT144" s="77">
        <f t="shared" si="47"/>
        <v>0</v>
      </c>
      <c r="BU144" s="77">
        <f t="shared" si="47"/>
        <v>0</v>
      </c>
      <c r="BV144" s="77">
        <f t="shared" si="47"/>
        <v>0</v>
      </c>
      <c r="BW144" s="77">
        <f t="shared" si="47"/>
        <v>0</v>
      </c>
      <c r="BX144" s="77">
        <f t="shared" si="47"/>
        <v>0</v>
      </c>
      <c r="BY144" s="77">
        <f t="shared" si="47"/>
        <v>0</v>
      </c>
      <c r="BZ144" s="77">
        <f t="shared" si="47"/>
        <v>0</v>
      </c>
      <c r="CA144" s="77">
        <f t="shared" si="47"/>
        <v>0</v>
      </c>
      <c r="CB144" s="77">
        <f t="shared" si="47"/>
        <v>0</v>
      </c>
      <c r="CC144" s="77">
        <f t="shared" si="47"/>
        <v>0</v>
      </c>
      <c r="CD144" s="77">
        <f t="shared" si="47"/>
        <v>0</v>
      </c>
      <c r="CE144" s="77">
        <f t="shared" si="47"/>
        <v>0</v>
      </c>
      <c r="CF144" s="77">
        <f t="shared" si="47"/>
        <v>1</v>
      </c>
      <c r="CG144" s="77">
        <f t="shared" si="47"/>
        <v>0</v>
      </c>
      <c r="CH144" s="77">
        <f t="shared" si="47"/>
        <v>0</v>
      </c>
      <c r="CI144" s="77">
        <f t="shared" si="47"/>
        <v>0</v>
      </c>
      <c r="CJ144" s="77">
        <f t="shared" si="47"/>
        <v>0</v>
      </c>
      <c r="CK144" s="77">
        <f t="shared" si="47"/>
        <v>0</v>
      </c>
      <c r="CL144" s="77">
        <f t="shared" si="47"/>
        <v>0</v>
      </c>
      <c r="CM144" s="77">
        <f t="shared" si="47"/>
        <v>0</v>
      </c>
      <c r="CN144" s="77">
        <f t="shared" si="47"/>
        <v>0</v>
      </c>
      <c r="CO144" s="77">
        <f t="shared" si="47"/>
        <v>0</v>
      </c>
      <c r="CP144" s="77">
        <f t="shared" si="47"/>
        <v>0</v>
      </c>
      <c r="CQ144" s="77">
        <f t="shared" si="47"/>
        <v>0</v>
      </c>
      <c r="CR144" s="77">
        <f t="shared" si="47"/>
        <v>0</v>
      </c>
      <c r="CS144" s="77">
        <f t="shared" si="47"/>
        <v>0</v>
      </c>
      <c r="CT144" s="77">
        <f t="shared" si="47"/>
        <v>1</v>
      </c>
      <c r="CU144" s="77">
        <f t="shared" si="47"/>
        <v>0</v>
      </c>
      <c r="CV144" s="77">
        <f t="shared" si="47"/>
        <v>0</v>
      </c>
      <c r="CW144" s="77">
        <f t="shared" si="47"/>
        <v>0</v>
      </c>
      <c r="CX144" s="77">
        <f t="shared" si="47"/>
        <v>0</v>
      </c>
      <c r="CY144" s="77">
        <f t="shared" si="47"/>
        <v>0</v>
      </c>
      <c r="CZ144" s="77">
        <f t="shared" si="47"/>
        <v>0</v>
      </c>
      <c r="DA144" s="77">
        <f t="shared" si="47"/>
        <v>0</v>
      </c>
      <c r="DB144" s="77">
        <f t="shared" si="47"/>
        <v>0</v>
      </c>
      <c r="DC144" s="77">
        <f t="shared" si="47"/>
        <v>0</v>
      </c>
      <c r="DD144" s="77">
        <f t="shared" si="47"/>
        <v>0</v>
      </c>
      <c r="DE144" s="77">
        <f t="shared" si="47"/>
        <v>0</v>
      </c>
      <c r="DF144" s="77">
        <f t="shared" si="47"/>
        <v>0</v>
      </c>
      <c r="DG144" s="77">
        <f t="shared" si="47"/>
        <v>0</v>
      </c>
      <c r="DH144" s="77">
        <f t="shared" si="47"/>
        <v>0</v>
      </c>
      <c r="DI144" s="77">
        <f t="shared" si="47"/>
        <v>0</v>
      </c>
      <c r="DJ144" s="77">
        <f t="shared" si="47"/>
        <v>0</v>
      </c>
      <c r="DK144" s="77">
        <f t="shared" si="47"/>
        <v>0</v>
      </c>
      <c r="DL144" s="77">
        <f t="shared" si="47"/>
        <v>0</v>
      </c>
      <c r="DM144" s="77">
        <f t="shared" si="47"/>
        <v>1</v>
      </c>
      <c r="DN144" s="77">
        <f t="shared" si="47"/>
        <v>0</v>
      </c>
      <c r="DO144" s="77">
        <f t="shared" si="47"/>
        <v>0</v>
      </c>
      <c r="DP144" s="77">
        <f t="shared" si="47"/>
        <v>1</v>
      </c>
      <c r="DQ144" s="77">
        <f t="shared" si="47"/>
        <v>0</v>
      </c>
      <c r="DR144" s="77">
        <f t="shared" si="47"/>
        <v>0</v>
      </c>
      <c r="DS144" s="77">
        <f t="shared" si="47"/>
        <v>0</v>
      </c>
      <c r="DT144" s="77">
        <f t="shared" si="47"/>
        <v>0</v>
      </c>
      <c r="DU144" s="77">
        <f t="shared" si="47"/>
        <v>0</v>
      </c>
      <c r="DV144" s="77">
        <f t="shared" si="47"/>
        <v>0</v>
      </c>
      <c r="DW144" s="77">
        <f t="shared" si="47"/>
        <v>0</v>
      </c>
      <c r="DX144" s="77">
        <f t="shared" si="47"/>
        <v>0</v>
      </c>
      <c r="DY144" s="77">
        <f t="shared" si="47"/>
        <v>0</v>
      </c>
      <c r="DZ144" s="77">
        <f t="shared" si="46"/>
        <v>0</v>
      </c>
      <c r="EA144" s="77">
        <f t="shared" si="45"/>
        <v>0</v>
      </c>
      <c r="EB144" s="77">
        <f t="shared" si="45"/>
        <v>0</v>
      </c>
      <c r="EC144" s="77">
        <f t="shared" si="45"/>
        <v>0</v>
      </c>
      <c r="ED144" s="77">
        <f t="shared" si="45"/>
        <v>0</v>
      </c>
      <c r="EE144" s="77">
        <f t="shared" si="45"/>
        <v>0</v>
      </c>
      <c r="EF144" s="77">
        <f t="shared" si="45"/>
        <v>0</v>
      </c>
      <c r="EG144" s="77">
        <f t="shared" si="45"/>
        <v>0</v>
      </c>
      <c r="EH144" s="77">
        <f t="shared" si="45"/>
        <v>0</v>
      </c>
      <c r="EI144" s="77">
        <f t="shared" si="45"/>
        <v>0</v>
      </c>
      <c r="EJ144" s="77">
        <f t="shared" si="45"/>
        <v>0</v>
      </c>
      <c r="EK144" s="77">
        <f t="shared" si="45"/>
        <v>0</v>
      </c>
      <c r="EL144" s="77">
        <f t="shared" si="45"/>
        <v>0</v>
      </c>
      <c r="EM144" s="77">
        <f t="shared" si="45"/>
        <v>0</v>
      </c>
      <c r="EN144" s="77">
        <f t="shared" si="45"/>
        <v>0</v>
      </c>
      <c r="EO144" s="77">
        <f t="shared" si="45"/>
        <v>0</v>
      </c>
      <c r="EP144" s="77">
        <f t="shared" si="45"/>
        <v>0</v>
      </c>
      <c r="EQ144" s="77">
        <f t="shared" si="45"/>
        <v>0</v>
      </c>
      <c r="ER144" s="77">
        <f t="shared" si="45"/>
        <v>0</v>
      </c>
      <c r="ES144" s="77">
        <f t="shared" si="45"/>
        <v>1</v>
      </c>
    </row>
    <row r="145" spans="1:149" x14ac:dyDescent="0.3">
      <c r="A145" s="37" t="s">
        <v>16</v>
      </c>
      <c r="B145" s="77">
        <f t="shared" si="43"/>
        <v>1</v>
      </c>
      <c r="C145" s="77">
        <f t="shared" si="48"/>
        <v>0</v>
      </c>
      <c r="D145" s="77">
        <f t="shared" si="48"/>
        <v>0</v>
      </c>
      <c r="E145" s="77">
        <f t="shared" si="48"/>
        <v>0</v>
      </c>
      <c r="F145" s="77">
        <f t="shared" si="48"/>
        <v>1</v>
      </c>
      <c r="G145" s="77">
        <f t="shared" si="48"/>
        <v>0</v>
      </c>
      <c r="H145" s="77">
        <f t="shared" si="48"/>
        <v>1</v>
      </c>
      <c r="I145" s="77">
        <f t="shared" si="48"/>
        <v>1</v>
      </c>
      <c r="J145" s="77">
        <f t="shared" si="48"/>
        <v>0</v>
      </c>
      <c r="K145" s="77">
        <f t="shared" si="48"/>
        <v>0</v>
      </c>
      <c r="L145" s="77">
        <f t="shared" si="48"/>
        <v>0</v>
      </c>
      <c r="M145" s="77">
        <f t="shared" si="48"/>
        <v>0</v>
      </c>
      <c r="N145" s="77">
        <f t="shared" si="48"/>
        <v>0</v>
      </c>
      <c r="O145" s="77">
        <f t="shared" si="48"/>
        <v>0</v>
      </c>
      <c r="P145" s="77">
        <f t="shared" si="48"/>
        <v>1</v>
      </c>
      <c r="Q145" s="77">
        <f t="shared" si="48"/>
        <v>0</v>
      </c>
      <c r="R145" s="77">
        <f t="shared" si="48"/>
        <v>0</v>
      </c>
      <c r="S145" s="77">
        <f t="shared" si="48"/>
        <v>0</v>
      </c>
      <c r="T145" s="77">
        <f t="shared" si="48"/>
        <v>1</v>
      </c>
      <c r="U145" s="77">
        <f t="shared" si="48"/>
        <v>0</v>
      </c>
      <c r="V145" s="77">
        <f t="shared" si="48"/>
        <v>0</v>
      </c>
      <c r="W145" s="77">
        <f t="shared" si="48"/>
        <v>1</v>
      </c>
      <c r="X145" s="77">
        <f t="shared" si="48"/>
        <v>0</v>
      </c>
      <c r="Y145" s="77">
        <f t="shared" si="48"/>
        <v>1</v>
      </c>
      <c r="Z145" s="77">
        <f t="shared" si="48"/>
        <v>0</v>
      </c>
      <c r="AA145" s="77">
        <f t="shared" si="48"/>
        <v>1</v>
      </c>
      <c r="AB145" s="77">
        <f t="shared" si="48"/>
        <v>0</v>
      </c>
      <c r="AC145" s="77">
        <f t="shared" si="48"/>
        <v>0</v>
      </c>
      <c r="AD145" s="77">
        <f t="shared" si="48"/>
        <v>0</v>
      </c>
      <c r="AE145" s="77">
        <f t="shared" si="48"/>
        <v>1</v>
      </c>
      <c r="AF145" s="77">
        <f t="shared" si="48"/>
        <v>0</v>
      </c>
      <c r="AG145" s="77">
        <f t="shared" si="48"/>
        <v>0</v>
      </c>
      <c r="AH145" s="77">
        <f t="shared" si="48"/>
        <v>0</v>
      </c>
      <c r="AI145" s="77">
        <f t="shared" si="48"/>
        <v>0</v>
      </c>
      <c r="AJ145" s="77">
        <f t="shared" si="48"/>
        <v>0</v>
      </c>
      <c r="AK145" s="77">
        <f t="shared" si="48"/>
        <v>0</v>
      </c>
      <c r="AL145" s="77">
        <f t="shared" si="48"/>
        <v>0</v>
      </c>
      <c r="AM145" s="77">
        <f t="shared" si="48"/>
        <v>0</v>
      </c>
      <c r="AN145" s="77">
        <f t="shared" si="48"/>
        <v>0</v>
      </c>
      <c r="AO145" s="77">
        <f t="shared" si="48"/>
        <v>1</v>
      </c>
      <c r="AP145" s="77">
        <f t="shared" si="48"/>
        <v>0</v>
      </c>
      <c r="AQ145" s="77">
        <f t="shared" si="48"/>
        <v>0</v>
      </c>
      <c r="AR145" s="77">
        <f t="shared" si="48"/>
        <v>0</v>
      </c>
      <c r="AS145" s="77">
        <f t="shared" si="48"/>
        <v>0</v>
      </c>
      <c r="AT145" s="77">
        <f t="shared" si="48"/>
        <v>0</v>
      </c>
      <c r="AU145" s="77">
        <f t="shared" si="48"/>
        <v>1</v>
      </c>
      <c r="AV145" s="77">
        <f t="shared" si="48"/>
        <v>0</v>
      </c>
      <c r="AW145" s="77">
        <f t="shared" si="48"/>
        <v>1</v>
      </c>
      <c r="AX145" s="77">
        <f t="shared" si="48"/>
        <v>0</v>
      </c>
      <c r="AY145" s="77">
        <f t="shared" si="48"/>
        <v>1</v>
      </c>
      <c r="AZ145" s="77">
        <f t="shared" si="48"/>
        <v>0</v>
      </c>
      <c r="BA145" s="77">
        <f t="shared" si="48"/>
        <v>1</v>
      </c>
      <c r="BB145" s="77">
        <f t="shared" si="48"/>
        <v>0</v>
      </c>
      <c r="BC145" s="77">
        <f t="shared" si="48"/>
        <v>0</v>
      </c>
      <c r="BD145" s="77">
        <f t="shared" si="48"/>
        <v>1</v>
      </c>
      <c r="BE145" s="77">
        <f t="shared" si="48"/>
        <v>0</v>
      </c>
      <c r="BF145" s="77">
        <f t="shared" si="48"/>
        <v>1</v>
      </c>
      <c r="BG145" s="77">
        <f t="shared" si="48"/>
        <v>0</v>
      </c>
      <c r="BH145" s="77">
        <f t="shared" si="48"/>
        <v>1</v>
      </c>
      <c r="BI145" s="77">
        <f t="shared" si="48"/>
        <v>1</v>
      </c>
      <c r="BJ145" s="77">
        <f t="shared" si="48"/>
        <v>0</v>
      </c>
      <c r="BK145" s="77">
        <f t="shared" si="48"/>
        <v>1</v>
      </c>
      <c r="BL145" s="77">
        <f t="shared" si="48"/>
        <v>0</v>
      </c>
      <c r="BM145" s="77">
        <f t="shared" si="48"/>
        <v>0</v>
      </c>
      <c r="BN145" s="77">
        <f t="shared" si="48"/>
        <v>0</v>
      </c>
      <c r="BO145" s="77">
        <f t="shared" si="47"/>
        <v>0</v>
      </c>
      <c r="BP145" s="77">
        <f t="shared" si="47"/>
        <v>0</v>
      </c>
      <c r="BQ145" s="77">
        <f t="shared" si="47"/>
        <v>1</v>
      </c>
      <c r="BR145" s="77">
        <f t="shared" si="47"/>
        <v>1</v>
      </c>
      <c r="BS145" s="77">
        <f t="shared" si="47"/>
        <v>0</v>
      </c>
      <c r="BT145" s="77">
        <f t="shared" si="47"/>
        <v>1</v>
      </c>
      <c r="BU145" s="77">
        <f t="shared" si="47"/>
        <v>1</v>
      </c>
      <c r="BV145" s="77">
        <f t="shared" si="47"/>
        <v>0</v>
      </c>
      <c r="BW145" s="77">
        <f t="shared" si="47"/>
        <v>0</v>
      </c>
      <c r="BX145" s="77">
        <f t="shared" si="47"/>
        <v>0</v>
      </c>
      <c r="BY145" s="77">
        <f t="shared" si="47"/>
        <v>1</v>
      </c>
      <c r="BZ145" s="77">
        <f t="shared" si="47"/>
        <v>0</v>
      </c>
      <c r="CA145" s="77">
        <f t="shared" si="47"/>
        <v>1</v>
      </c>
      <c r="CB145" s="77">
        <f t="shared" si="47"/>
        <v>0</v>
      </c>
      <c r="CC145" s="77">
        <f t="shared" si="47"/>
        <v>1</v>
      </c>
      <c r="CD145" s="77">
        <f t="shared" si="47"/>
        <v>1</v>
      </c>
      <c r="CE145" s="77">
        <f t="shared" si="47"/>
        <v>0</v>
      </c>
      <c r="CF145" s="77">
        <f t="shared" si="47"/>
        <v>0</v>
      </c>
      <c r="CG145" s="77">
        <f t="shared" si="47"/>
        <v>0</v>
      </c>
      <c r="CH145" s="77">
        <f t="shared" si="47"/>
        <v>0</v>
      </c>
      <c r="CI145" s="77">
        <f t="shared" si="47"/>
        <v>1</v>
      </c>
      <c r="CJ145" s="77">
        <f t="shared" si="47"/>
        <v>0</v>
      </c>
      <c r="CK145" s="77">
        <f t="shared" si="47"/>
        <v>1</v>
      </c>
      <c r="CL145" s="77">
        <f t="shared" si="47"/>
        <v>1</v>
      </c>
      <c r="CM145" s="77">
        <f t="shared" si="47"/>
        <v>0</v>
      </c>
      <c r="CN145" s="77">
        <f t="shared" si="47"/>
        <v>1</v>
      </c>
      <c r="CO145" s="77">
        <f t="shared" si="47"/>
        <v>0</v>
      </c>
      <c r="CP145" s="77">
        <f t="shared" si="47"/>
        <v>0</v>
      </c>
      <c r="CQ145" s="77">
        <f t="shared" si="47"/>
        <v>0</v>
      </c>
      <c r="CR145" s="77">
        <f t="shared" si="47"/>
        <v>1</v>
      </c>
      <c r="CS145" s="77">
        <f t="shared" si="47"/>
        <v>0</v>
      </c>
      <c r="CT145" s="77">
        <f t="shared" si="47"/>
        <v>0</v>
      </c>
      <c r="CU145" s="77">
        <f t="shared" si="47"/>
        <v>1</v>
      </c>
      <c r="CV145" s="77">
        <f t="shared" si="47"/>
        <v>1</v>
      </c>
      <c r="CW145" s="77">
        <f t="shared" si="47"/>
        <v>0</v>
      </c>
      <c r="CX145" s="77">
        <f t="shared" si="47"/>
        <v>0</v>
      </c>
      <c r="CY145" s="77">
        <f t="shared" si="47"/>
        <v>1</v>
      </c>
      <c r="CZ145" s="77">
        <f t="shared" si="47"/>
        <v>0</v>
      </c>
      <c r="DA145" s="77">
        <f t="shared" si="47"/>
        <v>0</v>
      </c>
      <c r="DB145" s="77">
        <f t="shared" si="47"/>
        <v>0</v>
      </c>
      <c r="DC145" s="77">
        <f t="shared" si="47"/>
        <v>0</v>
      </c>
      <c r="DD145" s="77">
        <f t="shared" si="47"/>
        <v>0</v>
      </c>
      <c r="DE145" s="77">
        <f t="shared" si="47"/>
        <v>0</v>
      </c>
      <c r="DF145" s="77">
        <f t="shared" si="47"/>
        <v>0</v>
      </c>
      <c r="DG145" s="77">
        <f t="shared" si="47"/>
        <v>0</v>
      </c>
      <c r="DH145" s="77">
        <f t="shared" si="47"/>
        <v>0</v>
      </c>
      <c r="DI145" s="77">
        <f t="shared" si="47"/>
        <v>1</v>
      </c>
      <c r="DJ145" s="77">
        <f t="shared" si="47"/>
        <v>0</v>
      </c>
      <c r="DK145" s="77">
        <f t="shared" si="47"/>
        <v>0</v>
      </c>
      <c r="DL145" s="77">
        <f t="shared" si="47"/>
        <v>0</v>
      </c>
      <c r="DM145" s="77">
        <f t="shared" si="47"/>
        <v>0</v>
      </c>
      <c r="DN145" s="77">
        <f t="shared" si="47"/>
        <v>0</v>
      </c>
      <c r="DO145" s="77">
        <f t="shared" si="47"/>
        <v>0</v>
      </c>
      <c r="DP145" s="77">
        <f t="shared" si="47"/>
        <v>0</v>
      </c>
      <c r="DQ145" s="77">
        <f t="shared" si="47"/>
        <v>1</v>
      </c>
      <c r="DR145" s="77">
        <f t="shared" si="47"/>
        <v>1</v>
      </c>
      <c r="DS145" s="77">
        <f t="shared" si="47"/>
        <v>1</v>
      </c>
      <c r="DT145" s="77">
        <f t="shared" si="47"/>
        <v>0</v>
      </c>
      <c r="DU145" s="77">
        <f t="shared" si="47"/>
        <v>0</v>
      </c>
      <c r="DV145" s="77">
        <f t="shared" si="47"/>
        <v>0</v>
      </c>
      <c r="DW145" s="77">
        <f t="shared" si="47"/>
        <v>0</v>
      </c>
      <c r="DX145" s="77">
        <f t="shared" si="47"/>
        <v>0</v>
      </c>
      <c r="DY145" s="77">
        <f t="shared" si="47"/>
        <v>1</v>
      </c>
      <c r="DZ145" s="77">
        <f t="shared" si="46"/>
        <v>0</v>
      </c>
      <c r="EA145" s="77">
        <f t="shared" si="45"/>
        <v>0</v>
      </c>
      <c r="EB145" s="77">
        <f t="shared" si="45"/>
        <v>0</v>
      </c>
      <c r="EC145" s="77">
        <f t="shared" si="45"/>
        <v>0</v>
      </c>
      <c r="ED145" s="77">
        <f t="shared" si="45"/>
        <v>0</v>
      </c>
      <c r="EE145" s="77">
        <f t="shared" si="45"/>
        <v>0</v>
      </c>
      <c r="EF145" s="77">
        <f t="shared" si="45"/>
        <v>1</v>
      </c>
      <c r="EG145" s="77">
        <f t="shared" si="45"/>
        <v>1</v>
      </c>
      <c r="EH145" s="77">
        <f t="shared" si="45"/>
        <v>0</v>
      </c>
      <c r="EI145" s="77">
        <f t="shared" si="45"/>
        <v>0</v>
      </c>
      <c r="EJ145" s="77">
        <f t="shared" si="45"/>
        <v>0</v>
      </c>
      <c r="EK145" s="77">
        <f t="shared" si="45"/>
        <v>0</v>
      </c>
      <c r="EL145" s="77">
        <f t="shared" si="45"/>
        <v>0</v>
      </c>
      <c r="EM145" s="77">
        <f t="shared" si="45"/>
        <v>0</v>
      </c>
      <c r="EN145" s="77">
        <f t="shared" si="45"/>
        <v>0</v>
      </c>
      <c r="EO145" s="77">
        <f t="shared" si="45"/>
        <v>0</v>
      </c>
      <c r="EP145" s="77">
        <f t="shared" si="45"/>
        <v>0</v>
      </c>
      <c r="EQ145" s="77">
        <f t="shared" si="45"/>
        <v>0</v>
      </c>
      <c r="ER145" s="77">
        <f t="shared" si="45"/>
        <v>0</v>
      </c>
      <c r="ES145" s="77">
        <f t="shared" si="45"/>
        <v>0</v>
      </c>
    </row>
    <row r="146" spans="1:149" x14ac:dyDescent="0.3">
      <c r="A146" s="37" t="s">
        <v>17</v>
      </c>
      <c r="B146" s="77">
        <f t="shared" si="43"/>
        <v>1</v>
      </c>
      <c r="C146" s="77">
        <f t="shared" si="48"/>
        <v>0</v>
      </c>
      <c r="D146" s="77">
        <f t="shared" si="48"/>
        <v>0</v>
      </c>
      <c r="E146" s="77">
        <f t="shared" si="48"/>
        <v>0</v>
      </c>
      <c r="F146" s="77">
        <f t="shared" si="48"/>
        <v>1</v>
      </c>
      <c r="G146" s="77">
        <f t="shared" si="48"/>
        <v>0</v>
      </c>
      <c r="H146" s="77">
        <f t="shared" si="48"/>
        <v>1</v>
      </c>
      <c r="I146" s="77">
        <f t="shared" si="48"/>
        <v>1</v>
      </c>
      <c r="J146" s="77">
        <f t="shared" si="48"/>
        <v>0</v>
      </c>
      <c r="K146" s="77">
        <f t="shared" si="48"/>
        <v>0</v>
      </c>
      <c r="L146" s="77">
        <f t="shared" si="48"/>
        <v>0</v>
      </c>
      <c r="M146" s="77">
        <f t="shared" si="48"/>
        <v>0</v>
      </c>
      <c r="N146" s="77">
        <f t="shared" si="48"/>
        <v>0</v>
      </c>
      <c r="O146" s="77">
        <f t="shared" si="48"/>
        <v>0</v>
      </c>
      <c r="P146" s="77">
        <f t="shared" si="48"/>
        <v>1</v>
      </c>
      <c r="Q146" s="77">
        <f t="shared" si="48"/>
        <v>0</v>
      </c>
      <c r="R146" s="77">
        <f t="shared" si="48"/>
        <v>0</v>
      </c>
      <c r="S146" s="77">
        <f t="shared" si="48"/>
        <v>0</v>
      </c>
      <c r="T146" s="77">
        <f t="shared" si="48"/>
        <v>0</v>
      </c>
      <c r="U146" s="77">
        <f t="shared" si="48"/>
        <v>0</v>
      </c>
      <c r="V146" s="77">
        <f t="shared" si="48"/>
        <v>0</v>
      </c>
      <c r="W146" s="77">
        <f t="shared" si="48"/>
        <v>1</v>
      </c>
      <c r="X146" s="77">
        <f t="shared" si="48"/>
        <v>0</v>
      </c>
      <c r="Y146" s="77">
        <f t="shared" si="48"/>
        <v>1</v>
      </c>
      <c r="Z146" s="77">
        <f t="shared" si="48"/>
        <v>0</v>
      </c>
      <c r="AA146" s="77">
        <f t="shared" si="48"/>
        <v>1</v>
      </c>
      <c r="AB146" s="77">
        <f t="shared" si="48"/>
        <v>0</v>
      </c>
      <c r="AC146" s="77">
        <f t="shared" si="48"/>
        <v>0</v>
      </c>
      <c r="AD146" s="77">
        <f t="shared" si="48"/>
        <v>0</v>
      </c>
      <c r="AE146" s="77">
        <f t="shared" si="48"/>
        <v>1</v>
      </c>
      <c r="AF146" s="77">
        <f t="shared" si="48"/>
        <v>0</v>
      </c>
      <c r="AG146" s="77">
        <f t="shared" si="48"/>
        <v>0</v>
      </c>
      <c r="AH146" s="77">
        <f t="shared" si="48"/>
        <v>0</v>
      </c>
      <c r="AI146" s="77">
        <f t="shared" si="48"/>
        <v>0</v>
      </c>
      <c r="AJ146" s="77">
        <f t="shared" si="48"/>
        <v>0</v>
      </c>
      <c r="AK146" s="77">
        <f t="shared" si="48"/>
        <v>0</v>
      </c>
      <c r="AL146" s="77">
        <f t="shared" si="48"/>
        <v>0</v>
      </c>
      <c r="AM146" s="77">
        <f t="shared" si="48"/>
        <v>0</v>
      </c>
      <c r="AN146" s="77">
        <f t="shared" si="48"/>
        <v>0</v>
      </c>
      <c r="AO146" s="77">
        <f t="shared" si="48"/>
        <v>1</v>
      </c>
      <c r="AP146" s="77">
        <f t="shared" si="48"/>
        <v>0</v>
      </c>
      <c r="AQ146" s="77">
        <f t="shared" si="48"/>
        <v>0</v>
      </c>
      <c r="AR146" s="77">
        <f t="shared" si="48"/>
        <v>0</v>
      </c>
      <c r="AS146" s="77">
        <f t="shared" si="48"/>
        <v>0</v>
      </c>
      <c r="AT146" s="77">
        <f t="shared" si="48"/>
        <v>0</v>
      </c>
      <c r="AU146" s="77">
        <f t="shared" si="48"/>
        <v>1</v>
      </c>
      <c r="AV146" s="77">
        <f t="shared" si="48"/>
        <v>0</v>
      </c>
      <c r="AW146" s="77">
        <f t="shared" si="48"/>
        <v>1</v>
      </c>
      <c r="AX146" s="77">
        <f t="shared" si="48"/>
        <v>0</v>
      </c>
      <c r="AY146" s="77">
        <f t="shared" si="48"/>
        <v>1</v>
      </c>
      <c r="AZ146" s="77">
        <f t="shared" si="48"/>
        <v>0</v>
      </c>
      <c r="BA146" s="77">
        <f t="shared" si="48"/>
        <v>1</v>
      </c>
      <c r="BB146" s="77">
        <f t="shared" si="48"/>
        <v>0</v>
      </c>
      <c r="BC146" s="77">
        <f t="shared" si="48"/>
        <v>0</v>
      </c>
      <c r="BD146" s="77">
        <f t="shared" si="48"/>
        <v>1</v>
      </c>
      <c r="BE146" s="77">
        <f t="shared" si="48"/>
        <v>0</v>
      </c>
      <c r="BF146" s="77">
        <f t="shared" si="48"/>
        <v>1</v>
      </c>
      <c r="BG146" s="77">
        <f t="shared" si="48"/>
        <v>0</v>
      </c>
      <c r="BH146" s="77">
        <f t="shared" si="48"/>
        <v>1</v>
      </c>
      <c r="BI146" s="77">
        <f t="shared" si="48"/>
        <v>1</v>
      </c>
      <c r="BJ146" s="77">
        <f t="shared" si="48"/>
        <v>0</v>
      </c>
      <c r="BK146" s="77">
        <f t="shared" si="48"/>
        <v>1</v>
      </c>
      <c r="BL146" s="77">
        <f t="shared" si="48"/>
        <v>0</v>
      </c>
      <c r="BM146" s="77">
        <f t="shared" si="48"/>
        <v>0</v>
      </c>
      <c r="BN146" s="77">
        <f t="shared" si="48"/>
        <v>0</v>
      </c>
      <c r="BO146" s="77">
        <f t="shared" si="47"/>
        <v>0</v>
      </c>
      <c r="BP146" s="77">
        <f t="shared" si="47"/>
        <v>0</v>
      </c>
      <c r="BQ146" s="77">
        <f t="shared" si="47"/>
        <v>1</v>
      </c>
      <c r="BR146" s="77">
        <f t="shared" si="47"/>
        <v>1</v>
      </c>
      <c r="BS146" s="77">
        <f t="shared" si="47"/>
        <v>0</v>
      </c>
      <c r="BT146" s="77">
        <f t="shared" si="47"/>
        <v>1</v>
      </c>
      <c r="BU146" s="77">
        <f t="shared" si="47"/>
        <v>1</v>
      </c>
      <c r="BV146" s="77">
        <f t="shared" si="47"/>
        <v>0</v>
      </c>
      <c r="BW146" s="77">
        <f t="shared" si="47"/>
        <v>0</v>
      </c>
      <c r="BX146" s="77">
        <f t="shared" si="47"/>
        <v>0</v>
      </c>
      <c r="BY146" s="77">
        <f t="shared" si="47"/>
        <v>1</v>
      </c>
      <c r="BZ146" s="77">
        <f t="shared" si="47"/>
        <v>0</v>
      </c>
      <c r="CA146" s="77">
        <f t="shared" si="47"/>
        <v>1</v>
      </c>
      <c r="CB146" s="77">
        <f t="shared" si="47"/>
        <v>0</v>
      </c>
      <c r="CC146" s="77">
        <f t="shared" si="47"/>
        <v>1</v>
      </c>
      <c r="CD146" s="77">
        <f t="shared" si="47"/>
        <v>1</v>
      </c>
      <c r="CE146" s="77">
        <f t="shared" si="47"/>
        <v>0</v>
      </c>
      <c r="CF146" s="77">
        <f t="shared" si="47"/>
        <v>0</v>
      </c>
      <c r="CG146" s="77">
        <f t="shared" si="47"/>
        <v>0</v>
      </c>
      <c r="CH146" s="77">
        <f t="shared" si="47"/>
        <v>0</v>
      </c>
      <c r="CI146" s="77">
        <f t="shared" si="47"/>
        <v>1</v>
      </c>
      <c r="CJ146" s="77">
        <f t="shared" si="47"/>
        <v>0</v>
      </c>
      <c r="CK146" s="77">
        <f t="shared" si="47"/>
        <v>1</v>
      </c>
      <c r="CL146" s="77">
        <f t="shared" si="47"/>
        <v>1</v>
      </c>
      <c r="CM146" s="77">
        <f t="shared" si="47"/>
        <v>0</v>
      </c>
      <c r="CN146" s="77">
        <f t="shared" si="47"/>
        <v>1</v>
      </c>
      <c r="CO146" s="77">
        <f t="shared" si="47"/>
        <v>0</v>
      </c>
      <c r="CP146" s="77">
        <f t="shared" si="47"/>
        <v>0</v>
      </c>
      <c r="CQ146" s="77">
        <f t="shared" si="47"/>
        <v>0</v>
      </c>
      <c r="CR146" s="77">
        <f t="shared" si="47"/>
        <v>1</v>
      </c>
      <c r="CS146" s="77">
        <f t="shared" si="47"/>
        <v>0</v>
      </c>
      <c r="CT146" s="77">
        <f t="shared" si="47"/>
        <v>0</v>
      </c>
      <c r="CU146" s="77">
        <f t="shared" si="47"/>
        <v>1</v>
      </c>
      <c r="CV146" s="77">
        <f t="shared" si="47"/>
        <v>1</v>
      </c>
      <c r="CW146" s="77">
        <f t="shared" si="47"/>
        <v>0</v>
      </c>
      <c r="CX146" s="77">
        <f t="shared" si="47"/>
        <v>0</v>
      </c>
      <c r="CY146" s="77">
        <f t="shared" si="47"/>
        <v>1</v>
      </c>
      <c r="CZ146" s="77">
        <f t="shared" si="47"/>
        <v>0</v>
      </c>
      <c r="DA146" s="77">
        <f t="shared" si="47"/>
        <v>0</v>
      </c>
      <c r="DB146" s="77">
        <f t="shared" si="47"/>
        <v>0</v>
      </c>
      <c r="DC146" s="77">
        <f t="shared" si="47"/>
        <v>0</v>
      </c>
      <c r="DD146" s="77">
        <f t="shared" si="47"/>
        <v>0</v>
      </c>
      <c r="DE146" s="77">
        <f t="shared" si="47"/>
        <v>0</v>
      </c>
      <c r="DF146" s="77">
        <f t="shared" si="47"/>
        <v>0</v>
      </c>
      <c r="DG146" s="77">
        <f t="shared" si="47"/>
        <v>0</v>
      </c>
      <c r="DH146" s="77">
        <f t="shared" si="47"/>
        <v>0</v>
      </c>
      <c r="DI146" s="77">
        <f t="shared" si="47"/>
        <v>1</v>
      </c>
      <c r="DJ146" s="77">
        <f t="shared" si="47"/>
        <v>0</v>
      </c>
      <c r="DK146" s="77">
        <f t="shared" si="47"/>
        <v>0</v>
      </c>
      <c r="DL146" s="77">
        <f t="shared" si="47"/>
        <v>0</v>
      </c>
      <c r="DM146" s="77">
        <f t="shared" si="47"/>
        <v>0</v>
      </c>
      <c r="DN146" s="77">
        <f t="shared" si="47"/>
        <v>0</v>
      </c>
      <c r="DO146" s="77">
        <f t="shared" si="47"/>
        <v>0</v>
      </c>
      <c r="DP146" s="77">
        <f t="shared" si="47"/>
        <v>0</v>
      </c>
      <c r="DQ146" s="77">
        <f t="shared" si="47"/>
        <v>1</v>
      </c>
      <c r="DR146" s="77">
        <f t="shared" si="47"/>
        <v>1</v>
      </c>
      <c r="DS146" s="77">
        <f t="shared" si="47"/>
        <v>1</v>
      </c>
      <c r="DT146" s="77">
        <f t="shared" si="47"/>
        <v>0</v>
      </c>
      <c r="DU146" s="77">
        <f t="shared" si="47"/>
        <v>0</v>
      </c>
      <c r="DV146" s="77">
        <f t="shared" si="47"/>
        <v>0</v>
      </c>
      <c r="DW146" s="77">
        <f t="shared" si="47"/>
        <v>0</v>
      </c>
      <c r="DX146" s="77">
        <f t="shared" si="47"/>
        <v>0</v>
      </c>
      <c r="DY146" s="77">
        <f t="shared" si="47"/>
        <v>1</v>
      </c>
      <c r="DZ146" s="77">
        <f t="shared" si="46"/>
        <v>0</v>
      </c>
      <c r="EA146" s="77">
        <f t="shared" si="45"/>
        <v>0</v>
      </c>
      <c r="EB146" s="77">
        <f t="shared" si="45"/>
        <v>0</v>
      </c>
      <c r="EC146" s="77">
        <f t="shared" si="45"/>
        <v>0</v>
      </c>
      <c r="ED146" s="77">
        <f t="shared" si="45"/>
        <v>0</v>
      </c>
      <c r="EE146" s="77">
        <f t="shared" si="45"/>
        <v>0</v>
      </c>
      <c r="EF146" s="77">
        <f t="shared" si="45"/>
        <v>1</v>
      </c>
      <c r="EG146" s="77">
        <f t="shared" si="45"/>
        <v>1</v>
      </c>
      <c r="EH146" s="77">
        <f t="shared" si="45"/>
        <v>0</v>
      </c>
      <c r="EI146" s="77">
        <f t="shared" si="45"/>
        <v>0</v>
      </c>
      <c r="EJ146" s="77">
        <f t="shared" si="45"/>
        <v>0</v>
      </c>
      <c r="EK146" s="77">
        <f t="shared" si="45"/>
        <v>0</v>
      </c>
      <c r="EL146" s="77">
        <f t="shared" si="45"/>
        <v>0</v>
      </c>
      <c r="EM146" s="77">
        <f t="shared" si="45"/>
        <v>0</v>
      </c>
      <c r="EN146" s="77">
        <f t="shared" si="45"/>
        <v>0</v>
      </c>
      <c r="EO146" s="77">
        <f t="shared" si="45"/>
        <v>0</v>
      </c>
      <c r="EP146" s="77">
        <f t="shared" si="45"/>
        <v>0</v>
      </c>
      <c r="EQ146" s="77">
        <f t="shared" si="45"/>
        <v>0</v>
      </c>
      <c r="ER146" s="77">
        <f t="shared" si="45"/>
        <v>0</v>
      </c>
      <c r="ES146" s="77">
        <f t="shared" si="45"/>
        <v>0</v>
      </c>
    </row>
    <row r="147" spans="1:149" x14ac:dyDescent="0.3">
      <c r="A147" s="37" t="s">
        <v>29</v>
      </c>
      <c r="B147" s="77">
        <f t="shared" si="43"/>
        <v>0</v>
      </c>
      <c r="C147" s="77">
        <f t="shared" si="48"/>
        <v>0</v>
      </c>
      <c r="D147" s="77">
        <f t="shared" si="48"/>
        <v>0</v>
      </c>
      <c r="E147" s="77">
        <f t="shared" si="48"/>
        <v>0</v>
      </c>
      <c r="F147" s="77">
        <f t="shared" si="48"/>
        <v>0</v>
      </c>
      <c r="G147" s="77">
        <f t="shared" si="48"/>
        <v>0</v>
      </c>
      <c r="H147" s="77">
        <f t="shared" si="48"/>
        <v>0</v>
      </c>
      <c r="I147" s="77">
        <f t="shared" si="48"/>
        <v>0</v>
      </c>
      <c r="J147" s="77">
        <f t="shared" si="48"/>
        <v>0</v>
      </c>
      <c r="K147" s="77">
        <f t="shared" si="48"/>
        <v>0</v>
      </c>
      <c r="L147" s="77">
        <f t="shared" si="48"/>
        <v>0</v>
      </c>
      <c r="M147" s="77">
        <f t="shared" si="48"/>
        <v>0</v>
      </c>
      <c r="N147" s="77">
        <f t="shared" si="48"/>
        <v>0</v>
      </c>
      <c r="O147" s="77">
        <f t="shared" si="48"/>
        <v>0</v>
      </c>
      <c r="P147" s="77">
        <f t="shared" si="48"/>
        <v>0</v>
      </c>
      <c r="Q147" s="77">
        <f t="shared" si="48"/>
        <v>1</v>
      </c>
      <c r="R147" s="77">
        <f t="shared" si="48"/>
        <v>0</v>
      </c>
      <c r="S147" s="77">
        <f t="shared" si="48"/>
        <v>0</v>
      </c>
      <c r="T147" s="77">
        <f t="shared" si="48"/>
        <v>0</v>
      </c>
      <c r="U147" s="77">
        <f t="shared" si="48"/>
        <v>0</v>
      </c>
      <c r="V147" s="77">
        <f t="shared" si="48"/>
        <v>0</v>
      </c>
      <c r="W147" s="77">
        <f t="shared" si="48"/>
        <v>0</v>
      </c>
      <c r="X147" s="77">
        <f t="shared" si="48"/>
        <v>0</v>
      </c>
      <c r="Y147" s="77">
        <f t="shared" si="48"/>
        <v>0</v>
      </c>
      <c r="Z147" s="77">
        <f t="shared" si="48"/>
        <v>0</v>
      </c>
      <c r="AA147" s="77">
        <f t="shared" si="48"/>
        <v>0</v>
      </c>
      <c r="AB147" s="77">
        <f t="shared" si="48"/>
        <v>1</v>
      </c>
      <c r="AC147" s="77">
        <f t="shared" si="48"/>
        <v>0</v>
      </c>
      <c r="AD147" s="77">
        <f t="shared" si="48"/>
        <v>0</v>
      </c>
      <c r="AE147" s="77">
        <f t="shared" si="48"/>
        <v>0</v>
      </c>
      <c r="AF147" s="77">
        <f t="shared" si="48"/>
        <v>0</v>
      </c>
      <c r="AG147" s="77">
        <f t="shared" si="48"/>
        <v>0</v>
      </c>
      <c r="AH147" s="77">
        <f t="shared" si="48"/>
        <v>0</v>
      </c>
      <c r="AI147" s="77">
        <f t="shared" si="48"/>
        <v>0</v>
      </c>
      <c r="AJ147" s="77">
        <f t="shared" si="48"/>
        <v>0</v>
      </c>
      <c r="AK147" s="77">
        <f t="shared" si="48"/>
        <v>0</v>
      </c>
      <c r="AL147" s="77">
        <f t="shared" si="48"/>
        <v>0</v>
      </c>
      <c r="AM147" s="77">
        <f t="shared" si="48"/>
        <v>0</v>
      </c>
      <c r="AN147" s="77">
        <f t="shared" si="48"/>
        <v>0</v>
      </c>
      <c r="AO147" s="77">
        <f t="shared" si="48"/>
        <v>0</v>
      </c>
      <c r="AP147" s="77">
        <f t="shared" si="48"/>
        <v>0</v>
      </c>
      <c r="AQ147" s="77">
        <f t="shared" si="48"/>
        <v>0</v>
      </c>
      <c r="AR147" s="77">
        <f t="shared" si="48"/>
        <v>0</v>
      </c>
      <c r="AS147" s="77">
        <f t="shared" si="48"/>
        <v>0</v>
      </c>
      <c r="AT147" s="77">
        <f t="shared" si="48"/>
        <v>0</v>
      </c>
      <c r="AU147" s="77">
        <f t="shared" si="48"/>
        <v>0</v>
      </c>
      <c r="AV147" s="77">
        <f t="shared" si="48"/>
        <v>0</v>
      </c>
      <c r="AW147" s="77">
        <f t="shared" si="48"/>
        <v>0</v>
      </c>
      <c r="AX147" s="77">
        <f t="shared" si="48"/>
        <v>0</v>
      </c>
      <c r="AY147" s="77">
        <f t="shared" si="48"/>
        <v>0</v>
      </c>
      <c r="AZ147" s="77">
        <f t="shared" si="48"/>
        <v>0</v>
      </c>
      <c r="BA147" s="77">
        <f t="shared" si="48"/>
        <v>0</v>
      </c>
      <c r="BB147" s="77">
        <f t="shared" si="48"/>
        <v>0</v>
      </c>
      <c r="BC147" s="77">
        <f t="shared" si="48"/>
        <v>0</v>
      </c>
      <c r="BD147" s="77">
        <f t="shared" si="48"/>
        <v>0</v>
      </c>
      <c r="BE147" s="77">
        <f t="shared" si="48"/>
        <v>1</v>
      </c>
      <c r="BF147" s="77">
        <f t="shared" si="48"/>
        <v>0</v>
      </c>
      <c r="BG147" s="77">
        <f t="shared" si="48"/>
        <v>0</v>
      </c>
      <c r="BH147" s="77">
        <f t="shared" si="48"/>
        <v>0</v>
      </c>
      <c r="BI147" s="77">
        <f t="shared" si="48"/>
        <v>0</v>
      </c>
      <c r="BJ147" s="77">
        <f t="shared" si="48"/>
        <v>0</v>
      </c>
      <c r="BK147" s="77">
        <f t="shared" si="48"/>
        <v>0</v>
      </c>
      <c r="BL147" s="77">
        <f t="shared" si="48"/>
        <v>0</v>
      </c>
      <c r="BM147" s="77">
        <f t="shared" si="48"/>
        <v>0</v>
      </c>
      <c r="BN147" s="77">
        <f t="shared" ref="BN147:DY150" si="49">IF(BN28&lt;=$B$136,1,0)</f>
        <v>0</v>
      </c>
      <c r="BO147" s="77">
        <f t="shared" si="49"/>
        <v>0</v>
      </c>
      <c r="BP147" s="77">
        <f t="shared" si="49"/>
        <v>0</v>
      </c>
      <c r="BQ147" s="77">
        <f t="shared" si="49"/>
        <v>0</v>
      </c>
      <c r="BR147" s="77">
        <f t="shared" si="49"/>
        <v>0</v>
      </c>
      <c r="BS147" s="77">
        <f t="shared" si="49"/>
        <v>0</v>
      </c>
      <c r="BT147" s="77">
        <f t="shared" si="49"/>
        <v>0</v>
      </c>
      <c r="BU147" s="77">
        <f t="shared" si="49"/>
        <v>0</v>
      </c>
      <c r="BV147" s="77">
        <f t="shared" si="49"/>
        <v>0</v>
      </c>
      <c r="BW147" s="77">
        <f t="shared" si="49"/>
        <v>1</v>
      </c>
      <c r="BX147" s="77">
        <f t="shared" si="49"/>
        <v>0</v>
      </c>
      <c r="BY147" s="77">
        <f t="shared" si="49"/>
        <v>0</v>
      </c>
      <c r="BZ147" s="77">
        <f t="shared" si="49"/>
        <v>0</v>
      </c>
      <c r="CA147" s="77">
        <f t="shared" si="49"/>
        <v>0</v>
      </c>
      <c r="CB147" s="77">
        <f t="shared" si="49"/>
        <v>0</v>
      </c>
      <c r="CC147" s="77">
        <f t="shared" si="49"/>
        <v>0</v>
      </c>
      <c r="CD147" s="77">
        <f t="shared" si="49"/>
        <v>0</v>
      </c>
      <c r="CE147" s="77">
        <f t="shared" si="49"/>
        <v>0</v>
      </c>
      <c r="CF147" s="77">
        <f t="shared" si="49"/>
        <v>0</v>
      </c>
      <c r="CG147" s="77">
        <f t="shared" si="49"/>
        <v>0</v>
      </c>
      <c r="CH147" s="77">
        <f t="shared" si="49"/>
        <v>0</v>
      </c>
      <c r="CI147" s="77">
        <f t="shared" si="49"/>
        <v>0</v>
      </c>
      <c r="CJ147" s="77">
        <f t="shared" si="49"/>
        <v>0</v>
      </c>
      <c r="CK147" s="77">
        <f t="shared" si="49"/>
        <v>0</v>
      </c>
      <c r="CL147" s="77">
        <f t="shared" si="49"/>
        <v>0</v>
      </c>
      <c r="CM147" s="77">
        <f t="shared" si="49"/>
        <v>0</v>
      </c>
      <c r="CN147" s="77">
        <f t="shared" si="49"/>
        <v>0</v>
      </c>
      <c r="CO147" s="77">
        <f t="shared" si="49"/>
        <v>0</v>
      </c>
      <c r="CP147" s="77">
        <f t="shared" si="49"/>
        <v>0</v>
      </c>
      <c r="CQ147" s="77">
        <f t="shared" si="49"/>
        <v>0</v>
      </c>
      <c r="CR147" s="77">
        <f t="shared" si="49"/>
        <v>0</v>
      </c>
      <c r="CS147" s="77">
        <f t="shared" si="49"/>
        <v>0</v>
      </c>
      <c r="CT147" s="77">
        <f t="shared" si="49"/>
        <v>0</v>
      </c>
      <c r="CU147" s="77">
        <f t="shared" si="49"/>
        <v>0</v>
      </c>
      <c r="CV147" s="77">
        <f t="shared" si="49"/>
        <v>0</v>
      </c>
      <c r="CW147" s="77">
        <f t="shared" si="49"/>
        <v>0</v>
      </c>
      <c r="CX147" s="77">
        <f t="shared" si="49"/>
        <v>0</v>
      </c>
      <c r="CY147" s="77">
        <f t="shared" si="49"/>
        <v>0</v>
      </c>
      <c r="CZ147" s="77">
        <f t="shared" si="49"/>
        <v>0</v>
      </c>
      <c r="DA147" s="77">
        <f t="shared" si="49"/>
        <v>0</v>
      </c>
      <c r="DB147" s="77">
        <f t="shared" si="49"/>
        <v>1</v>
      </c>
      <c r="DC147" s="77">
        <f t="shared" si="49"/>
        <v>0</v>
      </c>
      <c r="DD147" s="77">
        <f t="shared" si="49"/>
        <v>0</v>
      </c>
      <c r="DE147" s="77">
        <f t="shared" si="49"/>
        <v>0</v>
      </c>
      <c r="DF147" s="77">
        <f t="shared" si="49"/>
        <v>0</v>
      </c>
      <c r="DG147" s="77">
        <f t="shared" si="49"/>
        <v>0</v>
      </c>
      <c r="DH147" s="77">
        <f t="shared" si="49"/>
        <v>0</v>
      </c>
      <c r="DI147" s="77">
        <f t="shared" si="49"/>
        <v>0</v>
      </c>
      <c r="DJ147" s="77">
        <f t="shared" si="49"/>
        <v>0</v>
      </c>
      <c r="DK147" s="77">
        <f t="shared" si="49"/>
        <v>0</v>
      </c>
      <c r="DL147" s="77">
        <f t="shared" si="49"/>
        <v>0</v>
      </c>
      <c r="DM147" s="77">
        <f t="shared" si="49"/>
        <v>0</v>
      </c>
      <c r="DN147" s="77">
        <f t="shared" si="49"/>
        <v>0</v>
      </c>
      <c r="DO147" s="77">
        <f t="shared" si="49"/>
        <v>0</v>
      </c>
      <c r="DP147" s="77">
        <f t="shared" si="49"/>
        <v>0</v>
      </c>
      <c r="DQ147" s="77">
        <f t="shared" si="49"/>
        <v>0</v>
      </c>
      <c r="DR147" s="77">
        <f t="shared" si="49"/>
        <v>0</v>
      </c>
      <c r="DS147" s="77">
        <f t="shared" si="49"/>
        <v>0</v>
      </c>
      <c r="DT147" s="77">
        <f t="shared" si="49"/>
        <v>0</v>
      </c>
      <c r="DU147" s="77">
        <f t="shared" si="49"/>
        <v>0</v>
      </c>
      <c r="DV147" s="77">
        <f t="shared" si="49"/>
        <v>0</v>
      </c>
      <c r="DW147" s="77">
        <f t="shared" si="49"/>
        <v>0</v>
      </c>
      <c r="DX147" s="77">
        <f t="shared" si="49"/>
        <v>0</v>
      </c>
      <c r="DY147" s="77">
        <f t="shared" si="49"/>
        <v>0</v>
      </c>
      <c r="DZ147" s="77">
        <f t="shared" si="46"/>
        <v>0</v>
      </c>
      <c r="EA147" s="77">
        <f t="shared" si="45"/>
        <v>0</v>
      </c>
      <c r="EB147" s="77">
        <f t="shared" si="45"/>
        <v>1</v>
      </c>
      <c r="EC147" s="77">
        <f t="shared" si="45"/>
        <v>0</v>
      </c>
      <c r="ED147" s="77">
        <f t="shared" si="45"/>
        <v>0</v>
      </c>
      <c r="EE147" s="77">
        <f t="shared" si="45"/>
        <v>0</v>
      </c>
      <c r="EF147" s="77">
        <f t="shared" si="45"/>
        <v>0</v>
      </c>
      <c r="EG147" s="77">
        <f t="shared" si="45"/>
        <v>0</v>
      </c>
      <c r="EH147" s="77">
        <f t="shared" si="45"/>
        <v>0</v>
      </c>
      <c r="EI147" s="77">
        <f t="shared" si="45"/>
        <v>0</v>
      </c>
      <c r="EJ147" s="77">
        <f t="shared" si="45"/>
        <v>0</v>
      </c>
      <c r="EK147" s="77">
        <f t="shared" si="45"/>
        <v>0</v>
      </c>
      <c r="EL147" s="77">
        <f t="shared" si="45"/>
        <v>0</v>
      </c>
      <c r="EM147" s="77">
        <f t="shared" si="45"/>
        <v>0</v>
      </c>
      <c r="EN147" s="77">
        <f t="shared" si="45"/>
        <v>0</v>
      </c>
      <c r="EO147" s="77">
        <f t="shared" si="45"/>
        <v>0</v>
      </c>
      <c r="EP147" s="77">
        <f t="shared" si="45"/>
        <v>0</v>
      </c>
      <c r="EQ147" s="77">
        <f t="shared" si="45"/>
        <v>0</v>
      </c>
      <c r="ER147" s="77">
        <f t="shared" si="45"/>
        <v>0</v>
      </c>
      <c r="ES147" s="77">
        <f t="shared" si="45"/>
        <v>0</v>
      </c>
    </row>
    <row r="148" spans="1:149" x14ac:dyDescent="0.3">
      <c r="A148" s="37" t="s">
        <v>22</v>
      </c>
      <c r="B148" s="77">
        <f t="shared" si="43"/>
        <v>0</v>
      </c>
      <c r="C148" s="77">
        <f t="shared" ref="C148:BN151" si="50">IF(C29&lt;=$B$136,1,0)</f>
        <v>0</v>
      </c>
      <c r="D148" s="77">
        <f t="shared" si="50"/>
        <v>0</v>
      </c>
      <c r="E148" s="77">
        <f t="shared" si="50"/>
        <v>0</v>
      </c>
      <c r="F148" s="77">
        <f t="shared" si="50"/>
        <v>0</v>
      </c>
      <c r="G148" s="77">
        <f t="shared" si="50"/>
        <v>0</v>
      </c>
      <c r="H148" s="77">
        <f t="shared" si="50"/>
        <v>0</v>
      </c>
      <c r="I148" s="77">
        <f t="shared" si="50"/>
        <v>0</v>
      </c>
      <c r="J148" s="77">
        <f t="shared" si="50"/>
        <v>0</v>
      </c>
      <c r="K148" s="77">
        <f t="shared" si="50"/>
        <v>0</v>
      </c>
      <c r="L148" s="77">
        <f t="shared" si="50"/>
        <v>0</v>
      </c>
      <c r="M148" s="77">
        <f t="shared" si="50"/>
        <v>0</v>
      </c>
      <c r="N148" s="77">
        <f t="shared" si="50"/>
        <v>0</v>
      </c>
      <c r="O148" s="77">
        <f t="shared" si="50"/>
        <v>1</v>
      </c>
      <c r="P148" s="77">
        <f t="shared" si="50"/>
        <v>0</v>
      </c>
      <c r="Q148" s="77">
        <f t="shared" si="50"/>
        <v>0</v>
      </c>
      <c r="R148" s="77">
        <f t="shared" si="50"/>
        <v>0</v>
      </c>
      <c r="S148" s="77">
        <f t="shared" si="50"/>
        <v>0</v>
      </c>
      <c r="T148" s="77">
        <f t="shared" si="50"/>
        <v>0</v>
      </c>
      <c r="U148" s="77">
        <f t="shared" si="50"/>
        <v>0</v>
      </c>
      <c r="V148" s="77">
        <f t="shared" si="50"/>
        <v>0</v>
      </c>
      <c r="W148" s="77">
        <f t="shared" si="50"/>
        <v>0</v>
      </c>
      <c r="X148" s="77">
        <f t="shared" si="50"/>
        <v>0</v>
      </c>
      <c r="Y148" s="77">
        <f t="shared" si="50"/>
        <v>0</v>
      </c>
      <c r="Z148" s="77">
        <f t="shared" si="50"/>
        <v>0</v>
      </c>
      <c r="AA148" s="77">
        <f t="shared" si="50"/>
        <v>0</v>
      </c>
      <c r="AB148" s="77">
        <f t="shared" si="50"/>
        <v>0</v>
      </c>
      <c r="AC148" s="77">
        <f t="shared" si="50"/>
        <v>0</v>
      </c>
      <c r="AD148" s="77">
        <f t="shared" si="50"/>
        <v>0</v>
      </c>
      <c r="AE148" s="77">
        <f t="shared" si="50"/>
        <v>0</v>
      </c>
      <c r="AF148" s="77">
        <f t="shared" si="50"/>
        <v>0</v>
      </c>
      <c r="AG148" s="77">
        <f t="shared" si="50"/>
        <v>0</v>
      </c>
      <c r="AH148" s="77">
        <f t="shared" si="50"/>
        <v>0</v>
      </c>
      <c r="AI148" s="77">
        <f t="shared" si="50"/>
        <v>0</v>
      </c>
      <c r="AJ148" s="77">
        <f t="shared" si="50"/>
        <v>0</v>
      </c>
      <c r="AK148" s="77">
        <f t="shared" si="50"/>
        <v>0</v>
      </c>
      <c r="AL148" s="77">
        <f t="shared" si="50"/>
        <v>0</v>
      </c>
      <c r="AM148" s="77">
        <f t="shared" si="50"/>
        <v>0</v>
      </c>
      <c r="AN148" s="77">
        <f t="shared" si="50"/>
        <v>0</v>
      </c>
      <c r="AO148" s="77">
        <f t="shared" si="50"/>
        <v>0</v>
      </c>
      <c r="AP148" s="77">
        <f t="shared" si="50"/>
        <v>0</v>
      </c>
      <c r="AQ148" s="77">
        <f t="shared" si="50"/>
        <v>0</v>
      </c>
      <c r="AR148" s="77">
        <f t="shared" si="50"/>
        <v>0</v>
      </c>
      <c r="AS148" s="77">
        <f t="shared" si="50"/>
        <v>0</v>
      </c>
      <c r="AT148" s="77">
        <f t="shared" si="50"/>
        <v>0</v>
      </c>
      <c r="AU148" s="77">
        <f t="shared" si="50"/>
        <v>0</v>
      </c>
      <c r="AV148" s="77">
        <f t="shared" si="50"/>
        <v>0</v>
      </c>
      <c r="AW148" s="77">
        <f t="shared" si="50"/>
        <v>0</v>
      </c>
      <c r="AX148" s="77">
        <f t="shared" si="50"/>
        <v>0</v>
      </c>
      <c r="AY148" s="77">
        <f t="shared" si="50"/>
        <v>0</v>
      </c>
      <c r="AZ148" s="77">
        <f t="shared" si="50"/>
        <v>1</v>
      </c>
      <c r="BA148" s="77">
        <f t="shared" si="50"/>
        <v>0</v>
      </c>
      <c r="BB148" s="77">
        <f t="shared" si="50"/>
        <v>1</v>
      </c>
      <c r="BC148" s="77">
        <f t="shared" si="50"/>
        <v>1</v>
      </c>
      <c r="BD148" s="77">
        <f t="shared" si="50"/>
        <v>0</v>
      </c>
      <c r="BE148" s="77">
        <f t="shared" si="50"/>
        <v>0</v>
      </c>
      <c r="BF148" s="77">
        <f t="shared" si="50"/>
        <v>0</v>
      </c>
      <c r="BG148" s="77">
        <f t="shared" si="50"/>
        <v>0</v>
      </c>
      <c r="BH148" s="77">
        <f t="shared" si="50"/>
        <v>0</v>
      </c>
      <c r="BI148" s="77">
        <f t="shared" si="50"/>
        <v>0</v>
      </c>
      <c r="BJ148" s="77">
        <f t="shared" si="50"/>
        <v>0</v>
      </c>
      <c r="BK148" s="77">
        <f t="shared" si="50"/>
        <v>0</v>
      </c>
      <c r="BL148" s="77">
        <f t="shared" si="50"/>
        <v>0</v>
      </c>
      <c r="BM148" s="77">
        <f t="shared" si="50"/>
        <v>0</v>
      </c>
      <c r="BN148" s="77">
        <f t="shared" si="50"/>
        <v>1</v>
      </c>
      <c r="BO148" s="77">
        <f t="shared" si="49"/>
        <v>0</v>
      </c>
      <c r="BP148" s="77">
        <f t="shared" si="49"/>
        <v>0</v>
      </c>
      <c r="BQ148" s="77">
        <f t="shared" si="49"/>
        <v>0</v>
      </c>
      <c r="BR148" s="77">
        <f t="shared" si="49"/>
        <v>0</v>
      </c>
      <c r="BS148" s="77">
        <f t="shared" si="49"/>
        <v>0</v>
      </c>
      <c r="BT148" s="77">
        <f t="shared" si="49"/>
        <v>0</v>
      </c>
      <c r="BU148" s="77">
        <f t="shared" si="49"/>
        <v>0</v>
      </c>
      <c r="BV148" s="77">
        <f t="shared" si="49"/>
        <v>0</v>
      </c>
      <c r="BW148" s="77">
        <f t="shared" si="49"/>
        <v>0</v>
      </c>
      <c r="BX148" s="77">
        <f t="shared" si="49"/>
        <v>0</v>
      </c>
      <c r="BY148" s="77">
        <f t="shared" si="49"/>
        <v>0</v>
      </c>
      <c r="BZ148" s="77">
        <f t="shared" si="49"/>
        <v>0</v>
      </c>
      <c r="CA148" s="77">
        <f t="shared" si="49"/>
        <v>0</v>
      </c>
      <c r="CB148" s="77">
        <f t="shared" si="49"/>
        <v>1</v>
      </c>
      <c r="CC148" s="77">
        <f t="shared" si="49"/>
        <v>0</v>
      </c>
      <c r="CD148" s="77">
        <f t="shared" si="49"/>
        <v>0</v>
      </c>
      <c r="CE148" s="77">
        <f t="shared" si="49"/>
        <v>0</v>
      </c>
      <c r="CF148" s="77">
        <f t="shared" si="49"/>
        <v>0</v>
      </c>
      <c r="CG148" s="77">
        <f t="shared" si="49"/>
        <v>0</v>
      </c>
      <c r="CH148" s="77">
        <f t="shared" si="49"/>
        <v>0</v>
      </c>
      <c r="CI148" s="77">
        <f t="shared" si="49"/>
        <v>0</v>
      </c>
      <c r="CJ148" s="77">
        <f t="shared" si="49"/>
        <v>0</v>
      </c>
      <c r="CK148" s="77">
        <f t="shared" si="49"/>
        <v>0</v>
      </c>
      <c r="CL148" s="77">
        <f t="shared" si="49"/>
        <v>0</v>
      </c>
      <c r="CM148" s="77">
        <f t="shared" si="49"/>
        <v>0</v>
      </c>
      <c r="CN148" s="77">
        <f t="shared" si="49"/>
        <v>0</v>
      </c>
      <c r="CO148" s="77">
        <f t="shared" si="49"/>
        <v>0</v>
      </c>
      <c r="CP148" s="77">
        <f t="shared" si="49"/>
        <v>1</v>
      </c>
      <c r="CQ148" s="77">
        <f t="shared" si="49"/>
        <v>0</v>
      </c>
      <c r="CR148" s="77">
        <f t="shared" si="49"/>
        <v>0</v>
      </c>
      <c r="CS148" s="77">
        <f t="shared" si="49"/>
        <v>0</v>
      </c>
      <c r="CT148" s="77">
        <f t="shared" si="49"/>
        <v>0</v>
      </c>
      <c r="CU148" s="77">
        <f t="shared" si="49"/>
        <v>0</v>
      </c>
      <c r="CV148" s="77">
        <f t="shared" si="49"/>
        <v>0</v>
      </c>
      <c r="CW148" s="77">
        <f t="shared" si="49"/>
        <v>0</v>
      </c>
      <c r="CX148" s="77">
        <f t="shared" si="49"/>
        <v>0</v>
      </c>
      <c r="CY148" s="77">
        <f t="shared" si="49"/>
        <v>0</v>
      </c>
      <c r="CZ148" s="77">
        <f t="shared" si="49"/>
        <v>0</v>
      </c>
      <c r="DA148" s="77">
        <f t="shared" si="49"/>
        <v>0</v>
      </c>
      <c r="DB148" s="77">
        <f t="shared" si="49"/>
        <v>0</v>
      </c>
      <c r="DC148" s="77">
        <f t="shared" si="49"/>
        <v>0</v>
      </c>
      <c r="DD148" s="77">
        <f t="shared" si="49"/>
        <v>1</v>
      </c>
      <c r="DE148" s="77">
        <f t="shared" si="49"/>
        <v>0</v>
      </c>
      <c r="DF148" s="77">
        <f t="shared" si="49"/>
        <v>0</v>
      </c>
      <c r="DG148" s="77">
        <f t="shared" si="49"/>
        <v>0</v>
      </c>
      <c r="DH148" s="77">
        <f t="shared" si="49"/>
        <v>0</v>
      </c>
      <c r="DI148" s="77">
        <f t="shared" si="49"/>
        <v>0</v>
      </c>
      <c r="DJ148" s="77">
        <f t="shared" si="49"/>
        <v>0</v>
      </c>
      <c r="DK148" s="77">
        <f t="shared" si="49"/>
        <v>0</v>
      </c>
      <c r="DL148" s="77">
        <f t="shared" si="49"/>
        <v>0</v>
      </c>
      <c r="DM148" s="77">
        <f t="shared" si="49"/>
        <v>0</v>
      </c>
      <c r="DN148" s="77">
        <f t="shared" si="49"/>
        <v>0</v>
      </c>
      <c r="DO148" s="77">
        <f t="shared" si="49"/>
        <v>0</v>
      </c>
      <c r="DP148" s="77">
        <f t="shared" si="49"/>
        <v>0</v>
      </c>
      <c r="DQ148" s="77">
        <f t="shared" si="49"/>
        <v>0</v>
      </c>
      <c r="DR148" s="77">
        <f t="shared" si="49"/>
        <v>0</v>
      </c>
      <c r="DS148" s="77">
        <f t="shared" si="49"/>
        <v>0</v>
      </c>
      <c r="DT148" s="77">
        <f t="shared" si="49"/>
        <v>0</v>
      </c>
      <c r="DU148" s="77">
        <f t="shared" si="49"/>
        <v>0</v>
      </c>
      <c r="DV148" s="77">
        <f t="shared" si="49"/>
        <v>0</v>
      </c>
      <c r="DW148" s="77">
        <f t="shared" si="49"/>
        <v>0</v>
      </c>
      <c r="DX148" s="77">
        <f t="shared" si="49"/>
        <v>0</v>
      </c>
      <c r="DY148" s="77">
        <f t="shared" si="49"/>
        <v>0</v>
      </c>
      <c r="DZ148" s="77">
        <f t="shared" si="46"/>
        <v>0</v>
      </c>
      <c r="EA148" s="77">
        <f t="shared" si="45"/>
        <v>0</v>
      </c>
      <c r="EB148" s="77">
        <f t="shared" si="45"/>
        <v>0</v>
      </c>
      <c r="EC148" s="77">
        <f t="shared" si="45"/>
        <v>0</v>
      </c>
      <c r="ED148" s="77">
        <f t="shared" si="45"/>
        <v>0</v>
      </c>
      <c r="EE148" s="77">
        <f t="shared" si="45"/>
        <v>1</v>
      </c>
      <c r="EF148" s="77">
        <f t="shared" si="45"/>
        <v>0</v>
      </c>
      <c r="EG148" s="77">
        <f t="shared" si="45"/>
        <v>0</v>
      </c>
      <c r="EH148" s="77">
        <f t="shared" si="45"/>
        <v>0</v>
      </c>
      <c r="EI148" s="77">
        <f t="shared" si="45"/>
        <v>0</v>
      </c>
      <c r="EJ148" s="77">
        <f t="shared" si="45"/>
        <v>1</v>
      </c>
      <c r="EK148" s="77">
        <f t="shared" si="45"/>
        <v>0</v>
      </c>
      <c r="EL148" s="77">
        <f t="shared" si="45"/>
        <v>0</v>
      </c>
      <c r="EM148" s="77">
        <f t="shared" si="45"/>
        <v>0</v>
      </c>
      <c r="EN148" s="77">
        <f t="shared" si="45"/>
        <v>0</v>
      </c>
      <c r="EO148" s="77">
        <f t="shared" si="45"/>
        <v>0</v>
      </c>
      <c r="EP148" s="77">
        <f t="shared" si="45"/>
        <v>0</v>
      </c>
      <c r="EQ148" s="77">
        <f t="shared" si="45"/>
        <v>0</v>
      </c>
      <c r="ER148" s="77">
        <f t="shared" si="45"/>
        <v>1</v>
      </c>
      <c r="ES148" s="77">
        <f t="shared" si="45"/>
        <v>0</v>
      </c>
    </row>
    <row r="149" spans="1:149" x14ac:dyDescent="0.3">
      <c r="A149" s="37" t="s">
        <v>7</v>
      </c>
      <c r="B149" s="77">
        <f t="shared" si="43"/>
        <v>0</v>
      </c>
      <c r="C149" s="77">
        <f t="shared" si="50"/>
        <v>1</v>
      </c>
      <c r="D149" s="77">
        <f t="shared" si="50"/>
        <v>1</v>
      </c>
      <c r="E149" s="77">
        <f t="shared" si="50"/>
        <v>1</v>
      </c>
      <c r="F149" s="77">
        <f t="shared" si="50"/>
        <v>0</v>
      </c>
      <c r="G149" s="77">
        <f t="shared" si="50"/>
        <v>0</v>
      </c>
      <c r="H149" s="77">
        <f t="shared" si="50"/>
        <v>0</v>
      </c>
      <c r="I149" s="77">
        <f t="shared" si="50"/>
        <v>0</v>
      </c>
      <c r="J149" s="77">
        <f t="shared" si="50"/>
        <v>1</v>
      </c>
      <c r="K149" s="77">
        <f t="shared" si="50"/>
        <v>1</v>
      </c>
      <c r="L149" s="77">
        <f t="shared" si="50"/>
        <v>0</v>
      </c>
      <c r="M149" s="77">
        <f t="shared" si="50"/>
        <v>0</v>
      </c>
      <c r="N149" s="77">
        <f t="shared" si="50"/>
        <v>0</v>
      </c>
      <c r="O149" s="77">
        <f t="shared" si="50"/>
        <v>0</v>
      </c>
      <c r="P149" s="77">
        <f t="shared" si="50"/>
        <v>0</v>
      </c>
      <c r="Q149" s="77">
        <f t="shared" si="50"/>
        <v>0</v>
      </c>
      <c r="R149" s="77">
        <f t="shared" si="50"/>
        <v>0</v>
      </c>
      <c r="S149" s="77">
        <f t="shared" si="50"/>
        <v>0</v>
      </c>
      <c r="T149" s="77">
        <f t="shared" si="50"/>
        <v>0</v>
      </c>
      <c r="U149" s="77">
        <f t="shared" si="50"/>
        <v>0</v>
      </c>
      <c r="V149" s="77">
        <f t="shared" si="50"/>
        <v>0</v>
      </c>
      <c r="W149" s="77">
        <f t="shared" si="50"/>
        <v>0</v>
      </c>
      <c r="X149" s="77">
        <f t="shared" si="50"/>
        <v>0</v>
      </c>
      <c r="Y149" s="77">
        <f t="shared" si="50"/>
        <v>0</v>
      </c>
      <c r="Z149" s="77">
        <f t="shared" si="50"/>
        <v>0</v>
      </c>
      <c r="AA149" s="77">
        <f t="shared" si="50"/>
        <v>0</v>
      </c>
      <c r="AB149" s="77">
        <f t="shared" si="50"/>
        <v>0</v>
      </c>
      <c r="AC149" s="77">
        <f t="shared" si="50"/>
        <v>0</v>
      </c>
      <c r="AD149" s="77">
        <f t="shared" si="50"/>
        <v>0</v>
      </c>
      <c r="AE149" s="77">
        <f t="shared" si="50"/>
        <v>0</v>
      </c>
      <c r="AF149" s="77">
        <f t="shared" si="50"/>
        <v>0</v>
      </c>
      <c r="AG149" s="77">
        <f t="shared" si="50"/>
        <v>0</v>
      </c>
      <c r="AH149" s="77">
        <f t="shared" si="50"/>
        <v>0</v>
      </c>
      <c r="AI149" s="77">
        <f t="shared" si="50"/>
        <v>0</v>
      </c>
      <c r="AJ149" s="77">
        <f t="shared" si="50"/>
        <v>0</v>
      </c>
      <c r="AK149" s="77">
        <f t="shared" si="50"/>
        <v>0</v>
      </c>
      <c r="AL149" s="77">
        <f t="shared" si="50"/>
        <v>0</v>
      </c>
      <c r="AM149" s="77">
        <f t="shared" si="50"/>
        <v>0</v>
      </c>
      <c r="AN149" s="77">
        <f t="shared" si="50"/>
        <v>0</v>
      </c>
      <c r="AO149" s="77">
        <f t="shared" si="50"/>
        <v>0</v>
      </c>
      <c r="AP149" s="77">
        <f t="shared" si="50"/>
        <v>0</v>
      </c>
      <c r="AQ149" s="77">
        <f t="shared" si="50"/>
        <v>0</v>
      </c>
      <c r="AR149" s="77">
        <f t="shared" si="50"/>
        <v>0</v>
      </c>
      <c r="AS149" s="77">
        <f t="shared" si="50"/>
        <v>0</v>
      </c>
      <c r="AT149" s="77">
        <f t="shared" si="50"/>
        <v>0</v>
      </c>
      <c r="AU149" s="77">
        <f t="shared" si="50"/>
        <v>0</v>
      </c>
      <c r="AV149" s="77">
        <f t="shared" si="50"/>
        <v>0</v>
      </c>
      <c r="AW149" s="77">
        <f t="shared" si="50"/>
        <v>0</v>
      </c>
      <c r="AX149" s="77">
        <f t="shared" si="50"/>
        <v>0</v>
      </c>
      <c r="AY149" s="77">
        <f t="shared" si="50"/>
        <v>0</v>
      </c>
      <c r="AZ149" s="77">
        <f t="shared" si="50"/>
        <v>0</v>
      </c>
      <c r="BA149" s="77">
        <f t="shared" si="50"/>
        <v>0</v>
      </c>
      <c r="BB149" s="77">
        <f t="shared" si="50"/>
        <v>0</v>
      </c>
      <c r="BC149" s="77">
        <f t="shared" si="50"/>
        <v>0</v>
      </c>
      <c r="BD149" s="77">
        <f t="shared" si="50"/>
        <v>0</v>
      </c>
      <c r="BE149" s="77">
        <f t="shared" si="50"/>
        <v>0</v>
      </c>
      <c r="BF149" s="77">
        <f t="shared" si="50"/>
        <v>0</v>
      </c>
      <c r="BG149" s="77">
        <f t="shared" si="50"/>
        <v>0</v>
      </c>
      <c r="BH149" s="77">
        <f t="shared" si="50"/>
        <v>0</v>
      </c>
      <c r="BI149" s="77">
        <f t="shared" si="50"/>
        <v>0</v>
      </c>
      <c r="BJ149" s="77">
        <f t="shared" si="50"/>
        <v>1</v>
      </c>
      <c r="BK149" s="77">
        <f t="shared" si="50"/>
        <v>0</v>
      </c>
      <c r="BL149" s="77">
        <f t="shared" si="50"/>
        <v>1</v>
      </c>
      <c r="BM149" s="77">
        <f t="shared" si="50"/>
        <v>0</v>
      </c>
      <c r="BN149" s="77">
        <f t="shared" si="50"/>
        <v>0</v>
      </c>
      <c r="BO149" s="77">
        <f t="shared" si="49"/>
        <v>1</v>
      </c>
      <c r="BP149" s="77">
        <f t="shared" si="49"/>
        <v>0</v>
      </c>
      <c r="BQ149" s="77">
        <f t="shared" si="49"/>
        <v>0</v>
      </c>
      <c r="BR149" s="77">
        <f t="shared" si="49"/>
        <v>0</v>
      </c>
      <c r="BS149" s="77">
        <f t="shared" si="49"/>
        <v>1</v>
      </c>
      <c r="BT149" s="77">
        <f t="shared" si="49"/>
        <v>0</v>
      </c>
      <c r="BU149" s="77">
        <f t="shared" si="49"/>
        <v>0</v>
      </c>
      <c r="BV149" s="77">
        <f t="shared" si="49"/>
        <v>0</v>
      </c>
      <c r="BW149" s="77">
        <f t="shared" si="49"/>
        <v>0</v>
      </c>
      <c r="BX149" s="77">
        <f t="shared" si="49"/>
        <v>0</v>
      </c>
      <c r="BY149" s="77">
        <f t="shared" si="49"/>
        <v>0</v>
      </c>
      <c r="BZ149" s="77">
        <f t="shared" si="49"/>
        <v>0</v>
      </c>
      <c r="CA149" s="77">
        <f t="shared" si="49"/>
        <v>0</v>
      </c>
      <c r="CB149" s="77">
        <f t="shared" si="49"/>
        <v>0</v>
      </c>
      <c r="CC149" s="77">
        <f t="shared" si="49"/>
        <v>0</v>
      </c>
      <c r="CD149" s="77">
        <f t="shared" si="49"/>
        <v>0</v>
      </c>
      <c r="CE149" s="77">
        <f t="shared" si="49"/>
        <v>0</v>
      </c>
      <c r="CF149" s="77">
        <f t="shared" si="49"/>
        <v>0</v>
      </c>
      <c r="CG149" s="77">
        <f t="shared" si="49"/>
        <v>1</v>
      </c>
      <c r="CH149" s="77">
        <f t="shared" si="49"/>
        <v>0</v>
      </c>
      <c r="CI149" s="77">
        <f t="shared" si="49"/>
        <v>0</v>
      </c>
      <c r="CJ149" s="77">
        <f t="shared" si="49"/>
        <v>0</v>
      </c>
      <c r="CK149" s="77">
        <f t="shared" si="49"/>
        <v>0</v>
      </c>
      <c r="CL149" s="77">
        <f t="shared" si="49"/>
        <v>0</v>
      </c>
      <c r="CM149" s="77">
        <f t="shared" si="49"/>
        <v>0</v>
      </c>
      <c r="CN149" s="77">
        <f t="shared" si="49"/>
        <v>0</v>
      </c>
      <c r="CO149" s="77">
        <f t="shared" si="49"/>
        <v>0</v>
      </c>
      <c r="CP149" s="77">
        <f t="shared" si="49"/>
        <v>0</v>
      </c>
      <c r="CQ149" s="77">
        <f t="shared" si="49"/>
        <v>1</v>
      </c>
      <c r="CR149" s="77">
        <f t="shared" si="49"/>
        <v>0</v>
      </c>
      <c r="CS149" s="77">
        <f t="shared" si="49"/>
        <v>1</v>
      </c>
      <c r="CT149" s="77">
        <f t="shared" si="49"/>
        <v>0</v>
      </c>
      <c r="CU149" s="77">
        <f t="shared" si="49"/>
        <v>0</v>
      </c>
      <c r="CV149" s="77">
        <f t="shared" si="49"/>
        <v>0</v>
      </c>
      <c r="CW149" s="77">
        <f t="shared" si="49"/>
        <v>0</v>
      </c>
      <c r="CX149" s="77">
        <f t="shared" si="49"/>
        <v>0</v>
      </c>
      <c r="CY149" s="77">
        <f t="shared" si="49"/>
        <v>0</v>
      </c>
      <c r="CZ149" s="77">
        <f t="shared" si="49"/>
        <v>0</v>
      </c>
      <c r="DA149" s="77">
        <f t="shared" si="49"/>
        <v>0</v>
      </c>
      <c r="DB149" s="77">
        <f t="shared" si="49"/>
        <v>0</v>
      </c>
      <c r="DC149" s="77">
        <f t="shared" si="49"/>
        <v>0</v>
      </c>
      <c r="DD149" s="77">
        <f t="shared" si="49"/>
        <v>0</v>
      </c>
      <c r="DE149" s="77">
        <f t="shared" si="49"/>
        <v>1</v>
      </c>
      <c r="DF149" s="77">
        <f t="shared" si="49"/>
        <v>1</v>
      </c>
      <c r="DG149" s="77">
        <f t="shared" si="49"/>
        <v>1</v>
      </c>
      <c r="DH149" s="77">
        <f t="shared" si="49"/>
        <v>1</v>
      </c>
      <c r="DI149" s="77">
        <f t="shared" si="49"/>
        <v>0</v>
      </c>
      <c r="DJ149" s="77">
        <f t="shared" si="49"/>
        <v>0</v>
      </c>
      <c r="DK149" s="77">
        <f t="shared" si="49"/>
        <v>0</v>
      </c>
      <c r="DL149" s="77">
        <f t="shared" si="49"/>
        <v>0</v>
      </c>
      <c r="DM149" s="77">
        <f t="shared" si="49"/>
        <v>0</v>
      </c>
      <c r="DN149" s="77">
        <f t="shared" si="49"/>
        <v>0</v>
      </c>
      <c r="DO149" s="77">
        <f t="shared" si="49"/>
        <v>0</v>
      </c>
      <c r="DP149" s="77">
        <f t="shared" si="49"/>
        <v>0</v>
      </c>
      <c r="DQ149" s="77">
        <f t="shared" si="49"/>
        <v>0</v>
      </c>
      <c r="DR149" s="77">
        <f t="shared" si="49"/>
        <v>0</v>
      </c>
      <c r="DS149" s="77">
        <f t="shared" si="49"/>
        <v>0</v>
      </c>
      <c r="DT149" s="77">
        <f t="shared" si="49"/>
        <v>0</v>
      </c>
      <c r="DU149" s="77">
        <f t="shared" si="49"/>
        <v>0</v>
      </c>
      <c r="DV149" s="77">
        <f t="shared" si="49"/>
        <v>0</v>
      </c>
      <c r="DW149" s="77">
        <f t="shared" si="49"/>
        <v>1</v>
      </c>
      <c r="DX149" s="77">
        <f t="shared" si="49"/>
        <v>0</v>
      </c>
      <c r="DY149" s="77">
        <f t="shared" si="49"/>
        <v>0</v>
      </c>
      <c r="DZ149" s="77">
        <f t="shared" si="46"/>
        <v>0</v>
      </c>
      <c r="EA149" s="77">
        <f t="shared" si="45"/>
        <v>0</v>
      </c>
      <c r="EB149" s="77">
        <f t="shared" si="45"/>
        <v>0</v>
      </c>
      <c r="EC149" s="77">
        <f t="shared" si="45"/>
        <v>0</v>
      </c>
      <c r="ED149" s="77">
        <f t="shared" si="45"/>
        <v>0</v>
      </c>
      <c r="EE149" s="77">
        <f t="shared" si="45"/>
        <v>0</v>
      </c>
      <c r="EF149" s="77">
        <f t="shared" si="45"/>
        <v>0</v>
      </c>
      <c r="EG149" s="77">
        <f t="shared" si="45"/>
        <v>0</v>
      </c>
      <c r="EH149" s="77">
        <f t="shared" si="45"/>
        <v>0</v>
      </c>
      <c r="EI149" s="77">
        <f t="shared" si="45"/>
        <v>1</v>
      </c>
      <c r="EJ149" s="77">
        <f t="shared" si="45"/>
        <v>0</v>
      </c>
      <c r="EK149" s="77">
        <f t="shared" si="45"/>
        <v>0</v>
      </c>
      <c r="EL149" s="77">
        <f t="shared" si="45"/>
        <v>0</v>
      </c>
      <c r="EM149" s="77">
        <f t="shared" si="45"/>
        <v>0</v>
      </c>
      <c r="EN149" s="77">
        <f t="shared" si="45"/>
        <v>1</v>
      </c>
      <c r="EO149" s="77">
        <f t="shared" si="45"/>
        <v>1</v>
      </c>
      <c r="EP149" s="77">
        <f t="shared" si="45"/>
        <v>0</v>
      </c>
      <c r="EQ149" s="77">
        <f t="shared" si="45"/>
        <v>0</v>
      </c>
      <c r="ER149" s="77">
        <f t="shared" si="45"/>
        <v>0</v>
      </c>
      <c r="ES149" s="77">
        <f t="shared" si="45"/>
        <v>0</v>
      </c>
    </row>
    <row r="150" spans="1:149" x14ac:dyDescent="0.3">
      <c r="A150" s="37" t="s">
        <v>18</v>
      </c>
      <c r="B150" s="77">
        <f t="shared" si="43"/>
        <v>1</v>
      </c>
      <c r="C150" s="77">
        <f t="shared" si="50"/>
        <v>0</v>
      </c>
      <c r="D150" s="77">
        <f t="shared" si="50"/>
        <v>0</v>
      </c>
      <c r="E150" s="77">
        <f t="shared" si="50"/>
        <v>0</v>
      </c>
      <c r="F150" s="77">
        <f t="shared" si="50"/>
        <v>1</v>
      </c>
      <c r="G150" s="77">
        <f t="shared" si="50"/>
        <v>0</v>
      </c>
      <c r="H150" s="77">
        <f t="shared" si="50"/>
        <v>1</v>
      </c>
      <c r="I150" s="77">
        <f t="shared" si="50"/>
        <v>0</v>
      </c>
      <c r="J150" s="77">
        <f t="shared" si="50"/>
        <v>0</v>
      </c>
      <c r="K150" s="77">
        <f t="shared" si="50"/>
        <v>0</v>
      </c>
      <c r="L150" s="77">
        <f t="shared" si="50"/>
        <v>0</v>
      </c>
      <c r="M150" s="77">
        <f t="shared" si="50"/>
        <v>0</v>
      </c>
      <c r="N150" s="77">
        <f t="shared" si="50"/>
        <v>0</v>
      </c>
      <c r="O150" s="77">
        <f t="shared" si="50"/>
        <v>0</v>
      </c>
      <c r="P150" s="77">
        <f t="shared" si="50"/>
        <v>1</v>
      </c>
      <c r="Q150" s="77">
        <f t="shared" si="50"/>
        <v>0</v>
      </c>
      <c r="R150" s="77">
        <f t="shared" si="50"/>
        <v>0</v>
      </c>
      <c r="S150" s="77">
        <f t="shared" si="50"/>
        <v>0</v>
      </c>
      <c r="T150" s="77">
        <f t="shared" si="50"/>
        <v>0</v>
      </c>
      <c r="U150" s="77">
        <f t="shared" si="50"/>
        <v>0</v>
      </c>
      <c r="V150" s="77">
        <f t="shared" si="50"/>
        <v>0</v>
      </c>
      <c r="W150" s="77">
        <f t="shared" si="50"/>
        <v>1</v>
      </c>
      <c r="X150" s="77">
        <f t="shared" si="50"/>
        <v>0</v>
      </c>
      <c r="Y150" s="77">
        <f t="shared" si="50"/>
        <v>1</v>
      </c>
      <c r="Z150" s="77">
        <f t="shared" si="50"/>
        <v>0</v>
      </c>
      <c r="AA150" s="77">
        <f t="shared" si="50"/>
        <v>1</v>
      </c>
      <c r="AB150" s="77">
        <f t="shared" si="50"/>
        <v>0</v>
      </c>
      <c r="AC150" s="77">
        <f t="shared" si="50"/>
        <v>0</v>
      </c>
      <c r="AD150" s="77">
        <f t="shared" si="50"/>
        <v>0</v>
      </c>
      <c r="AE150" s="77">
        <f t="shared" si="50"/>
        <v>0</v>
      </c>
      <c r="AF150" s="77">
        <f t="shared" si="50"/>
        <v>0</v>
      </c>
      <c r="AG150" s="77">
        <f t="shared" si="50"/>
        <v>0</v>
      </c>
      <c r="AH150" s="77">
        <f t="shared" si="50"/>
        <v>0</v>
      </c>
      <c r="AI150" s="77">
        <f t="shared" si="50"/>
        <v>0</v>
      </c>
      <c r="AJ150" s="77">
        <f t="shared" si="50"/>
        <v>0</v>
      </c>
      <c r="AK150" s="77">
        <f t="shared" si="50"/>
        <v>0</v>
      </c>
      <c r="AL150" s="77">
        <f t="shared" si="50"/>
        <v>0</v>
      </c>
      <c r="AM150" s="77">
        <f t="shared" si="50"/>
        <v>0</v>
      </c>
      <c r="AN150" s="77">
        <f t="shared" si="50"/>
        <v>0</v>
      </c>
      <c r="AO150" s="77">
        <f t="shared" si="50"/>
        <v>1</v>
      </c>
      <c r="AP150" s="77">
        <f t="shared" si="50"/>
        <v>0</v>
      </c>
      <c r="AQ150" s="77">
        <f t="shared" si="50"/>
        <v>0</v>
      </c>
      <c r="AR150" s="77">
        <f t="shared" si="50"/>
        <v>0</v>
      </c>
      <c r="AS150" s="77">
        <f t="shared" si="50"/>
        <v>0</v>
      </c>
      <c r="AT150" s="77">
        <f t="shared" si="50"/>
        <v>0</v>
      </c>
      <c r="AU150" s="77">
        <f t="shared" si="50"/>
        <v>1</v>
      </c>
      <c r="AV150" s="77">
        <f t="shared" si="50"/>
        <v>0</v>
      </c>
      <c r="AW150" s="77">
        <f t="shared" si="50"/>
        <v>0</v>
      </c>
      <c r="AX150" s="77">
        <f t="shared" si="50"/>
        <v>0</v>
      </c>
      <c r="AY150" s="77">
        <f t="shared" si="50"/>
        <v>1</v>
      </c>
      <c r="AZ150" s="77">
        <f t="shared" si="50"/>
        <v>0</v>
      </c>
      <c r="BA150" s="77">
        <f t="shared" si="50"/>
        <v>1</v>
      </c>
      <c r="BB150" s="77">
        <f t="shared" si="50"/>
        <v>0</v>
      </c>
      <c r="BC150" s="77">
        <f t="shared" si="50"/>
        <v>0</v>
      </c>
      <c r="BD150" s="77">
        <f t="shared" si="50"/>
        <v>0</v>
      </c>
      <c r="BE150" s="77">
        <f t="shared" si="50"/>
        <v>0</v>
      </c>
      <c r="BF150" s="77">
        <f t="shared" si="50"/>
        <v>1</v>
      </c>
      <c r="BG150" s="77">
        <f t="shared" si="50"/>
        <v>0</v>
      </c>
      <c r="BH150" s="77">
        <f t="shared" si="50"/>
        <v>1</v>
      </c>
      <c r="BI150" s="77">
        <f t="shared" si="50"/>
        <v>1</v>
      </c>
      <c r="BJ150" s="77">
        <f t="shared" si="50"/>
        <v>0</v>
      </c>
      <c r="BK150" s="77">
        <f t="shared" si="50"/>
        <v>1</v>
      </c>
      <c r="BL150" s="77">
        <f t="shared" si="50"/>
        <v>0</v>
      </c>
      <c r="BM150" s="77">
        <f t="shared" si="50"/>
        <v>0</v>
      </c>
      <c r="BN150" s="77">
        <f t="shared" si="50"/>
        <v>0</v>
      </c>
      <c r="BO150" s="77">
        <f t="shared" si="49"/>
        <v>0</v>
      </c>
      <c r="BP150" s="77">
        <f t="shared" si="49"/>
        <v>0</v>
      </c>
      <c r="BQ150" s="77">
        <f t="shared" si="49"/>
        <v>1</v>
      </c>
      <c r="BR150" s="77">
        <f t="shared" si="49"/>
        <v>0</v>
      </c>
      <c r="BS150" s="77">
        <f t="shared" si="49"/>
        <v>0</v>
      </c>
      <c r="BT150" s="77">
        <f t="shared" si="49"/>
        <v>1</v>
      </c>
      <c r="BU150" s="77">
        <f t="shared" si="49"/>
        <v>1</v>
      </c>
      <c r="BV150" s="77">
        <f t="shared" si="49"/>
        <v>1</v>
      </c>
      <c r="BW150" s="77">
        <f t="shared" si="49"/>
        <v>0</v>
      </c>
      <c r="BX150" s="77">
        <f t="shared" si="49"/>
        <v>0</v>
      </c>
      <c r="BY150" s="77">
        <f t="shared" si="49"/>
        <v>0</v>
      </c>
      <c r="BZ150" s="77">
        <f t="shared" si="49"/>
        <v>0</v>
      </c>
      <c r="CA150" s="77">
        <f t="shared" si="49"/>
        <v>0</v>
      </c>
      <c r="CB150" s="77">
        <f t="shared" si="49"/>
        <v>0</v>
      </c>
      <c r="CC150" s="77">
        <f t="shared" si="49"/>
        <v>1</v>
      </c>
      <c r="CD150" s="77">
        <f t="shared" si="49"/>
        <v>0</v>
      </c>
      <c r="CE150" s="77">
        <f t="shared" si="49"/>
        <v>0</v>
      </c>
      <c r="CF150" s="77">
        <f t="shared" si="49"/>
        <v>0</v>
      </c>
      <c r="CG150" s="77">
        <f t="shared" si="49"/>
        <v>1</v>
      </c>
      <c r="CH150" s="77">
        <f t="shared" si="49"/>
        <v>0</v>
      </c>
      <c r="CI150" s="77">
        <f t="shared" si="49"/>
        <v>1</v>
      </c>
      <c r="CJ150" s="77">
        <f t="shared" si="49"/>
        <v>0</v>
      </c>
      <c r="CK150" s="77">
        <f t="shared" si="49"/>
        <v>1</v>
      </c>
      <c r="CL150" s="77">
        <f t="shared" si="49"/>
        <v>0</v>
      </c>
      <c r="CM150" s="77">
        <f t="shared" si="49"/>
        <v>0</v>
      </c>
      <c r="CN150" s="77">
        <f t="shared" si="49"/>
        <v>0</v>
      </c>
      <c r="CO150" s="77">
        <f t="shared" si="49"/>
        <v>0</v>
      </c>
      <c r="CP150" s="77">
        <f t="shared" si="49"/>
        <v>0</v>
      </c>
      <c r="CQ150" s="77">
        <f t="shared" si="49"/>
        <v>0</v>
      </c>
      <c r="CR150" s="77">
        <f t="shared" si="49"/>
        <v>1</v>
      </c>
      <c r="CS150" s="77">
        <f t="shared" si="49"/>
        <v>0</v>
      </c>
      <c r="CT150" s="77">
        <f t="shared" si="49"/>
        <v>0</v>
      </c>
      <c r="CU150" s="77">
        <f t="shared" si="49"/>
        <v>0</v>
      </c>
      <c r="CV150" s="77">
        <f t="shared" si="49"/>
        <v>1</v>
      </c>
      <c r="CW150" s="77">
        <f t="shared" si="49"/>
        <v>0</v>
      </c>
      <c r="CX150" s="77">
        <f t="shared" si="49"/>
        <v>0</v>
      </c>
      <c r="CY150" s="77">
        <f t="shared" si="49"/>
        <v>1</v>
      </c>
      <c r="CZ150" s="77">
        <f t="shared" si="49"/>
        <v>0</v>
      </c>
      <c r="DA150" s="77">
        <f t="shared" si="49"/>
        <v>0</v>
      </c>
      <c r="DB150" s="77">
        <f t="shared" si="49"/>
        <v>0</v>
      </c>
      <c r="DC150" s="77">
        <f t="shared" si="49"/>
        <v>0</v>
      </c>
      <c r="DD150" s="77">
        <f t="shared" si="49"/>
        <v>0</v>
      </c>
      <c r="DE150" s="77">
        <f t="shared" si="49"/>
        <v>0</v>
      </c>
      <c r="DF150" s="77">
        <f t="shared" si="49"/>
        <v>0</v>
      </c>
      <c r="DG150" s="77">
        <f t="shared" si="49"/>
        <v>0</v>
      </c>
      <c r="DH150" s="77">
        <f t="shared" si="49"/>
        <v>0</v>
      </c>
      <c r="DI150" s="77">
        <f t="shared" si="49"/>
        <v>1</v>
      </c>
      <c r="DJ150" s="77">
        <f t="shared" si="49"/>
        <v>0</v>
      </c>
      <c r="DK150" s="77">
        <f t="shared" si="49"/>
        <v>0</v>
      </c>
      <c r="DL150" s="77">
        <f t="shared" si="49"/>
        <v>0</v>
      </c>
      <c r="DM150" s="77">
        <f t="shared" si="49"/>
        <v>0</v>
      </c>
      <c r="DN150" s="77">
        <f t="shared" si="49"/>
        <v>0</v>
      </c>
      <c r="DO150" s="77">
        <f t="shared" si="49"/>
        <v>0</v>
      </c>
      <c r="DP150" s="77">
        <f t="shared" si="49"/>
        <v>0</v>
      </c>
      <c r="DQ150" s="77">
        <f t="shared" si="49"/>
        <v>1</v>
      </c>
      <c r="DR150" s="77">
        <f t="shared" si="49"/>
        <v>1</v>
      </c>
      <c r="DS150" s="77">
        <f t="shared" si="49"/>
        <v>0</v>
      </c>
      <c r="DT150" s="77">
        <f t="shared" si="49"/>
        <v>0</v>
      </c>
      <c r="DU150" s="77">
        <f t="shared" si="49"/>
        <v>0</v>
      </c>
      <c r="DV150" s="77">
        <f t="shared" si="49"/>
        <v>0</v>
      </c>
      <c r="DW150" s="77">
        <f t="shared" si="49"/>
        <v>0</v>
      </c>
      <c r="DX150" s="77">
        <f t="shared" si="49"/>
        <v>0</v>
      </c>
      <c r="DY150" s="77">
        <f t="shared" si="49"/>
        <v>1</v>
      </c>
      <c r="DZ150" s="77">
        <f t="shared" si="46"/>
        <v>0</v>
      </c>
      <c r="EA150" s="77">
        <f t="shared" si="45"/>
        <v>0</v>
      </c>
      <c r="EB150" s="77">
        <f t="shared" si="45"/>
        <v>0</v>
      </c>
      <c r="EC150" s="77">
        <f t="shared" si="45"/>
        <v>0</v>
      </c>
      <c r="ED150" s="77">
        <f t="shared" si="45"/>
        <v>0</v>
      </c>
      <c r="EE150" s="77">
        <f t="shared" si="45"/>
        <v>0</v>
      </c>
      <c r="EF150" s="77">
        <f t="shared" si="45"/>
        <v>1</v>
      </c>
      <c r="EG150" s="77">
        <f t="shared" si="45"/>
        <v>1</v>
      </c>
      <c r="EH150" s="77">
        <f t="shared" si="45"/>
        <v>0</v>
      </c>
      <c r="EI150" s="77">
        <f t="shared" si="45"/>
        <v>0</v>
      </c>
      <c r="EJ150" s="77">
        <f t="shared" si="45"/>
        <v>0</v>
      </c>
      <c r="EK150" s="77">
        <f t="shared" si="45"/>
        <v>0</v>
      </c>
      <c r="EL150" s="77">
        <f t="shared" si="45"/>
        <v>0</v>
      </c>
      <c r="EM150" s="77">
        <f t="shared" si="45"/>
        <v>0</v>
      </c>
      <c r="EN150" s="77">
        <f t="shared" si="45"/>
        <v>1</v>
      </c>
      <c r="EO150" s="77">
        <f t="shared" si="45"/>
        <v>0</v>
      </c>
      <c r="EP150" s="77">
        <f t="shared" si="45"/>
        <v>0</v>
      </c>
      <c r="EQ150" s="77">
        <f t="shared" si="45"/>
        <v>0</v>
      </c>
      <c r="ER150" s="77">
        <f t="shared" si="45"/>
        <v>0</v>
      </c>
      <c r="ES150" s="77">
        <f t="shared" si="45"/>
        <v>0</v>
      </c>
    </row>
    <row r="151" spans="1:149" x14ac:dyDescent="0.3">
      <c r="A151" s="37" t="s">
        <v>26</v>
      </c>
      <c r="B151" s="77">
        <f t="shared" si="43"/>
        <v>0</v>
      </c>
      <c r="C151" s="77">
        <f t="shared" si="50"/>
        <v>0</v>
      </c>
      <c r="D151" s="77">
        <f t="shared" si="50"/>
        <v>0</v>
      </c>
      <c r="E151" s="77">
        <f t="shared" si="50"/>
        <v>0</v>
      </c>
      <c r="F151" s="77">
        <f t="shared" si="50"/>
        <v>0</v>
      </c>
      <c r="G151" s="77">
        <f t="shared" si="50"/>
        <v>0</v>
      </c>
      <c r="H151" s="77">
        <f t="shared" si="50"/>
        <v>0</v>
      </c>
      <c r="I151" s="77">
        <f t="shared" si="50"/>
        <v>0</v>
      </c>
      <c r="J151" s="77">
        <f t="shared" si="50"/>
        <v>0</v>
      </c>
      <c r="K151" s="77">
        <f t="shared" si="50"/>
        <v>0</v>
      </c>
      <c r="L151" s="77">
        <f t="shared" si="50"/>
        <v>1</v>
      </c>
      <c r="M151" s="77">
        <f t="shared" si="50"/>
        <v>0</v>
      </c>
      <c r="N151" s="77">
        <f t="shared" si="50"/>
        <v>0</v>
      </c>
      <c r="O151" s="77">
        <f t="shared" si="50"/>
        <v>0</v>
      </c>
      <c r="P151" s="77">
        <f t="shared" si="50"/>
        <v>0</v>
      </c>
      <c r="Q151" s="77">
        <f t="shared" si="50"/>
        <v>0</v>
      </c>
      <c r="R151" s="77">
        <f t="shared" si="50"/>
        <v>0</v>
      </c>
      <c r="S151" s="77">
        <f t="shared" si="50"/>
        <v>1</v>
      </c>
      <c r="T151" s="77">
        <f t="shared" si="50"/>
        <v>0</v>
      </c>
      <c r="U151" s="77">
        <f t="shared" si="50"/>
        <v>0</v>
      </c>
      <c r="V151" s="77">
        <f t="shared" si="50"/>
        <v>1</v>
      </c>
      <c r="W151" s="77">
        <f t="shared" si="50"/>
        <v>0</v>
      </c>
      <c r="X151" s="77">
        <f t="shared" si="50"/>
        <v>0</v>
      </c>
      <c r="Y151" s="77">
        <f t="shared" si="50"/>
        <v>0</v>
      </c>
      <c r="Z151" s="77">
        <f t="shared" si="50"/>
        <v>1</v>
      </c>
      <c r="AA151" s="77">
        <f t="shared" si="50"/>
        <v>0</v>
      </c>
      <c r="AB151" s="77">
        <f t="shared" si="50"/>
        <v>0</v>
      </c>
      <c r="AC151" s="77">
        <f t="shared" si="50"/>
        <v>1</v>
      </c>
      <c r="AD151" s="77">
        <f t="shared" si="50"/>
        <v>0</v>
      </c>
      <c r="AE151" s="77">
        <f t="shared" si="50"/>
        <v>0</v>
      </c>
      <c r="AF151" s="77">
        <f t="shared" si="50"/>
        <v>0</v>
      </c>
      <c r="AG151" s="77">
        <f t="shared" si="50"/>
        <v>0</v>
      </c>
      <c r="AH151" s="77">
        <f t="shared" si="50"/>
        <v>0</v>
      </c>
      <c r="AI151" s="77">
        <f t="shared" si="50"/>
        <v>0</v>
      </c>
      <c r="AJ151" s="77">
        <f t="shared" si="50"/>
        <v>0</v>
      </c>
      <c r="AK151" s="77">
        <f t="shared" si="50"/>
        <v>0</v>
      </c>
      <c r="AL151" s="77">
        <f t="shared" si="50"/>
        <v>1</v>
      </c>
      <c r="AM151" s="77">
        <f t="shared" si="50"/>
        <v>0</v>
      </c>
      <c r="AN151" s="77">
        <f t="shared" si="50"/>
        <v>0</v>
      </c>
      <c r="AO151" s="77">
        <f t="shared" si="50"/>
        <v>0</v>
      </c>
      <c r="AP151" s="77">
        <f t="shared" si="50"/>
        <v>1</v>
      </c>
      <c r="AQ151" s="77">
        <f t="shared" si="50"/>
        <v>0</v>
      </c>
      <c r="AR151" s="77">
        <f t="shared" si="50"/>
        <v>1</v>
      </c>
      <c r="AS151" s="77">
        <f t="shared" si="50"/>
        <v>0</v>
      </c>
      <c r="AT151" s="77">
        <f t="shared" si="50"/>
        <v>0</v>
      </c>
      <c r="AU151" s="77">
        <f t="shared" si="50"/>
        <v>0</v>
      </c>
      <c r="AV151" s="77">
        <f t="shared" si="50"/>
        <v>0</v>
      </c>
      <c r="AW151" s="77">
        <f t="shared" si="50"/>
        <v>0</v>
      </c>
      <c r="AX151" s="77">
        <f t="shared" si="50"/>
        <v>1</v>
      </c>
      <c r="AY151" s="77">
        <f t="shared" si="50"/>
        <v>0</v>
      </c>
      <c r="AZ151" s="77">
        <f t="shared" si="50"/>
        <v>0</v>
      </c>
      <c r="BA151" s="77">
        <f t="shared" si="50"/>
        <v>0</v>
      </c>
      <c r="BB151" s="77">
        <f t="shared" si="50"/>
        <v>0</v>
      </c>
      <c r="BC151" s="77">
        <f t="shared" si="50"/>
        <v>0</v>
      </c>
      <c r="BD151" s="77">
        <f t="shared" si="50"/>
        <v>0</v>
      </c>
      <c r="BE151" s="77">
        <f t="shared" si="50"/>
        <v>0</v>
      </c>
      <c r="BF151" s="77">
        <f t="shared" si="50"/>
        <v>0</v>
      </c>
      <c r="BG151" s="77">
        <f t="shared" si="50"/>
        <v>0</v>
      </c>
      <c r="BH151" s="77">
        <f t="shared" si="50"/>
        <v>0</v>
      </c>
      <c r="BI151" s="77">
        <f t="shared" si="50"/>
        <v>0</v>
      </c>
      <c r="BJ151" s="77">
        <f t="shared" si="50"/>
        <v>0</v>
      </c>
      <c r="BK151" s="77">
        <f t="shared" si="50"/>
        <v>0</v>
      </c>
      <c r="BL151" s="77">
        <f t="shared" si="50"/>
        <v>0</v>
      </c>
      <c r="BM151" s="77">
        <f t="shared" si="50"/>
        <v>0</v>
      </c>
      <c r="BN151" s="77">
        <f t="shared" ref="BN151:DY154" si="51">IF(BN32&lt;=$B$136,1,0)</f>
        <v>0</v>
      </c>
      <c r="BO151" s="77">
        <f t="shared" si="51"/>
        <v>0</v>
      </c>
      <c r="BP151" s="77">
        <f t="shared" si="51"/>
        <v>0</v>
      </c>
      <c r="BQ151" s="77">
        <f t="shared" si="51"/>
        <v>0</v>
      </c>
      <c r="BR151" s="77">
        <f t="shared" si="51"/>
        <v>0</v>
      </c>
      <c r="BS151" s="77">
        <f t="shared" si="51"/>
        <v>0</v>
      </c>
      <c r="BT151" s="77">
        <f t="shared" si="51"/>
        <v>0</v>
      </c>
      <c r="BU151" s="77">
        <f t="shared" si="51"/>
        <v>0</v>
      </c>
      <c r="BV151" s="77">
        <f t="shared" si="51"/>
        <v>0</v>
      </c>
      <c r="BW151" s="77">
        <f t="shared" si="51"/>
        <v>0</v>
      </c>
      <c r="BX151" s="77">
        <f t="shared" si="51"/>
        <v>0</v>
      </c>
      <c r="BY151" s="77">
        <f t="shared" si="51"/>
        <v>0</v>
      </c>
      <c r="BZ151" s="77">
        <f t="shared" si="51"/>
        <v>0</v>
      </c>
      <c r="CA151" s="77">
        <f t="shared" si="51"/>
        <v>0</v>
      </c>
      <c r="CB151" s="77">
        <f t="shared" si="51"/>
        <v>0</v>
      </c>
      <c r="CC151" s="77">
        <f t="shared" si="51"/>
        <v>0</v>
      </c>
      <c r="CD151" s="77">
        <f t="shared" si="51"/>
        <v>0</v>
      </c>
      <c r="CE151" s="77">
        <f t="shared" si="51"/>
        <v>0</v>
      </c>
      <c r="CF151" s="77">
        <f t="shared" si="51"/>
        <v>1</v>
      </c>
      <c r="CG151" s="77">
        <f t="shared" si="51"/>
        <v>0</v>
      </c>
      <c r="CH151" s="77">
        <f t="shared" si="51"/>
        <v>0</v>
      </c>
      <c r="CI151" s="77">
        <f t="shared" si="51"/>
        <v>0</v>
      </c>
      <c r="CJ151" s="77">
        <f t="shared" si="51"/>
        <v>0</v>
      </c>
      <c r="CK151" s="77">
        <f t="shared" si="51"/>
        <v>0</v>
      </c>
      <c r="CL151" s="77">
        <f t="shared" si="51"/>
        <v>0</v>
      </c>
      <c r="CM151" s="77">
        <f t="shared" si="51"/>
        <v>0</v>
      </c>
      <c r="CN151" s="77">
        <f t="shared" si="51"/>
        <v>0</v>
      </c>
      <c r="CO151" s="77">
        <f t="shared" si="51"/>
        <v>0</v>
      </c>
      <c r="CP151" s="77">
        <f t="shared" si="51"/>
        <v>0</v>
      </c>
      <c r="CQ151" s="77">
        <f t="shared" si="51"/>
        <v>0</v>
      </c>
      <c r="CR151" s="77">
        <f t="shared" si="51"/>
        <v>0</v>
      </c>
      <c r="CS151" s="77">
        <f t="shared" si="51"/>
        <v>0</v>
      </c>
      <c r="CT151" s="77">
        <f t="shared" si="51"/>
        <v>1</v>
      </c>
      <c r="CU151" s="77">
        <f t="shared" si="51"/>
        <v>0</v>
      </c>
      <c r="CV151" s="77">
        <f t="shared" si="51"/>
        <v>0</v>
      </c>
      <c r="CW151" s="77">
        <f t="shared" si="51"/>
        <v>0</v>
      </c>
      <c r="CX151" s="77">
        <f t="shared" si="51"/>
        <v>0</v>
      </c>
      <c r="CY151" s="77">
        <f t="shared" si="51"/>
        <v>0</v>
      </c>
      <c r="CZ151" s="77">
        <f t="shared" si="51"/>
        <v>0</v>
      </c>
      <c r="DA151" s="77">
        <f t="shared" si="51"/>
        <v>0</v>
      </c>
      <c r="DB151" s="77">
        <f t="shared" si="51"/>
        <v>0</v>
      </c>
      <c r="DC151" s="77">
        <f t="shared" si="51"/>
        <v>0</v>
      </c>
      <c r="DD151" s="77">
        <f t="shared" si="51"/>
        <v>0</v>
      </c>
      <c r="DE151" s="77">
        <f t="shared" si="51"/>
        <v>0</v>
      </c>
      <c r="DF151" s="77">
        <f t="shared" si="51"/>
        <v>0</v>
      </c>
      <c r="DG151" s="77">
        <f t="shared" si="51"/>
        <v>0</v>
      </c>
      <c r="DH151" s="77">
        <f t="shared" si="51"/>
        <v>0</v>
      </c>
      <c r="DI151" s="77">
        <f t="shared" si="51"/>
        <v>0</v>
      </c>
      <c r="DJ151" s="77">
        <f t="shared" si="51"/>
        <v>0</v>
      </c>
      <c r="DK151" s="77">
        <f t="shared" si="51"/>
        <v>0</v>
      </c>
      <c r="DL151" s="77">
        <f t="shared" si="51"/>
        <v>1</v>
      </c>
      <c r="DM151" s="77">
        <f t="shared" si="51"/>
        <v>1</v>
      </c>
      <c r="DN151" s="77">
        <f t="shared" si="51"/>
        <v>0</v>
      </c>
      <c r="DO151" s="77">
        <f t="shared" si="51"/>
        <v>0</v>
      </c>
      <c r="DP151" s="77">
        <f t="shared" si="51"/>
        <v>1</v>
      </c>
      <c r="DQ151" s="77">
        <f t="shared" si="51"/>
        <v>0</v>
      </c>
      <c r="DR151" s="77">
        <f t="shared" si="51"/>
        <v>0</v>
      </c>
      <c r="DS151" s="77">
        <f t="shared" si="51"/>
        <v>0</v>
      </c>
      <c r="DT151" s="77">
        <f t="shared" si="51"/>
        <v>0</v>
      </c>
      <c r="DU151" s="77">
        <f t="shared" si="51"/>
        <v>0</v>
      </c>
      <c r="DV151" s="77">
        <f t="shared" si="51"/>
        <v>0</v>
      </c>
      <c r="DW151" s="77">
        <f t="shared" si="51"/>
        <v>0</v>
      </c>
      <c r="DX151" s="77">
        <f t="shared" si="51"/>
        <v>0</v>
      </c>
      <c r="DY151" s="77">
        <f t="shared" si="51"/>
        <v>0</v>
      </c>
      <c r="DZ151" s="77">
        <f t="shared" si="46"/>
        <v>0</v>
      </c>
      <c r="EA151" s="77">
        <f t="shared" si="45"/>
        <v>0</v>
      </c>
      <c r="EB151" s="77">
        <f t="shared" si="45"/>
        <v>0</v>
      </c>
      <c r="EC151" s="77">
        <f t="shared" si="45"/>
        <v>0</v>
      </c>
      <c r="ED151" s="77">
        <f t="shared" si="45"/>
        <v>0</v>
      </c>
      <c r="EE151" s="77">
        <f t="shared" si="45"/>
        <v>0</v>
      </c>
      <c r="EF151" s="77">
        <f t="shared" si="45"/>
        <v>0</v>
      </c>
      <c r="EG151" s="77">
        <f t="shared" si="45"/>
        <v>0</v>
      </c>
      <c r="EH151" s="77">
        <f t="shared" si="45"/>
        <v>0</v>
      </c>
      <c r="EI151" s="77">
        <f t="shared" si="45"/>
        <v>0</v>
      </c>
      <c r="EJ151" s="77">
        <f t="shared" si="45"/>
        <v>0</v>
      </c>
      <c r="EK151" s="77">
        <f t="shared" si="45"/>
        <v>0</v>
      </c>
      <c r="EL151" s="77">
        <f t="shared" si="45"/>
        <v>0</v>
      </c>
      <c r="EM151" s="77">
        <f t="shared" si="45"/>
        <v>0</v>
      </c>
      <c r="EN151" s="77">
        <f t="shared" si="45"/>
        <v>0</v>
      </c>
      <c r="EO151" s="77">
        <f t="shared" si="45"/>
        <v>0</v>
      </c>
      <c r="EP151" s="77">
        <f t="shared" si="45"/>
        <v>0</v>
      </c>
      <c r="EQ151" s="77">
        <f t="shared" si="45"/>
        <v>0</v>
      </c>
      <c r="ER151" s="77">
        <f t="shared" si="45"/>
        <v>0</v>
      </c>
      <c r="ES151" s="77">
        <f t="shared" si="45"/>
        <v>0</v>
      </c>
    </row>
    <row r="152" spans="1:149" x14ac:dyDescent="0.3">
      <c r="A152" s="37" t="s">
        <v>19</v>
      </c>
      <c r="B152" s="77">
        <f t="shared" si="43"/>
        <v>1</v>
      </c>
      <c r="C152" s="77">
        <f t="shared" ref="C152:BN155" si="52">IF(C33&lt;=$B$136,1,0)</f>
        <v>0</v>
      </c>
      <c r="D152" s="77">
        <f t="shared" si="52"/>
        <v>0</v>
      </c>
      <c r="E152" s="77">
        <f t="shared" si="52"/>
        <v>0</v>
      </c>
      <c r="F152" s="77">
        <f t="shared" si="52"/>
        <v>1</v>
      </c>
      <c r="G152" s="77">
        <f t="shared" si="52"/>
        <v>1</v>
      </c>
      <c r="H152" s="77">
        <f t="shared" si="52"/>
        <v>0</v>
      </c>
      <c r="I152" s="77">
        <f t="shared" si="52"/>
        <v>0</v>
      </c>
      <c r="J152" s="77">
        <f t="shared" si="52"/>
        <v>0</v>
      </c>
      <c r="K152" s="77">
        <f t="shared" si="52"/>
        <v>0</v>
      </c>
      <c r="L152" s="77">
        <f t="shared" si="52"/>
        <v>0</v>
      </c>
      <c r="M152" s="77">
        <f t="shared" si="52"/>
        <v>1</v>
      </c>
      <c r="N152" s="77">
        <f t="shared" si="52"/>
        <v>0</v>
      </c>
      <c r="O152" s="77">
        <f t="shared" si="52"/>
        <v>0</v>
      </c>
      <c r="P152" s="77">
        <f t="shared" si="52"/>
        <v>1</v>
      </c>
      <c r="Q152" s="77">
        <f t="shared" si="52"/>
        <v>0</v>
      </c>
      <c r="R152" s="77">
        <f t="shared" si="52"/>
        <v>1</v>
      </c>
      <c r="S152" s="77">
        <f t="shared" si="52"/>
        <v>0</v>
      </c>
      <c r="T152" s="77">
        <f t="shared" si="52"/>
        <v>0</v>
      </c>
      <c r="U152" s="77">
        <f t="shared" si="52"/>
        <v>0</v>
      </c>
      <c r="V152" s="77">
        <f t="shared" si="52"/>
        <v>0</v>
      </c>
      <c r="W152" s="77">
        <f t="shared" si="52"/>
        <v>0</v>
      </c>
      <c r="X152" s="77">
        <f t="shared" si="52"/>
        <v>0</v>
      </c>
      <c r="Y152" s="77">
        <f t="shared" si="52"/>
        <v>0</v>
      </c>
      <c r="Z152" s="77">
        <f t="shared" si="52"/>
        <v>0</v>
      </c>
      <c r="AA152" s="77">
        <f t="shared" si="52"/>
        <v>0</v>
      </c>
      <c r="AB152" s="77">
        <f t="shared" si="52"/>
        <v>0</v>
      </c>
      <c r="AC152" s="77">
        <f t="shared" si="52"/>
        <v>0</v>
      </c>
      <c r="AD152" s="77">
        <f t="shared" si="52"/>
        <v>0</v>
      </c>
      <c r="AE152" s="77">
        <f t="shared" si="52"/>
        <v>0</v>
      </c>
      <c r="AF152" s="77">
        <f t="shared" si="52"/>
        <v>1</v>
      </c>
      <c r="AG152" s="77">
        <f t="shared" si="52"/>
        <v>0</v>
      </c>
      <c r="AH152" s="77">
        <f t="shared" si="52"/>
        <v>0</v>
      </c>
      <c r="AI152" s="77">
        <f t="shared" si="52"/>
        <v>0</v>
      </c>
      <c r="AJ152" s="77">
        <f t="shared" si="52"/>
        <v>0</v>
      </c>
      <c r="AK152" s="77">
        <f t="shared" si="52"/>
        <v>0</v>
      </c>
      <c r="AL152" s="77">
        <f t="shared" si="52"/>
        <v>0</v>
      </c>
      <c r="AM152" s="77">
        <f t="shared" si="52"/>
        <v>0</v>
      </c>
      <c r="AN152" s="77">
        <f t="shared" si="52"/>
        <v>0</v>
      </c>
      <c r="AO152" s="77">
        <f t="shared" si="52"/>
        <v>0</v>
      </c>
      <c r="AP152" s="77">
        <f t="shared" si="52"/>
        <v>0</v>
      </c>
      <c r="AQ152" s="77">
        <f t="shared" si="52"/>
        <v>1</v>
      </c>
      <c r="AR152" s="77">
        <f t="shared" si="52"/>
        <v>0</v>
      </c>
      <c r="AS152" s="77">
        <f t="shared" si="52"/>
        <v>0</v>
      </c>
      <c r="AT152" s="77">
        <f t="shared" si="52"/>
        <v>0</v>
      </c>
      <c r="AU152" s="77">
        <f t="shared" si="52"/>
        <v>1</v>
      </c>
      <c r="AV152" s="77">
        <f t="shared" si="52"/>
        <v>1</v>
      </c>
      <c r="AW152" s="77">
        <f t="shared" si="52"/>
        <v>0</v>
      </c>
      <c r="AX152" s="77">
        <f t="shared" si="52"/>
        <v>0</v>
      </c>
      <c r="AY152" s="77">
        <f t="shared" si="52"/>
        <v>0</v>
      </c>
      <c r="AZ152" s="77">
        <f t="shared" si="52"/>
        <v>0</v>
      </c>
      <c r="BA152" s="77">
        <f t="shared" si="52"/>
        <v>0</v>
      </c>
      <c r="BB152" s="77">
        <f t="shared" si="52"/>
        <v>0</v>
      </c>
      <c r="BC152" s="77">
        <f t="shared" si="52"/>
        <v>0</v>
      </c>
      <c r="BD152" s="77">
        <f t="shared" si="52"/>
        <v>0</v>
      </c>
      <c r="BE152" s="77">
        <f t="shared" si="52"/>
        <v>0</v>
      </c>
      <c r="BF152" s="77">
        <f t="shared" si="52"/>
        <v>1</v>
      </c>
      <c r="BG152" s="77">
        <f t="shared" si="52"/>
        <v>0</v>
      </c>
      <c r="BH152" s="77">
        <f t="shared" si="52"/>
        <v>0</v>
      </c>
      <c r="BI152" s="77">
        <f t="shared" si="52"/>
        <v>0</v>
      </c>
      <c r="BJ152" s="77">
        <f t="shared" si="52"/>
        <v>0</v>
      </c>
      <c r="BK152" s="77">
        <f t="shared" si="52"/>
        <v>0</v>
      </c>
      <c r="BL152" s="77">
        <f t="shared" si="52"/>
        <v>0</v>
      </c>
      <c r="BM152" s="77">
        <f t="shared" si="52"/>
        <v>0</v>
      </c>
      <c r="BN152" s="77">
        <f t="shared" si="52"/>
        <v>0</v>
      </c>
      <c r="BO152" s="77">
        <f t="shared" si="51"/>
        <v>0</v>
      </c>
      <c r="BP152" s="77">
        <f t="shared" si="51"/>
        <v>0</v>
      </c>
      <c r="BQ152" s="77">
        <f t="shared" si="51"/>
        <v>0</v>
      </c>
      <c r="BR152" s="77">
        <f t="shared" si="51"/>
        <v>0</v>
      </c>
      <c r="BS152" s="77">
        <f t="shared" si="51"/>
        <v>0</v>
      </c>
      <c r="BT152" s="77">
        <f t="shared" si="51"/>
        <v>0</v>
      </c>
      <c r="BU152" s="77">
        <f t="shared" si="51"/>
        <v>0</v>
      </c>
      <c r="BV152" s="77">
        <f t="shared" si="51"/>
        <v>0</v>
      </c>
      <c r="BW152" s="77">
        <f t="shared" si="51"/>
        <v>0</v>
      </c>
      <c r="BX152" s="77">
        <f t="shared" si="51"/>
        <v>0</v>
      </c>
      <c r="BY152" s="77">
        <f t="shared" si="51"/>
        <v>0</v>
      </c>
      <c r="BZ152" s="77">
        <f t="shared" si="51"/>
        <v>0</v>
      </c>
      <c r="CA152" s="77">
        <f t="shared" si="51"/>
        <v>1</v>
      </c>
      <c r="CB152" s="77">
        <f t="shared" si="51"/>
        <v>0</v>
      </c>
      <c r="CC152" s="77">
        <f t="shared" si="51"/>
        <v>0</v>
      </c>
      <c r="CD152" s="77">
        <f t="shared" si="51"/>
        <v>0</v>
      </c>
      <c r="CE152" s="77">
        <f t="shared" si="51"/>
        <v>0</v>
      </c>
      <c r="CF152" s="77">
        <f t="shared" si="51"/>
        <v>0</v>
      </c>
      <c r="CG152" s="77">
        <f t="shared" si="51"/>
        <v>0</v>
      </c>
      <c r="CH152" s="77">
        <f t="shared" si="51"/>
        <v>0</v>
      </c>
      <c r="CI152" s="77">
        <f t="shared" si="51"/>
        <v>0</v>
      </c>
      <c r="CJ152" s="77">
        <f t="shared" si="51"/>
        <v>0</v>
      </c>
      <c r="CK152" s="77">
        <f t="shared" si="51"/>
        <v>0</v>
      </c>
      <c r="CL152" s="77">
        <f t="shared" si="51"/>
        <v>1</v>
      </c>
      <c r="CM152" s="77">
        <f t="shared" si="51"/>
        <v>1</v>
      </c>
      <c r="CN152" s="77">
        <f t="shared" si="51"/>
        <v>0</v>
      </c>
      <c r="CO152" s="77">
        <f t="shared" si="51"/>
        <v>0</v>
      </c>
      <c r="CP152" s="77">
        <f t="shared" si="51"/>
        <v>0</v>
      </c>
      <c r="CQ152" s="77">
        <f t="shared" si="51"/>
        <v>0</v>
      </c>
      <c r="CR152" s="77">
        <f t="shared" si="51"/>
        <v>0</v>
      </c>
      <c r="CS152" s="77">
        <f t="shared" si="51"/>
        <v>0</v>
      </c>
      <c r="CT152" s="77">
        <f t="shared" si="51"/>
        <v>0</v>
      </c>
      <c r="CU152" s="77">
        <f t="shared" si="51"/>
        <v>0</v>
      </c>
      <c r="CV152" s="77">
        <f t="shared" si="51"/>
        <v>1</v>
      </c>
      <c r="CW152" s="77">
        <f t="shared" si="51"/>
        <v>1</v>
      </c>
      <c r="CX152" s="77">
        <f t="shared" si="51"/>
        <v>0</v>
      </c>
      <c r="CY152" s="77">
        <f t="shared" si="51"/>
        <v>0</v>
      </c>
      <c r="CZ152" s="77">
        <f t="shared" si="51"/>
        <v>0</v>
      </c>
      <c r="DA152" s="77">
        <f t="shared" si="51"/>
        <v>0</v>
      </c>
      <c r="DB152" s="77">
        <f t="shared" si="51"/>
        <v>0</v>
      </c>
      <c r="DC152" s="77">
        <f t="shared" si="51"/>
        <v>0</v>
      </c>
      <c r="DD152" s="77">
        <f t="shared" si="51"/>
        <v>0</v>
      </c>
      <c r="DE152" s="77">
        <f t="shared" si="51"/>
        <v>0</v>
      </c>
      <c r="DF152" s="77">
        <f t="shared" si="51"/>
        <v>0</v>
      </c>
      <c r="DG152" s="77">
        <f t="shared" si="51"/>
        <v>0</v>
      </c>
      <c r="DH152" s="77">
        <f t="shared" si="51"/>
        <v>0</v>
      </c>
      <c r="DI152" s="77">
        <f t="shared" si="51"/>
        <v>1</v>
      </c>
      <c r="DJ152" s="77">
        <f t="shared" si="51"/>
        <v>0</v>
      </c>
      <c r="DK152" s="77">
        <f t="shared" si="51"/>
        <v>0</v>
      </c>
      <c r="DL152" s="77">
        <f t="shared" si="51"/>
        <v>0</v>
      </c>
      <c r="DM152" s="77">
        <f t="shared" si="51"/>
        <v>0</v>
      </c>
      <c r="DN152" s="77">
        <f t="shared" si="51"/>
        <v>0</v>
      </c>
      <c r="DO152" s="77">
        <f t="shared" si="51"/>
        <v>0</v>
      </c>
      <c r="DP152" s="77">
        <f t="shared" si="51"/>
        <v>0</v>
      </c>
      <c r="DQ152" s="77">
        <f t="shared" si="51"/>
        <v>0</v>
      </c>
      <c r="DR152" s="77">
        <f t="shared" si="51"/>
        <v>0</v>
      </c>
      <c r="DS152" s="77">
        <f t="shared" si="51"/>
        <v>1</v>
      </c>
      <c r="DT152" s="77">
        <f t="shared" si="51"/>
        <v>0</v>
      </c>
      <c r="DU152" s="77">
        <f t="shared" si="51"/>
        <v>0</v>
      </c>
      <c r="DV152" s="77">
        <f t="shared" si="51"/>
        <v>0</v>
      </c>
      <c r="DW152" s="77">
        <f t="shared" si="51"/>
        <v>0</v>
      </c>
      <c r="DX152" s="77">
        <f t="shared" si="51"/>
        <v>0</v>
      </c>
      <c r="DY152" s="77">
        <f t="shared" si="51"/>
        <v>0</v>
      </c>
      <c r="DZ152" s="77">
        <f t="shared" si="46"/>
        <v>0</v>
      </c>
      <c r="EA152" s="77">
        <f t="shared" si="45"/>
        <v>0</v>
      </c>
      <c r="EB152" s="77">
        <f t="shared" si="45"/>
        <v>0</v>
      </c>
      <c r="EC152" s="77">
        <f t="shared" si="45"/>
        <v>0</v>
      </c>
      <c r="ED152" s="77">
        <f t="shared" si="45"/>
        <v>1</v>
      </c>
      <c r="EE152" s="77">
        <f t="shared" si="45"/>
        <v>0</v>
      </c>
      <c r="EF152" s="77">
        <f t="shared" si="45"/>
        <v>0</v>
      </c>
      <c r="EG152" s="77">
        <f t="shared" si="45"/>
        <v>0</v>
      </c>
      <c r="EH152" s="77">
        <f t="shared" si="45"/>
        <v>0</v>
      </c>
      <c r="EI152" s="77">
        <f t="shared" si="45"/>
        <v>0</v>
      </c>
      <c r="EJ152" s="77">
        <f t="shared" si="45"/>
        <v>0</v>
      </c>
      <c r="EK152" s="77">
        <f t="shared" si="45"/>
        <v>0</v>
      </c>
      <c r="EL152" s="77">
        <f t="shared" si="45"/>
        <v>0</v>
      </c>
      <c r="EM152" s="77">
        <f t="shared" si="45"/>
        <v>0</v>
      </c>
      <c r="EN152" s="77">
        <f t="shared" si="45"/>
        <v>0</v>
      </c>
      <c r="EO152" s="77">
        <f t="shared" si="45"/>
        <v>0</v>
      </c>
      <c r="EP152" s="77">
        <f t="shared" si="45"/>
        <v>1</v>
      </c>
      <c r="EQ152" s="77">
        <f t="shared" si="45"/>
        <v>0</v>
      </c>
      <c r="ER152" s="77">
        <f t="shared" si="45"/>
        <v>0</v>
      </c>
      <c r="ES152" s="77">
        <f t="shared" si="45"/>
        <v>0</v>
      </c>
    </row>
    <row r="153" spans="1:149" x14ac:dyDescent="0.3">
      <c r="A153" s="37" t="s">
        <v>12</v>
      </c>
      <c r="B153" s="77">
        <f t="shared" si="43"/>
        <v>1</v>
      </c>
      <c r="C153" s="77">
        <f t="shared" si="52"/>
        <v>0</v>
      </c>
      <c r="D153" s="77">
        <f t="shared" si="52"/>
        <v>0</v>
      </c>
      <c r="E153" s="77">
        <f t="shared" si="52"/>
        <v>0</v>
      </c>
      <c r="F153" s="77">
        <f t="shared" si="52"/>
        <v>1</v>
      </c>
      <c r="G153" s="77">
        <f t="shared" si="52"/>
        <v>0</v>
      </c>
      <c r="H153" s="77">
        <f t="shared" si="52"/>
        <v>1</v>
      </c>
      <c r="I153" s="77">
        <f t="shared" si="52"/>
        <v>1</v>
      </c>
      <c r="J153" s="77">
        <f t="shared" si="52"/>
        <v>0</v>
      </c>
      <c r="K153" s="77">
        <f t="shared" si="52"/>
        <v>0</v>
      </c>
      <c r="L153" s="77">
        <f t="shared" si="52"/>
        <v>0</v>
      </c>
      <c r="M153" s="77">
        <f t="shared" si="52"/>
        <v>0</v>
      </c>
      <c r="N153" s="77">
        <f t="shared" si="52"/>
        <v>0</v>
      </c>
      <c r="O153" s="77">
        <f t="shared" si="52"/>
        <v>0</v>
      </c>
      <c r="P153" s="77">
        <f t="shared" si="52"/>
        <v>1</v>
      </c>
      <c r="Q153" s="77">
        <f t="shared" si="52"/>
        <v>0</v>
      </c>
      <c r="R153" s="77">
        <f t="shared" si="52"/>
        <v>0</v>
      </c>
      <c r="S153" s="77">
        <f t="shared" si="52"/>
        <v>0</v>
      </c>
      <c r="T153" s="77">
        <f t="shared" si="52"/>
        <v>1</v>
      </c>
      <c r="U153" s="77">
        <f t="shared" si="52"/>
        <v>0</v>
      </c>
      <c r="V153" s="77">
        <f t="shared" si="52"/>
        <v>0</v>
      </c>
      <c r="W153" s="77">
        <f t="shared" si="52"/>
        <v>1</v>
      </c>
      <c r="X153" s="77">
        <f t="shared" si="52"/>
        <v>0</v>
      </c>
      <c r="Y153" s="77">
        <f t="shared" si="52"/>
        <v>1</v>
      </c>
      <c r="Z153" s="77">
        <f t="shared" si="52"/>
        <v>0</v>
      </c>
      <c r="AA153" s="77">
        <f t="shared" si="52"/>
        <v>0</v>
      </c>
      <c r="AB153" s="77">
        <f t="shared" si="52"/>
        <v>0</v>
      </c>
      <c r="AC153" s="77">
        <f t="shared" si="52"/>
        <v>0</v>
      </c>
      <c r="AD153" s="77">
        <f t="shared" si="52"/>
        <v>0</v>
      </c>
      <c r="AE153" s="77">
        <f t="shared" si="52"/>
        <v>1</v>
      </c>
      <c r="AF153" s="77">
        <f t="shared" si="52"/>
        <v>0</v>
      </c>
      <c r="AG153" s="77">
        <f t="shared" si="52"/>
        <v>0</v>
      </c>
      <c r="AH153" s="77">
        <f t="shared" si="52"/>
        <v>0</v>
      </c>
      <c r="AI153" s="77">
        <f t="shared" si="52"/>
        <v>0</v>
      </c>
      <c r="AJ153" s="77">
        <f t="shared" si="52"/>
        <v>0</v>
      </c>
      <c r="AK153" s="77">
        <f t="shared" si="52"/>
        <v>0</v>
      </c>
      <c r="AL153" s="77">
        <f t="shared" si="52"/>
        <v>0</v>
      </c>
      <c r="AM153" s="77">
        <f t="shared" si="52"/>
        <v>0</v>
      </c>
      <c r="AN153" s="77">
        <f t="shared" si="52"/>
        <v>0</v>
      </c>
      <c r="AO153" s="77">
        <f t="shared" si="52"/>
        <v>1</v>
      </c>
      <c r="AP153" s="77">
        <f t="shared" si="52"/>
        <v>0</v>
      </c>
      <c r="AQ153" s="77">
        <f t="shared" si="52"/>
        <v>0</v>
      </c>
      <c r="AR153" s="77">
        <f t="shared" si="52"/>
        <v>0</v>
      </c>
      <c r="AS153" s="77">
        <f t="shared" si="52"/>
        <v>0</v>
      </c>
      <c r="AT153" s="77">
        <f t="shared" si="52"/>
        <v>0</v>
      </c>
      <c r="AU153" s="77">
        <f t="shared" si="52"/>
        <v>0</v>
      </c>
      <c r="AV153" s="77">
        <f t="shared" si="52"/>
        <v>0</v>
      </c>
      <c r="AW153" s="77">
        <f t="shared" si="52"/>
        <v>1</v>
      </c>
      <c r="AX153" s="77">
        <f t="shared" si="52"/>
        <v>0</v>
      </c>
      <c r="AY153" s="77">
        <f t="shared" si="52"/>
        <v>1</v>
      </c>
      <c r="AZ153" s="77">
        <f t="shared" si="52"/>
        <v>0</v>
      </c>
      <c r="BA153" s="77">
        <f t="shared" si="52"/>
        <v>1</v>
      </c>
      <c r="BB153" s="77">
        <f t="shared" si="52"/>
        <v>0</v>
      </c>
      <c r="BC153" s="77">
        <f t="shared" si="52"/>
        <v>0</v>
      </c>
      <c r="BD153" s="77">
        <f t="shared" si="52"/>
        <v>1</v>
      </c>
      <c r="BE153" s="77">
        <f t="shared" si="52"/>
        <v>0</v>
      </c>
      <c r="BF153" s="77">
        <f t="shared" si="52"/>
        <v>0</v>
      </c>
      <c r="BG153" s="77">
        <f t="shared" si="52"/>
        <v>0</v>
      </c>
      <c r="BH153" s="77">
        <f t="shared" si="52"/>
        <v>1</v>
      </c>
      <c r="BI153" s="77">
        <f t="shared" si="52"/>
        <v>1</v>
      </c>
      <c r="BJ153" s="77">
        <f t="shared" si="52"/>
        <v>0</v>
      </c>
      <c r="BK153" s="77">
        <f t="shared" si="52"/>
        <v>1</v>
      </c>
      <c r="BL153" s="77">
        <f t="shared" si="52"/>
        <v>0</v>
      </c>
      <c r="BM153" s="77">
        <f t="shared" si="52"/>
        <v>0</v>
      </c>
      <c r="BN153" s="77">
        <f t="shared" si="52"/>
        <v>0</v>
      </c>
      <c r="BO153" s="77">
        <f t="shared" si="51"/>
        <v>0</v>
      </c>
      <c r="BP153" s="77">
        <f t="shared" si="51"/>
        <v>0</v>
      </c>
      <c r="BQ153" s="77">
        <f t="shared" si="51"/>
        <v>0</v>
      </c>
      <c r="BR153" s="77">
        <f t="shared" si="51"/>
        <v>1</v>
      </c>
      <c r="BS153" s="77">
        <f t="shared" si="51"/>
        <v>0</v>
      </c>
      <c r="BT153" s="77">
        <f t="shared" si="51"/>
        <v>1</v>
      </c>
      <c r="BU153" s="77">
        <f t="shared" si="51"/>
        <v>1</v>
      </c>
      <c r="BV153" s="77">
        <f t="shared" si="51"/>
        <v>0</v>
      </c>
      <c r="BW153" s="77">
        <f t="shared" si="51"/>
        <v>0</v>
      </c>
      <c r="BX153" s="77">
        <f t="shared" si="51"/>
        <v>0</v>
      </c>
      <c r="BY153" s="77">
        <f t="shared" si="51"/>
        <v>1</v>
      </c>
      <c r="BZ153" s="77">
        <f t="shared" si="51"/>
        <v>0</v>
      </c>
      <c r="CA153" s="77">
        <f t="shared" si="51"/>
        <v>0</v>
      </c>
      <c r="CB153" s="77">
        <f t="shared" si="51"/>
        <v>0</v>
      </c>
      <c r="CC153" s="77">
        <f t="shared" si="51"/>
        <v>1</v>
      </c>
      <c r="CD153" s="77">
        <f t="shared" si="51"/>
        <v>1</v>
      </c>
      <c r="CE153" s="77">
        <f t="shared" si="51"/>
        <v>0</v>
      </c>
      <c r="CF153" s="77">
        <f t="shared" si="51"/>
        <v>0</v>
      </c>
      <c r="CG153" s="77">
        <f t="shared" si="51"/>
        <v>0</v>
      </c>
      <c r="CH153" s="77">
        <f t="shared" si="51"/>
        <v>0</v>
      </c>
      <c r="CI153" s="77">
        <f t="shared" si="51"/>
        <v>1</v>
      </c>
      <c r="CJ153" s="77">
        <f t="shared" si="51"/>
        <v>0</v>
      </c>
      <c r="CK153" s="77">
        <f t="shared" si="51"/>
        <v>0</v>
      </c>
      <c r="CL153" s="77">
        <f t="shared" si="51"/>
        <v>0</v>
      </c>
      <c r="CM153" s="77">
        <f t="shared" si="51"/>
        <v>0</v>
      </c>
      <c r="CN153" s="77">
        <f t="shared" si="51"/>
        <v>1</v>
      </c>
      <c r="CO153" s="77">
        <f t="shared" si="51"/>
        <v>0</v>
      </c>
      <c r="CP153" s="77">
        <f t="shared" si="51"/>
        <v>0</v>
      </c>
      <c r="CQ153" s="77">
        <f t="shared" si="51"/>
        <v>0</v>
      </c>
      <c r="CR153" s="77">
        <f t="shared" si="51"/>
        <v>1</v>
      </c>
      <c r="CS153" s="77">
        <f t="shared" si="51"/>
        <v>0</v>
      </c>
      <c r="CT153" s="77">
        <f t="shared" si="51"/>
        <v>0</v>
      </c>
      <c r="CU153" s="77">
        <f t="shared" si="51"/>
        <v>1</v>
      </c>
      <c r="CV153" s="77">
        <f t="shared" si="51"/>
        <v>1</v>
      </c>
      <c r="CW153" s="77">
        <f t="shared" si="51"/>
        <v>0</v>
      </c>
      <c r="CX153" s="77">
        <f t="shared" si="51"/>
        <v>0</v>
      </c>
      <c r="CY153" s="77">
        <f t="shared" si="51"/>
        <v>1</v>
      </c>
      <c r="CZ153" s="77">
        <f t="shared" si="51"/>
        <v>0</v>
      </c>
      <c r="DA153" s="77">
        <f t="shared" si="51"/>
        <v>0</v>
      </c>
      <c r="DB153" s="77">
        <f t="shared" si="51"/>
        <v>0</v>
      </c>
      <c r="DC153" s="77">
        <f t="shared" si="51"/>
        <v>0</v>
      </c>
      <c r="DD153" s="77">
        <f t="shared" si="51"/>
        <v>0</v>
      </c>
      <c r="DE153" s="77">
        <f t="shared" si="51"/>
        <v>0</v>
      </c>
      <c r="DF153" s="77">
        <f t="shared" si="51"/>
        <v>0</v>
      </c>
      <c r="DG153" s="77">
        <f t="shared" si="51"/>
        <v>0</v>
      </c>
      <c r="DH153" s="77">
        <f t="shared" si="51"/>
        <v>0</v>
      </c>
      <c r="DI153" s="77">
        <f t="shared" si="51"/>
        <v>1</v>
      </c>
      <c r="DJ153" s="77">
        <f t="shared" si="51"/>
        <v>0</v>
      </c>
      <c r="DK153" s="77">
        <f t="shared" si="51"/>
        <v>0</v>
      </c>
      <c r="DL153" s="77">
        <f t="shared" si="51"/>
        <v>0</v>
      </c>
      <c r="DM153" s="77">
        <f t="shared" si="51"/>
        <v>0</v>
      </c>
      <c r="DN153" s="77">
        <f t="shared" si="51"/>
        <v>0</v>
      </c>
      <c r="DO153" s="77">
        <f t="shared" si="51"/>
        <v>0</v>
      </c>
      <c r="DP153" s="77">
        <f t="shared" si="51"/>
        <v>0</v>
      </c>
      <c r="DQ153" s="77">
        <f t="shared" si="51"/>
        <v>1</v>
      </c>
      <c r="DR153" s="77">
        <f t="shared" si="51"/>
        <v>1</v>
      </c>
      <c r="DS153" s="77">
        <f t="shared" si="51"/>
        <v>1</v>
      </c>
      <c r="DT153" s="77">
        <f t="shared" si="51"/>
        <v>0</v>
      </c>
      <c r="DU153" s="77">
        <f t="shared" si="51"/>
        <v>0</v>
      </c>
      <c r="DV153" s="77">
        <f t="shared" si="51"/>
        <v>0</v>
      </c>
      <c r="DW153" s="77">
        <f t="shared" si="51"/>
        <v>0</v>
      </c>
      <c r="DX153" s="77">
        <f t="shared" si="51"/>
        <v>0</v>
      </c>
      <c r="DY153" s="77">
        <f t="shared" si="51"/>
        <v>1</v>
      </c>
      <c r="DZ153" s="77">
        <f t="shared" si="46"/>
        <v>0</v>
      </c>
      <c r="EA153" s="77">
        <f t="shared" si="45"/>
        <v>0</v>
      </c>
      <c r="EB153" s="77">
        <f t="shared" si="45"/>
        <v>0</v>
      </c>
      <c r="EC153" s="77">
        <f t="shared" si="45"/>
        <v>0</v>
      </c>
      <c r="ED153" s="77">
        <f t="shared" si="45"/>
        <v>0</v>
      </c>
      <c r="EE153" s="77">
        <f t="shared" si="45"/>
        <v>0</v>
      </c>
      <c r="EF153" s="77">
        <f t="shared" si="45"/>
        <v>1</v>
      </c>
      <c r="EG153" s="77">
        <f t="shared" si="45"/>
        <v>1</v>
      </c>
      <c r="EH153" s="77">
        <f t="shared" si="45"/>
        <v>0</v>
      </c>
      <c r="EI153" s="77">
        <f t="shared" si="45"/>
        <v>0</v>
      </c>
      <c r="EJ153" s="77">
        <f t="shared" si="45"/>
        <v>0</v>
      </c>
      <c r="EK153" s="77">
        <f t="shared" si="45"/>
        <v>0</v>
      </c>
      <c r="EL153" s="77">
        <f t="shared" si="45"/>
        <v>0</v>
      </c>
      <c r="EM153" s="77">
        <f t="shared" si="45"/>
        <v>0</v>
      </c>
      <c r="EN153" s="77">
        <f t="shared" si="45"/>
        <v>0</v>
      </c>
      <c r="EO153" s="77">
        <f t="shared" si="45"/>
        <v>0</v>
      </c>
      <c r="EP153" s="77">
        <f t="shared" si="45"/>
        <v>0</v>
      </c>
      <c r="EQ153" s="77">
        <f t="shared" si="45"/>
        <v>0</v>
      </c>
      <c r="ER153" s="77">
        <f t="shared" si="45"/>
        <v>0</v>
      </c>
      <c r="ES153" s="77">
        <f t="shared" si="45"/>
        <v>0</v>
      </c>
    </row>
    <row r="154" spans="1:149" x14ac:dyDescent="0.3">
      <c r="A154" s="37" t="s">
        <v>27</v>
      </c>
      <c r="B154" s="77">
        <f t="shared" si="43"/>
        <v>0</v>
      </c>
      <c r="C154" s="77">
        <f t="shared" si="52"/>
        <v>0</v>
      </c>
      <c r="D154" s="77">
        <f t="shared" si="52"/>
        <v>0</v>
      </c>
      <c r="E154" s="77">
        <f t="shared" si="52"/>
        <v>0</v>
      </c>
      <c r="F154" s="77">
        <f t="shared" si="52"/>
        <v>0</v>
      </c>
      <c r="G154" s="77">
        <f t="shared" si="52"/>
        <v>1</v>
      </c>
      <c r="H154" s="77">
        <f t="shared" si="52"/>
        <v>0</v>
      </c>
      <c r="I154" s="77">
        <f t="shared" si="52"/>
        <v>0</v>
      </c>
      <c r="J154" s="77">
        <f t="shared" si="52"/>
        <v>0</v>
      </c>
      <c r="K154" s="77">
        <f t="shared" si="52"/>
        <v>0</v>
      </c>
      <c r="L154" s="77">
        <f t="shared" si="52"/>
        <v>0</v>
      </c>
      <c r="M154" s="77">
        <f t="shared" si="52"/>
        <v>1</v>
      </c>
      <c r="N154" s="77">
        <f t="shared" si="52"/>
        <v>0</v>
      </c>
      <c r="O154" s="77">
        <f t="shared" si="52"/>
        <v>0</v>
      </c>
      <c r="P154" s="77">
        <f t="shared" si="52"/>
        <v>0</v>
      </c>
      <c r="Q154" s="77">
        <f t="shared" si="52"/>
        <v>0</v>
      </c>
      <c r="R154" s="77">
        <f t="shared" si="52"/>
        <v>1</v>
      </c>
      <c r="S154" s="77">
        <f t="shared" si="52"/>
        <v>1</v>
      </c>
      <c r="T154" s="77">
        <f t="shared" si="52"/>
        <v>0</v>
      </c>
      <c r="U154" s="77">
        <f t="shared" si="52"/>
        <v>0</v>
      </c>
      <c r="V154" s="77">
        <f t="shared" si="52"/>
        <v>1</v>
      </c>
      <c r="W154" s="77">
        <f t="shared" si="52"/>
        <v>0</v>
      </c>
      <c r="X154" s="77">
        <f t="shared" si="52"/>
        <v>0</v>
      </c>
      <c r="Y154" s="77">
        <f t="shared" si="52"/>
        <v>0</v>
      </c>
      <c r="Z154" s="77">
        <f t="shared" si="52"/>
        <v>0</v>
      </c>
      <c r="AA154" s="77">
        <f t="shared" si="52"/>
        <v>0</v>
      </c>
      <c r="AB154" s="77">
        <f t="shared" si="52"/>
        <v>0</v>
      </c>
      <c r="AC154" s="77">
        <f t="shared" si="52"/>
        <v>1</v>
      </c>
      <c r="AD154" s="77">
        <f t="shared" si="52"/>
        <v>0</v>
      </c>
      <c r="AE154" s="77">
        <f t="shared" si="52"/>
        <v>0</v>
      </c>
      <c r="AF154" s="77">
        <f t="shared" si="52"/>
        <v>1</v>
      </c>
      <c r="AG154" s="77">
        <f t="shared" si="52"/>
        <v>0</v>
      </c>
      <c r="AH154" s="77">
        <f t="shared" si="52"/>
        <v>0</v>
      </c>
      <c r="AI154" s="77">
        <f t="shared" si="52"/>
        <v>0</v>
      </c>
      <c r="AJ154" s="77">
        <f t="shared" si="52"/>
        <v>0</v>
      </c>
      <c r="AK154" s="77">
        <f t="shared" si="52"/>
        <v>0</v>
      </c>
      <c r="AL154" s="77">
        <f t="shared" si="52"/>
        <v>0</v>
      </c>
      <c r="AM154" s="77">
        <f t="shared" si="52"/>
        <v>1</v>
      </c>
      <c r="AN154" s="77">
        <f t="shared" si="52"/>
        <v>0</v>
      </c>
      <c r="AO154" s="77">
        <f t="shared" si="52"/>
        <v>0</v>
      </c>
      <c r="AP154" s="77">
        <f t="shared" si="52"/>
        <v>1</v>
      </c>
      <c r="AQ154" s="77">
        <f t="shared" si="52"/>
        <v>1</v>
      </c>
      <c r="AR154" s="77">
        <f t="shared" si="52"/>
        <v>1</v>
      </c>
      <c r="AS154" s="77">
        <f t="shared" si="52"/>
        <v>0</v>
      </c>
      <c r="AT154" s="77">
        <f t="shared" si="52"/>
        <v>0</v>
      </c>
      <c r="AU154" s="77">
        <f t="shared" si="52"/>
        <v>0</v>
      </c>
      <c r="AV154" s="77">
        <f t="shared" si="52"/>
        <v>1</v>
      </c>
      <c r="AW154" s="77">
        <f t="shared" si="52"/>
        <v>0</v>
      </c>
      <c r="AX154" s="77">
        <f t="shared" si="52"/>
        <v>1</v>
      </c>
      <c r="AY154" s="77">
        <f t="shared" si="52"/>
        <v>0</v>
      </c>
      <c r="AZ154" s="77">
        <f t="shared" si="52"/>
        <v>0</v>
      </c>
      <c r="BA154" s="77">
        <f t="shared" si="52"/>
        <v>0</v>
      </c>
      <c r="BB154" s="77">
        <f t="shared" si="52"/>
        <v>0</v>
      </c>
      <c r="BC154" s="77">
        <f t="shared" si="52"/>
        <v>0</v>
      </c>
      <c r="BD154" s="77">
        <f t="shared" si="52"/>
        <v>0</v>
      </c>
      <c r="BE154" s="77">
        <f t="shared" si="52"/>
        <v>0</v>
      </c>
      <c r="BF154" s="77">
        <f t="shared" si="52"/>
        <v>0</v>
      </c>
      <c r="BG154" s="77">
        <f t="shared" si="52"/>
        <v>1</v>
      </c>
      <c r="BH154" s="77">
        <f t="shared" si="52"/>
        <v>0</v>
      </c>
      <c r="BI154" s="77">
        <f t="shared" si="52"/>
        <v>0</v>
      </c>
      <c r="BJ154" s="77">
        <f t="shared" si="52"/>
        <v>0</v>
      </c>
      <c r="BK154" s="77">
        <f t="shared" si="52"/>
        <v>0</v>
      </c>
      <c r="BL154" s="77">
        <f t="shared" si="52"/>
        <v>0</v>
      </c>
      <c r="BM154" s="77">
        <f t="shared" si="52"/>
        <v>0</v>
      </c>
      <c r="BN154" s="77">
        <f t="shared" si="52"/>
        <v>0</v>
      </c>
      <c r="BO154" s="77">
        <f t="shared" si="51"/>
        <v>0</v>
      </c>
      <c r="BP154" s="77">
        <f t="shared" si="51"/>
        <v>0</v>
      </c>
      <c r="BQ154" s="77">
        <f t="shared" si="51"/>
        <v>0</v>
      </c>
      <c r="BR154" s="77">
        <f t="shared" si="51"/>
        <v>0</v>
      </c>
      <c r="BS154" s="77">
        <f t="shared" si="51"/>
        <v>0</v>
      </c>
      <c r="BT154" s="77">
        <f t="shared" si="51"/>
        <v>0</v>
      </c>
      <c r="BU154" s="77">
        <f t="shared" si="51"/>
        <v>0</v>
      </c>
      <c r="BV154" s="77">
        <f t="shared" si="51"/>
        <v>0</v>
      </c>
      <c r="BW154" s="77">
        <f t="shared" si="51"/>
        <v>0</v>
      </c>
      <c r="BX154" s="77">
        <f t="shared" si="51"/>
        <v>0</v>
      </c>
      <c r="BY154" s="77">
        <f t="shared" si="51"/>
        <v>0</v>
      </c>
      <c r="BZ154" s="77">
        <f t="shared" si="51"/>
        <v>0</v>
      </c>
      <c r="CA154" s="77">
        <f t="shared" si="51"/>
        <v>0</v>
      </c>
      <c r="CB154" s="77">
        <f t="shared" si="51"/>
        <v>0</v>
      </c>
      <c r="CC154" s="77">
        <f t="shared" si="51"/>
        <v>0</v>
      </c>
      <c r="CD154" s="77">
        <f t="shared" si="51"/>
        <v>0</v>
      </c>
      <c r="CE154" s="77">
        <f t="shared" si="51"/>
        <v>0</v>
      </c>
      <c r="CF154" s="77">
        <f t="shared" si="51"/>
        <v>0</v>
      </c>
      <c r="CG154" s="77">
        <f t="shared" si="51"/>
        <v>0</v>
      </c>
      <c r="CH154" s="77">
        <f t="shared" si="51"/>
        <v>0</v>
      </c>
      <c r="CI154" s="77">
        <f t="shared" si="51"/>
        <v>0</v>
      </c>
      <c r="CJ154" s="77">
        <f t="shared" si="51"/>
        <v>0</v>
      </c>
      <c r="CK154" s="77">
        <f t="shared" si="51"/>
        <v>0</v>
      </c>
      <c r="CL154" s="77">
        <f t="shared" si="51"/>
        <v>0</v>
      </c>
      <c r="CM154" s="77">
        <f t="shared" si="51"/>
        <v>0</v>
      </c>
      <c r="CN154" s="77">
        <f t="shared" si="51"/>
        <v>0</v>
      </c>
      <c r="CO154" s="77">
        <f t="shared" si="51"/>
        <v>0</v>
      </c>
      <c r="CP154" s="77">
        <f t="shared" si="51"/>
        <v>0</v>
      </c>
      <c r="CQ154" s="77">
        <f t="shared" si="51"/>
        <v>0</v>
      </c>
      <c r="CR154" s="77">
        <f t="shared" si="51"/>
        <v>0</v>
      </c>
      <c r="CS154" s="77">
        <f t="shared" si="51"/>
        <v>0</v>
      </c>
      <c r="CT154" s="77">
        <f t="shared" si="51"/>
        <v>0</v>
      </c>
      <c r="CU154" s="77">
        <f t="shared" si="51"/>
        <v>0</v>
      </c>
      <c r="CV154" s="77">
        <f t="shared" si="51"/>
        <v>0</v>
      </c>
      <c r="CW154" s="77">
        <f t="shared" si="51"/>
        <v>1</v>
      </c>
      <c r="CX154" s="77">
        <f t="shared" si="51"/>
        <v>0</v>
      </c>
      <c r="CY154" s="77">
        <f t="shared" si="51"/>
        <v>0</v>
      </c>
      <c r="CZ154" s="77">
        <f t="shared" si="51"/>
        <v>1</v>
      </c>
      <c r="DA154" s="77">
        <f t="shared" si="51"/>
        <v>0</v>
      </c>
      <c r="DB154" s="77">
        <f t="shared" si="51"/>
        <v>0</v>
      </c>
      <c r="DC154" s="77">
        <f t="shared" si="51"/>
        <v>0</v>
      </c>
      <c r="DD154" s="77">
        <f t="shared" si="51"/>
        <v>0</v>
      </c>
      <c r="DE154" s="77">
        <f t="shared" si="51"/>
        <v>0</v>
      </c>
      <c r="DF154" s="77">
        <f t="shared" si="51"/>
        <v>0</v>
      </c>
      <c r="DG154" s="77">
        <f t="shared" si="51"/>
        <v>0</v>
      </c>
      <c r="DH154" s="77">
        <f t="shared" si="51"/>
        <v>0</v>
      </c>
      <c r="DI154" s="77">
        <f t="shared" si="51"/>
        <v>0</v>
      </c>
      <c r="DJ154" s="77">
        <f t="shared" si="51"/>
        <v>1</v>
      </c>
      <c r="DK154" s="77">
        <f t="shared" si="51"/>
        <v>0</v>
      </c>
      <c r="DL154" s="77">
        <f t="shared" si="51"/>
        <v>1</v>
      </c>
      <c r="DM154" s="77">
        <f t="shared" si="51"/>
        <v>1</v>
      </c>
      <c r="DN154" s="77">
        <f t="shared" si="51"/>
        <v>0</v>
      </c>
      <c r="DO154" s="77">
        <f t="shared" si="51"/>
        <v>0</v>
      </c>
      <c r="DP154" s="77">
        <f t="shared" si="51"/>
        <v>1</v>
      </c>
      <c r="DQ154" s="77">
        <f t="shared" si="51"/>
        <v>0</v>
      </c>
      <c r="DR154" s="77">
        <f t="shared" si="51"/>
        <v>0</v>
      </c>
      <c r="DS154" s="77">
        <f t="shared" si="51"/>
        <v>0</v>
      </c>
      <c r="DT154" s="77">
        <f t="shared" si="51"/>
        <v>1</v>
      </c>
      <c r="DU154" s="77">
        <f t="shared" si="51"/>
        <v>0</v>
      </c>
      <c r="DV154" s="77">
        <f t="shared" si="51"/>
        <v>1</v>
      </c>
      <c r="DW154" s="77">
        <f t="shared" si="51"/>
        <v>0</v>
      </c>
      <c r="DX154" s="77">
        <f t="shared" si="51"/>
        <v>0</v>
      </c>
      <c r="DY154" s="77">
        <f t="shared" si="51"/>
        <v>0</v>
      </c>
      <c r="DZ154" s="77">
        <f t="shared" si="46"/>
        <v>0</v>
      </c>
      <c r="EA154" s="77">
        <f t="shared" si="45"/>
        <v>0</v>
      </c>
      <c r="EB154" s="77">
        <f t="shared" si="45"/>
        <v>0</v>
      </c>
      <c r="EC154" s="77">
        <f t="shared" si="45"/>
        <v>1</v>
      </c>
      <c r="ED154" s="77">
        <f t="shared" si="45"/>
        <v>1</v>
      </c>
      <c r="EE154" s="77">
        <f t="shared" si="45"/>
        <v>0</v>
      </c>
      <c r="EF154" s="77">
        <f t="shared" si="45"/>
        <v>0</v>
      </c>
      <c r="EG154" s="77">
        <f t="shared" si="45"/>
        <v>0</v>
      </c>
      <c r="EH154" s="77">
        <f t="shared" ref="EH154:ES154" si="53">IF(EH35&lt;=$B$136,1,0)</f>
        <v>0</v>
      </c>
      <c r="EI154" s="77">
        <f t="shared" si="53"/>
        <v>0</v>
      </c>
      <c r="EJ154" s="77">
        <f t="shared" si="53"/>
        <v>0</v>
      </c>
      <c r="EK154" s="77">
        <f t="shared" si="53"/>
        <v>0</v>
      </c>
      <c r="EL154" s="77">
        <f t="shared" si="53"/>
        <v>0</v>
      </c>
      <c r="EM154" s="77">
        <f t="shared" si="53"/>
        <v>0</v>
      </c>
      <c r="EN154" s="77">
        <f t="shared" si="53"/>
        <v>0</v>
      </c>
      <c r="EO154" s="77">
        <f t="shared" si="53"/>
        <v>0</v>
      </c>
      <c r="EP154" s="77">
        <f t="shared" si="53"/>
        <v>1</v>
      </c>
      <c r="EQ154" s="77">
        <f t="shared" si="53"/>
        <v>0</v>
      </c>
      <c r="ER154" s="77">
        <f t="shared" si="53"/>
        <v>0</v>
      </c>
      <c r="ES154" s="77">
        <f t="shared" si="53"/>
        <v>0</v>
      </c>
    </row>
    <row r="155" spans="1:149" x14ac:dyDescent="0.3">
      <c r="A155" s="37" t="s">
        <v>25</v>
      </c>
      <c r="B155" s="77">
        <f t="shared" si="43"/>
        <v>0</v>
      </c>
      <c r="C155" s="77">
        <f t="shared" si="52"/>
        <v>0</v>
      </c>
      <c r="D155" s="77">
        <f t="shared" si="52"/>
        <v>1</v>
      </c>
      <c r="E155" s="77">
        <f t="shared" si="52"/>
        <v>1</v>
      </c>
      <c r="F155" s="77">
        <f t="shared" si="52"/>
        <v>0</v>
      </c>
      <c r="G155" s="77">
        <f t="shared" si="52"/>
        <v>0</v>
      </c>
      <c r="H155" s="77">
        <f t="shared" si="52"/>
        <v>0</v>
      </c>
      <c r="I155" s="77">
        <f t="shared" si="52"/>
        <v>0</v>
      </c>
      <c r="J155" s="77">
        <f t="shared" si="52"/>
        <v>0</v>
      </c>
      <c r="K155" s="77">
        <f t="shared" si="52"/>
        <v>1</v>
      </c>
      <c r="L155" s="77">
        <f t="shared" si="52"/>
        <v>0</v>
      </c>
      <c r="M155" s="77">
        <f t="shared" si="52"/>
        <v>0</v>
      </c>
      <c r="N155" s="77">
        <f t="shared" si="52"/>
        <v>0</v>
      </c>
      <c r="O155" s="77">
        <f t="shared" si="52"/>
        <v>1</v>
      </c>
      <c r="P155" s="77">
        <f t="shared" si="52"/>
        <v>0</v>
      </c>
      <c r="Q155" s="77">
        <f t="shared" si="52"/>
        <v>0</v>
      </c>
      <c r="R155" s="77">
        <f t="shared" si="52"/>
        <v>0</v>
      </c>
      <c r="S155" s="77">
        <f t="shared" si="52"/>
        <v>0</v>
      </c>
      <c r="T155" s="77">
        <f t="shared" si="52"/>
        <v>0</v>
      </c>
      <c r="U155" s="77">
        <f t="shared" si="52"/>
        <v>1</v>
      </c>
      <c r="V155" s="77">
        <f t="shared" si="52"/>
        <v>0</v>
      </c>
      <c r="W155" s="77">
        <f t="shared" si="52"/>
        <v>0</v>
      </c>
      <c r="X155" s="77">
        <f t="shared" si="52"/>
        <v>0</v>
      </c>
      <c r="Y155" s="77">
        <f t="shared" si="52"/>
        <v>0</v>
      </c>
      <c r="Z155" s="77">
        <f t="shared" si="52"/>
        <v>0</v>
      </c>
      <c r="AA155" s="77">
        <f t="shared" si="52"/>
        <v>0</v>
      </c>
      <c r="AB155" s="77">
        <f t="shared" si="52"/>
        <v>0</v>
      </c>
      <c r="AC155" s="77">
        <f t="shared" si="52"/>
        <v>0</v>
      </c>
      <c r="AD155" s="77">
        <f t="shared" si="52"/>
        <v>0</v>
      </c>
      <c r="AE155" s="77">
        <f t="shared" si="52"/>
        <v>0</v>
      </c>
      <c r="AF155" s="77">
        <f t="shared" si="52"/>
        <v>0</v>
      </c>
      <c r="AG155" s="77">
        <f t="shared" si="52"/>
        <v>0</v>
      </c>
      <c r="AH155" s="77">
        <f t="shared" si="52"/>
        <v>0</v>
      </c>
      <c r="AI155" s="77">
        <f t="shared" si="52"/>
        <v>0</v>
      </c>
      <c r="AJ155" s="77">
        <f t="shared" si="52"/>
        <v>0</v>
      </c>
      <c r="AK155" s="77">
        <f t="shared" si="52"/>
        <v>0</v>
      </c>
      <c r="AL155" s="77">
        <f t="shared" si="52"/>
        <v>0</v>
      </c>
      <c r="AM155" s="77">
        <f t="shared" si="52"/>
        <v>0</v>
      </c>
      <c r="AN155" s="77">
        <f t="shared" si="52"/>
        <v>0</v>
      </c>
      <c r="AO155" s="77">
        <f t="shared" si="52"/>
        <v>0</v>
      </c>
      <c r="AP155" s="77">
        <f t="shared" si="52"/>
        <v>0</v>
      </c>
      <c r="AQ155" s="77">
        <f t="shared" si="52"/>
        <v>0</v>
      </c>
      <c r="AR155" s="77">
        <f t="shared" si="52"/>
        <v>0</v>
      </c>
      <c r="AS155" s="77">
        <f t="shared" si="52"/>
        <v>0</v>
      </c>
      <c r="AT155" s="77">
        <f t="shared" si="52"/>
        <v>0</v>
      </c>
      <c r="AU155" s="77">
        <f t="shared" si="52"/>
        <v>0</v>
      </c>
      <c r="AV155" s="77">
        <f t="shared" si="52"/>
        <v>0</v>
      </c>
      <c r="AW155" s="77">
        <f t="shared" si="52"/>
        <v>0</v>
      </c>
      <c r="AX155" s="77">
        <f t="shared" si="52"/>
        <v>0</v>
      </c>
      <c r="AY155" s="77">
        <f t="shared" si="52"/>
        <v>0</v>
      </c>
      <c r="AZ155" s="77">
        <f t="shared" si="52"/>
        <v>0</v>
      </c>
      <c r="BA155" s="77">
        <f t="shared" si="52"/>
        <v>0</v>
      </c>
      <c r="BB155" s="77">
        <f t="shared" si="52"/>
        <v>1</v>
      </c>
      <c r="BC155" s="77">
        <f t="shared" si="52"/>
        <v>0</v>
      </c>
      <c r="BD155" s="77">
        <f t="shared" si="52"/>
        <v>0</v>
      </c>
      <c r="BE155" s="77">
        <f t="shared" si="52"/>
        <v>0</v>
      </c>
      <c r="BF155" s="77">
        <f t="shared" si="52"/>
        <v>0</v>
      </c>
      <c r="BG155" s="77">
        <f t="shared" si="52"/>
        <v>0</v>
      </c>
      <c r="BH155" s="77">
        <f t="shared" si="52"/>
        <v>0</v>
      </c>
      <c r="BI155" s="77">
        <f t="shared" si="52"/>
        <v>0</v>
      </c>
      <c r="BJ155" s="77">
        <f t="shared" si="52"/>
        <v>0</v>
      </c>
      <c r="BK155" s="77">
        <f t="shared" si="52"/>
        <v>0</v>
      </c>
      <c r="BL155" s="77">
        <f t="shared" si="52"/>
        <v>0</v>
      </c>
      <c r="BM155" s="77">
        <f t="shared" si="52"/>
        <v>1</v>
      </c>
      <c r="BN155" s="77">
        <f t="shared" ref="BN155:DY158" si="54">IF(BN36&lt;=$B$136,1,0)</f>
        <v>0</v>
      </c>
      <c r="BO155" s="77">
        <f t="shared" si="54"/>
        <v>0</v>
      </c>
      <c r="BP155" s="77">
        <f t="shared" si="54"/>
        <v>0</v>
      </c>
      <c r="BQ155" s="77">
        <f t="shared" si="54"/>
        <v>0</v>
      </c>
      <c r="BR155" s="77">
        <f t="shared" si="54"/>
        <v>0</v>
      </c>
      <c r="BS155" s="77">
        <f t="shared" si="54"/>
        <v>1</v>
      </c>
      <c r="BT155" s="77">
        <f t="shared" si="54"/>
        <v>0</v>
      </c>
      <c r="BU155" s="77">
        <f t="shared" si="54"/>
        <v>0</v>
      </c>
      <c r="BV155" s="77">
        <f t="shared" si="54"/>
        <v>0</v>
      </c>
      <c r="BW155" s="77">
        <f t="shared" si="54"/>
        <v>0</v>
      </c>
      <c r="BX155" s="77">
        <f t="shared" si="54"/>
        <v>0</v>
      </c>
      <c r="BY155" s="77">
        <f t="shared" si="54"/>
        <v>0</v>
      </c>
      <c r="BZ155" s="77">
        <f t="shared" si="54"/>
        <v>0</v>
      </c>
      <c r="CA155" s="77">
        <f t="shared" si="54"/>
        <v>0</v>
      </c>
      <c r="CB155" s="77">
        <f t="shared" si="54"/>
        <v>0</v>
      </c>
      <c r="CC155" s="77">
        <f t="shared" si="54"/>
        <v>0</v>
      </c>
      <c r="CD155" s="77">
        <f t="shared" si="54"/>
        <v>0</v>
      </c>
      <c r="CE155" s="77">
        <f t="shared" si="54"/>
        <v>1</v>
      </c>
      <c r="CF155" s="77">
        <f t="shared" si="54"/>
        <v>0</v>
      </c>
      <c r="CG155" s="77">
        <f t="shared" si="54"/>
        <v>0</v>
      </c>
      <c r="CH155" s="77">
        <f t="shared" si="54"/>
        <v>0</v>
      </c>
      <c r="CI155" s="77">
        <f t="shared" si="54"/>
        <v>0</v>
      </c>
      <c r="CJ155" s="77">
        <f t="shared" si="54"/>
        <v>0</v>
      </c>
      <c r="CK155" s="77">
        <f t="shared" si="54"/>
        <v>0</v>
      </c>
      <c r="CL155" s="77">
        <f t="shared" si="54"/>
        <v>0</v>
      </c>
      <c r="CM155" s="77">
        <f t="shared" si="54"/>
        <v>0</v>
      </c>
      <c r="CN155" s="77">
        <f t="shared" si="54"/>
        <v>0</v>
      </c>
      <c r="CO155" s="77">
        <f t="shared" si="54"/>
        <v>0</v>
      </c>
      <c r="CP155" s="77">
        <f t="shared" si="54"/>
        <v>0</v>
      </c>
      <c r="CQ155" s="77">
        <f t="shared" si="54"/>
        <v>1</v>
      </c>
      <c r="CR155" s="77">
        <f t="shared" si="54"/>
        <v>0</v>
      </c>
      <c r="CS155" s="77">
        <f t="shared" si="54"/>
        <v>0</v>
      </c>
      <c r="CT155" s="77">
        <f t="shared" si="54"/>
        <v>0</v>
      </c>
      <c r="CU155" s="77">
        <f t="shared" si="54"/>
        <v>0</v>
      </c>
      <c r="CV155" s="77">
        <f t="shared" si="54"/>
        <v>0</v>
      </c>
      <c r="CW155" s="77">
        <f t="shared" si="54"/>
        <v>0</v>
      </c>
      <c r="CX155" s="77">
        <f t="shared" si="54"/>
        <v>1</v>
      </c>
      <c r="CY155" s="77">
        <f t="shared" si="54"/>
        <v>0</v>
      </c>
      <c r="CZ155" s="77">
        <f t="shared" si="54"/>
        <v>0</v>
      </c>
      <c r="DA155" s="77">
        <f t="shared" si="54"/>
        <v>0</v>
      </c>
      <c r="DB155" s="77">
        <f t="shared" si="54"/>
        <v>0</v>
      </c>
      <c r="DC155" s="77">
        <f t="shared" si="54"/>
        <v>0</v>
      </c>
      <c r="DD155" s="77">
        <f t="shared" si="54"/>
        <v>1</v>
      </c>
      <c r="DE155" s="77">
        <f t="shared" si="54"/>
        <v>1</v>
      </c>
      <c r="DF155" s="77">
        <f t="shared" si="54"/>
        <v>1</v>
      </c>
      <c r="DG155" s="77">
        <f t="shared" si="54"/>
        <v>1</v>
      </c>
      <c r="DH155" s="77">
        <f t="shared" si="54"/>
        <v>1</v>
      </c>
      <c r="DI155" s="77">
        <f t="shared" si="54"/>
        <v>0</v>
      </c>
      <c r="DJ155" s="77">
        <f t="shared" si="54"/>
        <v>0</v>
      </c>
      <c r="DK155" s="77">
        <f t="shared" si="54"/>
        <v>1</v>
      </c>
      <c r="DL155" s="77">
        <f t="shared" si="54"/>
        <v>0</v>
      </c>
      <c r="DM155" s="77">
        <f t="shared" si="54"/>
        <v>0</v>
      </c>
      <c r="DN155" s="77">
        <f t="shared" si="54"/>
        <v>0</v>
      </c>
      <c r="DO155" s="77">
        <f t="shared" si="54"/>
        <v>0</v>
      </c>
      <c r="DP155" s="77">
        <f t="shared" si="54"/>
        <v>0</v>
      </c>
      <c r="DQ155" s="77">
        <f t="shared" si="54"/>
        <v>0</v>
      </c>
      <c r="DR155" s="77">
        <f t="shared" si="54"/>
        <v>0</v>
      </c>
      <c r="DS155" s="77">
        <f t="shared" si="54"/>
        <v>0</v>
      </c>
      <c r="DT155" s="77">
        <f t="shared" si="54"/>
        <v>0</v>
      </c>
      <c r="DU155" s="77">
        <f t="shared" si="54"/>
        <v>0</v>
      </c>
      <c r="DV155" s="77">
        <f t="shared" si="54"/>
        <v>0</v>
      </c>
      <c r="DW155" s="77">
        <f t="shared" si="54"/>
        <v>1</v>
      </c>
      <c r="DX155" s="77">
        <f t="shared" si="54"/>
        <v>1</v>
      </c>
      <c r="DY155" s="77">
        <f t="shared" si="54"/>
        <v>0</v>
      </c>
      <c r="DZ155" s="77">
        <f t="shared" si="46"/>
        <v>1</v>
      </c>
      <c r="EA155" s="77">
        <f t="shared" ref="EA155:ES157" si="55">IF(EA36&lt;=$B$136,1,0)</f>
        <v>0</v>
      </c>
      <c r="EB155" s="77">
        <f t="shared" si="55"/>
        <v>0</v>
      </c>
      <c r="EC155" s="77">
        <f t="shared" si="55"/>
        <v>0</v>
      </c>
      <c r="ED155" s="77">
        <f t="shared" si="55"/>
        <v>0</v>
      </c>
      <c r="EE155" s="77">
        <f t="shared" si="55"/>
        <v>1</v>
      </c>
      <c r="EF155" s="77">
        <f t="shared" si="55"/>
        <v>0</v>
      </c>
      <c r="EG155" s="77">
        <f t="shared" si="55"/>
        <v>0</v>
      </c>
      <c r="EH155" s="77">
        <f t="shared" si="55"/>
        <v>0</v>
      </c>
      <c r="EI155" s="77">
        <f t="shared" si="55"/>
        <v>0</v>
      </c>
      <c r="EJ155" s="77">
        <f t="shared" si="55"/>
        <v>0</v>
      </c>
      <c r="EK155" s="77">
        <f t="shared" si="55"/>
        <v>0</v>
      </c>
      <c r="EL155" s="77">
        <f t="shared" si="55"/>
        <v>0</v>
      </c>
      <c r="EM155" s="77">
        <f t="shared" si="55"/>
        <v>0</v>
      </c>
      <c r="EN155" s="77">
        <f t="shared" si="55"/>
        <v>0</v>
      </c>
      <c r="EO155" s="77">
        <f t="shared" si="55"/>
        <v>0</v>
      </c>
      <c r="EP155" s="77">
        <f t="shared" si="55"/>
        <v>0</v>
      </c>
      <c r="EQ155" s="77">
        <f t="shared" si="55"/>
        <v>0</v>
      </c>
      <c r="ER155" s="77">
        <f t="shared" si="55"/>
        <v>0</v>
      </c>
      <c r="ES155" s="77">
        <f t="shared" si="55"/>
        <v>0</v>
      </c>
    </row>
    <row r="156" spans="1:149" x14ac:dyDescent="0.3">
      <c r="A156" s="37" t="s">
        <v>8</v>
      </c>
      <c r="B156" s="77">
        <f t="shared" si="43"/>
        <v>0</v>
      </c>
      <c r="C156" s="77">
        <f t="shared" ref="C156:BN159" si="56">IF(C37&lt;=$B$136,1,0)</f>
        <v>0</v>
      </c>
      <c r="D156" s="77">
        <f t="shared" si="56"/>
        <v>0</v>
      </c>
      <c r="E156" s="77">
        <f t="shared" si="56"/>
        <v>0</v>
      </c>
      <c r="F156" s="77">
        <f t="shared" si="56"/>
        <v>0</v>
      </c>
      <c r="G156" s="77">
        <f t="shared" si="56"/>
        <v>0</v>
      </c>
      <c r="H156" s="77">
        <f t="shared" si="56"/>
        <v>0</v>
      </c>
      <c r="I156" s="77">
        <f t="shared" si="56"/>
        <v>0</v>
      </c>
      <c r="J156" s="77">
        <f t="shared" si="56"/>
        <v>0</v>
      </c>
      <c r="K156" s="77">
        <f t="shared" si="56"/>
        <v>0</v>
      </c>
      <c r="L156" s="77">
        <f t="shared" si="56"/>
        <v>0</v>
      </c>
      <c r="M156" s="77">
        <f t="shared" si="56"/>
        <v>0</v>
      </c>
      <c r="N156" s="77">
        <f t="shared" si="56"/>
        <v>0</v>
      </c>
      <c r="O156" s="77">
        <f t="shared" si="56"/>
        <v>0</v>
      </c>
      <c r="P156" s="77">
        <f t="shared" si="56"/>
        <v>0</v>
      </c>
      <c r="Q156" s="77">
        <f t="shared" si="56"/>
        <v>0</v>
      </c>
      <c r="R156" s="77">
        <f t="shared" si="56"/>
        <v>0</v>
      </c>
      <c r="S156" s="77">
        <f t="shared" si="56"/>
        <v>0</v>
      </c>
      <c r="T156" s="77">
        <f t="shared" si="56"/>
        <v>0</v>
      </c>
      <c r="U156" s="77">
        <f t="shared" si="56"/>
        <v>0</v>
      </c>
      <c r="V156" s="77">
        <f t="shared" si="56"/>
        <v>0</v>
      </c>
      <c r="W156" s="77">
        <f t="shared" si="56"/>
        <v>0</v>
      </c>
      <c r="X156" s="77">
        <f t="shared" si="56"/>
        <v>0</v>
      </c>
      <c r="Y156" s="77">
        <f t="shared" si="56"/>
        <v>0</v>
      </c>
      <c r="Z156" s="77">
        <f t="shared" si="56"/>
        <v>0</v>
      </c>
      <c r="AA156" s="77">
        <f t="shared" si="56"/>
        <v>0</v>
      </c>
      <c r="AB156" s="77">
        <f t="shared" si="56"/>
        <v>0</v>
      </c>
      <c r="AC156" s="77">
        <f t="shared" si="56"/>
        <v>0</v>
      </c>
      <c r="AD156" s="77">
        <f t="shared" si="56"/>
        <v>0</v>
      </c>
      <c r="AE156" s="77">
        <f t="shared" si="56"/>
        <v>0</v>
      </c>
      <c r="AF156" s="77">
        <f t="shared" si="56"/>
        <v>0</v>
      </c>
      <c r="AG156" s="77">
        <f t="shared" si="56"/>
        <v>0</v>
      </c>
      <c r="AH156" s="77">
        <f t="shared" si="56"/>
        <v>0</v>
      </c>
      <c r="AI156" s="77">
        <f t="shared" si="56"/>
        <v>0</v>
      </c>
      <c r="AJ156" s="77">
        <f t="shared" si="56"/>
        <v>0</v>
      </c>
      <c r="AK156" s="77">
        <f t="shared" si="56"/>
        <v>0</v>
      </c>
      <c r="AL156" s="77">
        <f t="shared" si="56"/>
        <v>0</v>
      </c>
      <c r="AM156" s="77">
        <f t="shared" si="56"/>
        <v>0</v>
      </c>
      <c r="AN156" s="77">
        <f t="shared" si="56"/>
        <v>0</v>
      </c>
      <c r="AO156" s="77">
        <f t="shared" si="56"/>
        <v>0</v>
      </c>
      <c r="AP156" s="77">
        <f t="shared" si="56"/>
        <v>0</v>
      </c>
      <c r="AQ156" s="77">
        <f t="shared" si="56"/>
        <v>0</v>
      </c>
      <c r="AR156" s="77">
        <f t="shared" si="56"/>
        <v>0</v>
      </c>
      <c r="AS156" s="77">
        <f t="shared" si="56"/>
        <v>0</v>
      </c>
      <c r="AT156" s="77">
        <f t="shared" si="56"/>
        <v>0</v>
      </c>
      <c r="AU156" s="77">
        <f t="shared" si="56"/>
        <v>0</v>
      </c>
      <c r="AV156" s="77">
        <f t="shared" si="56"/>
        <v>0</v>
      </c>
      <c r="AW156" s="77">
        <f t="shared" si="56"/>
        <v>0</v>
      </c>
      <c r="AX156" s="77">
        <f t="shared" si="56"/>
        <v>0</v>
      </c>
      <c r="AY156" s="77">
        <f t="shared" si="56"/>
        <v>0</v>
      </c>
      <c r="AZ156" s="77">
        <f t="shared" si="56"/>
        <v>0</v>
      </c>
      <c r="BA156" s="77">
        <f t="shared" si="56"/>
        <v>0</v>
      </c>
      <c r="BB156" s="77">
        <f t="shared" si="56"/>
        <v>0</v>
      </c>
      <c r="BC156" s="77">
        <f t="shared" si="56"/>
        <v>0</v>
      </c>
      <c r="BD156" s="77">
        <f t="shared" si="56"/>
        <v>0</v>
      </c>
      <c r="BE156" s="77">
        <f t="shared" si="56"/>
        <v>0</v>
      </c>
      <c r="BF156" s="77">
        <f t="shared" si="56"/>
        <v>0</v>
      </c>
      <c r="BG156" s="77">
        <f t="shared" si="56"/>
        <v>0</v>
      </c>
      <c r="BH156" s="77">
        <f t="shared" si="56"/>
        <v>0</v>
      </c>
      <c r="BI156" s="77">
        <f t="shared" si="56"/>
        <v>0</v>
      </c>
      <c r="BJ156" s="77">
        <f t="shared" si="56"/>
        <v>0</v>
      </c>
      <c r="BK156" s="77">
        <f t="shared" si="56"/>
        <v>0</v>
      </c>
      <c r="BL156" s="77">
        <f t="shared" si="56"/>
        <v>0</v>
      </c>
      <c r="BM156" s="77">
        <f t="shared" si="56"/>
        <v>0</v>
      </c>
      <c r="BN156" s="77">
        <f t="shared" si="56"/>
        <v>0</v>
      </c>
      <c r="BO156" s="77">
        <f t="shared" si="54"/>
        <v>0</v>
      </c>
      <c r="BP156" s="77">
        <f t="shared" si="54"/>
        <v>1</v>
      </c>
      <c r="BQ156" s="77">
        <f t="shared" si="54"/>
        <v>0</v>
      </c>
      <c r="BR156" s="77">
        <f t="shared" si="54"/>
        <v>0</v>
      </c>
      <c r="BS156" s="77">
        <f t="shared" si="54"/>
        <v>0</v>
      </c>
      <c r="BT156" s="77">
        <f t="shared" si="54"/>
        <v>0</v>
      </c>
      <c r="BU156" s="77">
        <f t="shared" si="54"/>
        <v>0</v>
      </c>
      <c r="BV156" s="77">
        <f t="shared" si="54"/>
        <v>0</v>
      </c>
      <c r="BW156" s="77">
        <f t="shared" si="54"/>
        <v>0</v>
      </c>
      <c r="BX156" s="77">
        <f t="shared" si="54"/>
        <v>0</v>
      </c>
      <c r="BY156" s="77">
        <f t="shared" si="54"/>
        <v>0</v>
      </c>
      <c r="BZ156" s="77">
        <f t="shared" si="54"/>
        <v>0</v>
      </c>
      <c r="CA156" s="77">
        <f t="shared" si="54"/>
        <v>0</v>
      </c>
      <c r="CB156" s="77">
        <f t="shared" si="54"/>
        <v>0</v>
      </c>
      <c r="CC156" s="77">
        <f t="shared" si="54"/>
        <v>0</v>
      </c>
      <c r="CD156" s="77">
        <f t="shared" si="54"/>
        <v>0</v>
      </c>
      <c r="CE156" s="77">
        <f t="shared" si="54"/>
        <v>0</v>
      </c>
      <c r="CF156" s="77">
        <f t="shared" si="54"/>
        <v>0</v>
      </c>
      <c r="CG156" s="77">
        <f t="shared" si="54"/>
        <v>0</v>
      </c>
      <c r="CH156" s="77">
        <f t="shared" si="54"/>
        <v>0</v>
      </c>
      <c r="CI156" s="77">
        <f t="shared" si="54"/>
        <v>0</v>
      </c>
      <c r="CJ156" s="77">
        <f t="shared" si="54"/>
        <v>0</v>
      </c>
      <c r="CK156" s="77">
        <f t="shared" si="54"/>
        <v>0</v>
      </c>
      <c r="CL156" s="77">
        <f t="shared" si="54"/>
        <v>0</v>
      </c>
      <c r="CM156" s="77">
        <f t="shared" si="54"/>
        <v>0</v>
      </c>
      <c r="CN156" s="77">
        <f t="shared" si="54"/>
        <v>0</v>
      </c>
      <c r="CO156" s="77">
        <f t="shared" si="54"/>
        <v>0</v>
      </c>
      <c r="CP156" s="77">
        <f t="shared" si="54"/>
        <v>0</v>
      </c>
      <c r="CQ156" s="77">
        <f t="shared" si="54"/>
        <v>0</v>
      </c>
      <c r="CR156" s="77">
        <f t="shared" si="54"/>
        <v>0</v>
      </c>
      <c r="CS156" s="77">
        <f t="shared" si="54"/>
        <v>0</v>
      </c>
      <c r="CT156" s="77">
        <f t="shared" si="54"/>
        <v>0</v>
      </c>
      <c r="CU156" s="77">
        <f t="shared" si="54"/>
        <v>0</v>
      </c>
      <c r="CV156" s="77">
        <f t="shared" si="54"/>
        <v>0</v>
      </c>
      <c r="CW156" s="77">
        <f t="shared" si="54"/>
        <v>0</v>
      </c>
      <c r="CX156" s="77">
        <f t="shared" si="54"/>
        <v>0</v>
      </c>
      <c r="CY156" s="77">
        <f t="shared" si="54"/>
        <v>0</v>
      </c>
      <c r="CZ156" s="77">
        <f t="shared" si="54"/>
        <v>0</v>
      </c>
      <c r="DA156" s="77">
        <f t="shared" si="54"/>
        <v>0</v>
      </c>
      <c r="DB156" s="77">
        <f t="shared" si="54"/>
        <v>0</v>
      </c>
      <c r="DC156" s="77">
        <f t="shared" si="54"/>
        <v>0</v>
      </c>
      <c r="DD156" s="77">
        <f t="shared" si="54"/>
        <v>0</v>
      </c>
      <c r="DE156" s="77">
        <f t="shared" si="54"/>
        <v>0</v>
      </c>
      <c r="DF156" s="77">
        <f t="shared" si="54"/>
        <v>0</v>
      </c>
      <c r="DG156" s="77">
        <f t="shared" si="54"/>
        <v>0</v>
      </c>
      <c r="DH156" s="77">
        <f t="shared" si="54"/>
        <v>0</v>
      </c>
      <c r="DI156" s="77">
        <f t="shared" si="54"/>
        <v>0</v>
      </c>
      <c r="DJ156" s="77">
        <f t="shared" si="54"/>
        <v>0</v>
      </c>
      <c r="DK156" s="77">
        <f t="shared" si="54"/>
        <v>0</v>
      </c>
      <c r="DL156" s="77">
        <f t="shared" si="54"/>
        <v>0</v>
      </c>
      <c r="DM156" s="77">
        <f t="shared" si="54"/>
        <v>0</v>
      </c>
      <c r="DN156" s="77">
        <f t="shared" si="54"/>
        <v>1</v>
      </c>
      <c r="DO156" s="77">
        <f t="shared" si="54"/>
        <v>0</v>
      </c>
      <c r="DP156" s="77">
        <f t="shared" si="54"/>
        <v>0</v>
      </c>
      <c r="DQ156" s="77">
        <f t="shared" si="54"/>
        <v>0</v>
      </c>
      <c r="DR156" s="77">
        <f t="shared" si="54"/>
        <v>0</v>
      </c>
      <c r="DS156" s="77">
        <f t="shared" si="54"/>
        <v>0</v>
      </c>
      <c r="DT156" s="77">
        <f t="shared" si="54"/>
        <v>0</v>
      </c>
      <c r="DU156" s="77">
        <f t="shared" si="54"/>
        <v>0</v>
      </c>
      <c r="DV156" s="77">
        <f t="shared" si="54"/>
        <v>0</v>
      </c>
      <c r="DW156" s="77">
        <f t="shared" si="54"/>
        <v>0</v>
      </c>
      <c r="DX156" s="77">
        <f t="shared" si="54"/>
        <v>0</v>
      </c>
      <c r="DY156" s="77">
        <f t="shared" si="54"/>
        <v>0</v>
      </c>
      <c r="DZ156" s="77">
        <f t="shared" si="46"/>
        <v>0</v>
      </c>
      <c r="EA156" s="77">
        <f t="shared" si="55"/>
        <v>0</v>
      </c>
      <c r="EB156" s="77">
        <f t="shared" si="55"/>
        <v>0</v>
      </c>
      <c r="EC156" s="77">
        <f t="shared" si="55"/>
        <v>0</v>
      </c>
      <c r="ED156" s="77">
        <f t="shared" si="55"/>
        <v>0</v>
      </c>
      <c r="EE156" s="77">
        <f t="shared" si="55"/>
        <v>0</v>
      </c>
      <c r="EF156" s="77">
        <f t="shared" si="55"/>
        <v>0</v>
      </c>
      <c r="EG156" s="77">
        <f t="shared" si="55"/>
        <v>0</v>
      </c>
      <c r="EH156" s="77">
        <f t="shared" si="55"/>
        <v>0</v>
      </c>
      <c r="EI156" s="77">
        <f t="shared" si="55"/>
        <v>0</v>
      </c>
      <c r="EJ156" s="77">
        <f t="shared" si="55"/>
        <v>0</v>
      </c>
      <c r="EK156" s="77">
        <f t="shared" si="55"/>
        <v>0</v>
      </c>
      <c r="EL156" s="77">
        <f t="shared" si="55"/>
        <v>0</v>
      </c>
      <c r="EM156" s="77">
        <f t="shared" si="55"/>
        <v>0</v>
      </c>
      <c r="EN156" s="77">
        <f t="shared" si="55"/>
        <v>0</v>
      </c>
      <c r="EO156" s="77">
        <f t="shared" si="55"/>
        <v>0</v>
      </c>
      <c r="EP156" s="77">
        <f t="shared" si="55"/>
        <v>0</v>
      </c>
      <c r="EQ156" s="77">
        <f t="shared" si="55"/>
        <v>0</v>
      </c>
      <c r="ER156" s="77">
        <f t="shared" si="55"/>
        <v>0</v>
      </c>
      <c r="ES156" s="77">
        <f t="shared" si="55"/>
        <v>0</v>
      </c>
    </row>
    <row r="157" spans="1:149" x14ac:dyDescent="0.3">
      <c r="A157" s="37" t="s">
        <v>28</v>
      </c>
      <c r="B157" s="77">
        <f t="shared" si="43"/>
        <v>0</v>
      </c>
      <c r="C157" s="77">
        <f t="shared" si="56"/>
        <v>0</v>
      </c>
      <c r="D157" s="77">
        <f t="shared" si="56"/>
        <v>0</v>
      </c>
      <c r="E157" s="77">
        <f t="shared" si="56"/>
        <v>0</v>
      </c>
      <c r="F157" s="77">
        <f t="shared" si="56"/>
        <v>0</v>
      </c>
      <c r="G157" s="77">
        <f t="shared" si="56"/>
        <v>0</v>
      </c>
      <c r="H157" s="77">
        <f t="shared" si="56"/>
        <v>0</v>
      </c>
      <c r="I157" s="77">
        <f t="shared" si="56"/>
        <v>0</v>
      </c>
      <c r="J157" s="77">
        <f t="shared" si="56"/>
        <v>0</v>
      </c>
      <c r="K157" s="77">
        <f t="shared" si="56"/>
        <v>0</v>
      </c>
      <c r="L157" s="77">
        <f t="shared" si="56"/>
        <v>0</v>
      </c>
      <c r="M157" s="77">
        <f t="shared" si="56"/>
        <v>0</v>
      </c>
      <c r="N157" s="77">
        <f t="shared" si="56"/>
        <v>0</v>
      </c>
      <c r="O157" s="77">
        <f t="shared" si="56"/>
        <v>0</v>
      </c>
      <c r="P157" s="77">
        <f t="shared" si="56"/>
        <v>0</v>
      </c>
      <c r="Q157" s="77">
        <f t="shared" si="56"/>
        <v>0</v>
      </c>
      <c r="R157" s="77">
        <f t="shared" si="56"/>
        <v>0</v>
      </c>
      <c r="S157" s="77">
        <f t="shared" si="56"/>
        <v>0</v>
      </c>
      <c r="T157" s="77">
        <f t="shared" si="56"/>
        <v>0</v>
      </c>
      <c r="U157" s="77">
        <f t="shared" si="56"/>
        <v>0</v>
      </c>
      <c r="V157" s="77">
        <f t="shared" si="56"/>
        <v>0</v>
      </c>
      <c r="W157" s="77">
        <f t="shared" si="56"/>
        <v>0</v>
      </c>
      <c r="X157" s="77">
        <f t="shared" si="56"/>
        <v>0</v>
      </c>
      <c r="Y157" s="77">
        <f t="shared" si="56"/>
        <v>0</v>
      </c>
      <c r="Z157" s="77">
        <f t="shared" si="56"/>
        <v>0</v>
      </c>
      <c r="AA157" s="77">
        <f t="shared" si="56"/>
        <v>0</v>
      </c>
      <c r="AB157" s="77">
        <f t="shared" si="56"/>
        <v>0</v>
      </c>
      <c r="AC157" s="77">
        <f t="shared" si="56"/>
        <v>0</v>
      </c>
      <c r="AD157" s="77">
        <f t="shared" si="56"/>
        <v>0</v>
      </c>
      <c r="AE157" s="77">
        <f t="shared" si="56"/>
        <v>0</v>
      </c>
      <c r="AF157" s="77">
        <f t="shared" si="56"/>
        <v>0</v>
      </c>
      <c r="AG157" s="77">
        <f t="shared" si="56"/>
        <v>0</v>
      </c>
      <c r="AH157" s="77">
        <f t="shared" si="56"/>
        <v>0</v>
      </c>
      <c r="AI157" s="77">
        <f t="shared" si="56"/>
        <v>0</v>
      </c>
      <c r="AJ157" s="77">
        <f t="shared" si="56"/>
        <v>0</v>
      </c>
      <c r="AK157" s="77">
        <f t="shared" si="56"/>
        <v>0</v>
      </c>
      <c r="AL157" s="77">
        <f t="shared" si="56"/>
        <v>0</v>
      </c>
      <c r="AM157" s="77">
        <f t="shared" si="56"/>
        <v>0</v>
      </c>
      <c r="AN157" s="77">
        <f t="shared" si="56"/>
        <v>0</v>
      </c>
      <c r="AO157" s="77">
        <f t="shared" si="56"/>
        <v>0</v>
      </c>
      <c r="AP157" s="77">
        <f t="shared" si="56"/>
        <v>0</v>
      </c>
      <c r="AQ157" s="77">
        <f t="shared" si="56"/>
        <v>0</v>
      </c>
      <c r="AR157" s="77">
        <f t="shared" si="56"/>
        <v>0</v>
      </c>
      <c r="AS157" s="77">
        <f t="shared" si="56"/>
        <v>0</v>
      </c>
      <c r="AT157" s="77">
        <f t="shared" si="56"/>
        <v>0</v>
      </c>
      <c r="AU157" s="77">
        <f t="shared" si="56"/>
        <v>0</v>
      </c>
      <c r="AV157" s="77">
        <f t="shared" si="56"/>
        <v>0</v>
      </c>
      <c r="AW157" s="77">
        <f t="shared" si="56"/>
        <v>0</v>
      </c>
      <c r="AX157" s="77">
        <f t="shared" si="56"/>
        <v>0</v>
      </c>
      <c r="AY157" s="77">
        <f t="shared" si="56"/>
        <v>0</v>
      </c>
      <c r="AZ157" s="77">
        <f t="shared" si="56"/>
        <v>0</v>
      </c>
      <c r="BA157" s="77">
        <f t="shared" si="56"/>
        <v>0</v>
      </c>
      <c r="BB157" s="77">
        <f t="shared" si="56"/>
        <v>0</v>
      </c>
      <c r="BC157" s="77">
        <f t="shared" si="56"/>
        <v>0</v>
      </c>
      <c r="BD157" s="77">
        <f t="shared" si="56"/>
        <v>0</v>
      </c>
      <c r="BE157" s="77">
        <f t="shared" si="56"/>
        <v>0</v>
      </c>
      <c r="BF157" s="77">
        <f t="shared" si="56"/>
        <v>0</v>
      </c>
      <c r="BG157" s="77">
        <f t="shared" si="56"/>
        <v>0</v>
      </c>
      <c r="BH157" s="77">
        <f t="shared" si="56"/>
        <v>0</v>
      </c>
      <c r="BI157" s="77">
        <f t="shared" si="56"/>
        <v>0</v>
      </c>
      <c r="BJ157" s="77">
        <f t="shared" si="56"/>
        <v>0</v>
      </c>
      <c r="BK157" s="77">
        <f t="shared" si="56"/>
        <v>0</v>
      </c>
      <c r="BL157" s="77">
        <f t="shared" si="56"/>
        <v>0</v>
      </c>
      <c r="BM157" s="77">
        <f t="shared" si="56"/>
        <v>0</v>
      </c>
      <c r="BN157" s="77">
        <f t="shared" si="56"/>
        <v>0</v>
      </c>
      <c r="BO157" s="77">
        <f t="shared" si="54"/>
        <v>0</v>
      </c>
      <c r="BP157" s="77">
        <f t="shared" si="54"/>
        <v>1</v>
      </c>
      <c r="BQ157" s="77">
        <f t="shared" si="54"/>
        <v>0</v>
      </c>
      <c r="BR157" s="77">
        <f t="shared" si="54"/>
        <v>0</v>
      </c>
      <c r="BS157" s="77">
        <f t="shared" si="54"/>
        <v>0</v>
      </c>
      <c r="BT157" s="77">
        <f t="shared" si="54"/>
        <v>0</v>
      </c>
      <c r="BU157" s="77">
        <f t="shared" si="54"/>
        <v>0</v>
      </c>
      <c r="BV157" s="77">
        <f t="shared" si="54"/>
        <v>0</v>
      </c>
      <c r="BW157" s="77">
        <f t="shared" si="54"/>
        <v>0</v>
      </c>
      <c r="BX157" s="77">
        <f t="shared" si="54"/>
        <v>0</v>
      </c>
      <c r="BY157" s="77">
        <f t="shared" si="54"/>
        <v>0</v>
      </c>
      <c r="BZ157" s="77">
        <f t="shared" si="54"/>
        <v>0</v>
      </c>
      <c r="CA157" s="77">
        <f t="shared" si="54"/>
        <v>0</v>
      </c>
      <c r="CB157" s="77">
        <f t="shared" si="54"/>
        <v>0</v>
      </c>
      <c r="CC157" s="77">
        <f t="shared" si="54"/>
        <v>0</v>
      </c>
      <c r="CD157" s="77">
        <f t="shared" si="54"/>
        <v>0</v>
      </c>
      <c r="CE157" s="77">
        <f t="shared" si="54"/>
        <v>0</v>
      </c>
      <c r="CF157" s="77">
        <f t="shared" si="54"/>
        <v>0</v>
      </c>
      <c r="CG157" s="77">
        <f t="shared" si="54"/>
        <v>0</v>
      </c>
      <c r="CH157" s="77">
        <f t="shared" si="54"/>
        <v>0</v>
      </c>
      <c r="CI157" s="77">
        <f t="shared" si="54"/>
        <v>0</v>
      </c>
      <c r="CJ157" s="77">
        <f t="shared" si="54"/>
        <v>0</v>
      </c>
      <c r="CK157" s="77">
        <f t="shared" si="54"/>
        <v>0</v>
      </c>
      <c r="CL157" s="77">
        <f t="shared" si="54"/>
        <v>0</v>
      </c>
      <c r="CM157" s="77">
        <f t="shared" si="54"/>
        <v>0</v>
      </c>
      <c r="CN157" s="77">
        <f t="shared" si="54"/>
        <v>0</v>
      </c>
      <c r="CO157" s="77">
        <f t="shared" si="54"/>
        <v>0</v>
      </c>
      <c r="CP157" s="77">
        <f t="shared" si="54"/>
        <v>0</v>
      </c>
      <c r="CQ157" s="77">
        <f t="shared" si="54"/>
        <v>0</v>
      </c>
      <c r="CR157" s="77">
        <f t="shared" si="54"/>
        <v>0</v>
      </c>
      <c r="CS157" s="77">
        <f t="shared" si="54"/>
        <v>0</v>
      </c>
      <c r="CT157" s="77">
        <f t="shared" si="54"/>
        <v>0</v>
      </c>
      <c r="CU157" s="77">
        <f t="shared" si="54"/>
        <v>0</v>
      </c>
      <c r="CV157" s="77">
        <f t="shared" si="54"/>
        <v>0</v>
      </c>
      <c r="CW157" s="77">
        <f t="shared" si="54"/>
        <v>0</v>
      </c>
      <c r="CX157" s="77">
        <f t="shared" si="54"/>
        <v>0</v>
      </c>
      <c r="CY157" s="77">
        <f t="shared" si="54"/>
        <v>0</v>
      </c>
      <c r="CZ157" s="77">
        <f t="shared" si="54"/>
        <v>0</v>
      </c>
      <c r="DA157" s="77">
        <f t="shared" si="54"/>
        <v>0</v>
      </c>
      <c r="DB157" s="77">
        <f t="shared" si="54"/>
        <v>0</v>
      </c>
      <c r="DC157" s="77">
        <f t="shared" si="54"/>
        <v>0</v>
      </c>
      <c r="DD157" s="77">
        <f t="shared" si="54"/>
        <v>0</v>
      </c>
      <c r="DE157" s="77">
        <f t="shared" si="54"/>
        <v>0</v>
      </c>
      <c r="DF157" s="77">
        <f t="shared" si="54"/>
        <v>0</v>
      </c>
      <c r="DG157" s="77">
        <f t="shared" si="54"/>
        <v>0</v>
      </c>
      <c r="DH157" s="77">
        <f t="shared" si="54"/>
        <v>0</v>
      </c>
      <c r="DI157" s="77">
        <f t="shared" si="54"/>
        <v>0</v>
      </c>
      <c r="DJ157" s="77">
        <f t="shared" si="54"/>
        <v>0</v>
      </c>
      <c r="DK157" s="77">
        <f t="shared" si="54"/>
        <v>0</v>
      </c>
      <c r="DL157" s="77">
        <f t="shared" si="54"/>
        <v>0</v>
      </c>
      <c r="DM157" s="77">
        <f t="shared" si="54"/>
        <v>0</v>
      </c>
      <c r="DN157" s="77">
        <f t="shared" si="54"/>
        <v>1</v>
      </c>
      <c r="DO157" s="77">
        <f t="shared" si="54"/>
        <v>0</v>
      </c>
      <c r="DP157" s="77">
        <f t="shared" si="54"/>
        <v>0</v>
      </c>
      <c r="DQ157" s="77">
        <f t="shared" si="54"/>
        <v>0</v>
      </c>
      <c r="DR157" s="77">
        <f t="shared" si="54"/>
        <v>0</v>
      </c>
      <c r="DS157" s="77">
        <f t="shared" si="54"/>
        <v>0</v>
      </c>
      <c r="DT157" s="77">
        <f t="shared" si="54"/>
        <v>0</v>
      </c>
      <c r="DU157" s="77">
        <f t="shared" si="54"/>
        <v>0</v>
      </c>
      <c r="DV157" s="77">
        <f t="shared" si="54"/>
        <v>0</v>
      </c>
      <c r="DW157" s="77">
        <f t="shared" si="54"/>
        <v>0</v>
      </c>
      <c r="DX157" s="77">
        <f t="shared" si="54"/>
        <v>0</v>
      </c>
      <c r="DY157" s="77">
        <f t="shared" si="54"/>
        <v>0</v>
      </c>
      <c r="DZ157" s="77">
        <f t="shared" si="46"/>
        <v>0</v>
      </c>
      <c r="EA157" s="77">
        <f t="shared" si="55"/>
        <v>0</v>
      </c>
      <c r="EB157" s="77">
        <f t="shared" si="55"/>
        <v>0</v>
      </c>
      <c r="EC157" s="77">
        <f t="shared" si="55"/>
        <v>0</v>
      </c>
      <c r="ED157" s="77">
        <f t="shared" si="55"/>
        <v>0</v>
      </c>
      <c r="EE157" s="77">
        <f t="shared" si="55"/>
        <v>0</v>
      </c>
      <c r="EF157" s="77">
        <f t="shared" si="55"/>
        <v>0</v>
      </c>
      <c r="EG157" s="77">
        <f t="shared" si="55"/>
        <v>0</v>
      </c>
      <c r="EH157" s="77">
        <f t="shared" si="55"/>
        <v>0</v>
      </c>
      <c r="EI157" s="77">
        <f t="shared" si="55"/>
        <v>0</v>
      </c>
      <c r="EJ157" s="77">
        <f t="shared" si="55"/>
        <v>0</v>
      </c>
      <c r="EK157" s="77">
        <f t="shared" si="55"/>
        <v>0</v>
      </c>
      <c r="EL157" s="77">
        <f t="shared" si="55"/>
        <v>0</v>
      </c>
      <c r="EM157" s="77">
        <f t="shared" si="55"/>
        <v>0</v>
      </c>
      <c r="EN157" s="77">
        <f t="shared" si="55"/>
        <v>0</v>
      </c>
      <c r="EO157" s="77">
        <f t="shared" si="55"/>
        <v>0</v>
      </c>
      <c r="EP157" s="77">
        <f t="shared" si="55"/>
        <v>0</v>
      </c>
      <c r="EQ157" s="77">
        <f t="shared" si="55"/>
        <v>0</v>
      </c>
      <c r="ER157" s="77">
        <f t="shared" si="55"/>
        <v>0</v>
      </c>
      <c r="ES157" s="77">
        <f t="shared" si="55"/>
        <v>0</v>
      </c>
    </row>
    <row r="158" spans="1:149" x14ac:dyDescent="0.3">
      <c r="A158" s="37" t="s">
        <v>13</v>
      </c>
      <c r="B158" s="77">
        <f t="shared" si="43"/>
        <v>1</v>
      </c>
      <c r="C158" s="77">
        <f t="shared" si="56"/>
        <v>0</v>
      </c>
      <c r="D158" s="77">
        <f t="shared" si="56"/>
        <v>0</v>
      </c>
      <c r="E158" s="77">
        <f t="shared" si="56"/>
        <v>0</v>
      </c>
      <c r="F158" s="77">
        <f t="shared" si="56"/>
        <v>1</v>
      </c>
      <c r="G158" s="77">
        <f t="shared" si="56"/>
        <v>0</v>
      </c>
      <c r="H158" s="77">
        <f t="shared" si="56"/>
        <v>1</v>
      </c>
      <c r="I158" s="77">
        <f t="shared" si="56"/>
        <v>1</v>
      </c>
      <c r="J158" s="77">
        <f t="shared" si="56"/>
        <v>0</v>
      </c>
      <c r="K158" s="77">
        <f t="shared" si="56"/>
        <v>0</v>
      </c>
      <c r="L158" s="77">
        <f t="shared" si="56"/>
        <v>0</v>
      </c>
      <c r="M158" s="77">
        <f t="shared" si="56"/>
        <v>0</v>
      </c>
      <c r="N158" s="77">
        <f t="shared" si="56"/>
        <v>0</v>
      </c>
      <c r="O158" s="77">
        <f t="shared" si="56"/>
        <v>0</v>
      </c>
      <c r="P158" s="77">
        <f t="shared" si="56"/>
        <v>1</v>
      </c>
      <c r="Q158" s="77">
        <f t="shared" si="56"/>
        <v>0</v>
      </c>
      <c r="R158" s="77">
        <f t="shared" si="56"/>
        <v>0</v>
      </c>
      <c r="S158" s="77">
        <f t="shared" si="56"/>
        <v>0</v>
      </c>
      <c r="T158" s="77">
        <f t="shared" si="56"/>
        <v>1</v>
      </c>
      <c r="U158" s="77">
        <f t="shared" si="56"/>
        <v>0</v>
      </c>
      <c r="V158" s="77">
        <f t="shared" si="56"/>
        <v>0</v>
      </c>
      <c r="W158" s="77">
        <f t="shared" si="56"/>
        <v>1</v>
      </c>
      <c r="X158" s="77">
        <f t="shared" si="56"/>
        <v>0</v>
      </c>
      <c r="Y158" s="77">
        <f t="shared" si="56"/>
        <v>1</v>
      </c>
      <c r="Z158" s="77">
        <f t="shared" si="56"/>
        <v>0</v>
      </c>
      <c r="AA158" s="77">
        <f t="shared" si="56"/>
        <v>0</v>
      </c>
      <c r="AB158" s="77">
        <f t="shared" si="56"/>
        <v>0</v>
      </c>
      <c r="AC158" s="77">
        <f t="shared" si="56"/>
        <v>0</v>
      </c>
      <c r="AD158" s="77">
        <f t="shared" si="56"/>
        <v>0</v>
      </c>
      <c r="AE158" s="77">
        <f t="shared" si="56"/>
        <v>1</v>
      </c>
      <c r="AF158" s="77">
        <f t="shared" si="56"/>
        <v>0</v>
      </c>
      <c r="AG158" s="77">
        <f t="shared" si="56"/>
        <v>0</v>
      </c>
      <c r="AH158" s="77">
        <f t="shared" si="56"/>
        <v>0</v>
      </c>
      <c r="AI158" s="77">
        <f t="shared" si="56"/>
        <v>0</v>
      </c>
      <c r="AJ158" s="77">
        <f t="shared" si="56"/>
        <v>0</v>
      </c>
      <c r="AK158" s="77">
        <f t="shared" si="56"/>
        <v>0</v>
      </c>
      <c r="AL158" s="77">
        <f t="shared" si="56"/>
        <v>0</v>
      </c>
      <c r="AM158" s="77">
        <f t="shared" si="56"/>
        <v>0</v>
      </c>
      <c r="AN158" s="77">
        <f t="shared" si="56"/>
        <v>0</v>
      </c>
      <c r="AO158" s="77">
        <f t="shared" si="56"/>
        <v>1</v>
      </c>
      <c r="AP158" s="77">
        <f t="shared" si="56"/>
        <v>0</v>
      </c>
      <c r="AQ158" s="77">
        <f t="shared" si="56"/>
        <v>0</v>
      </c>
      <c r="AR158" s="77">
        <f t="shared" si="56"/>
        <v>0</v>
      </c>
      <c r="AS158" s="77">
        <f t="shared" si="56"/>
        <v>0</v>
      </c>
      <c r="AT158" s="77">
        <f t="shared" si="56"/>
        <v>0</v>
      </c>
      <c r="AU158" s="77">
        <f t="shared" si="56"/>
        <v>1</v>
      </c>
      <c r="AV158" s="77">
        <f t="shared" si="56"/>
        <v>0</v>
      </c>
      <c r="AW158" s="77">
        <f t="shared" si="56"/>
        <v>1</v>
      </c>
      <c r="AX158" s="77">
        <f t="shared" si="56"/>
        <v>0</v>
      </c>
      <c r="AY158" s="77">
        <f t="shared" si="56"/>
        <v>1</v>
      </c>
      <c r="AZ158" s="77">
        <f t="shared" si="56"/>
        <v>0</v>
      </c>
      <c r="BA158" s="77">
        <f t="shared" si="56"/>
        <v>1</v>
      </c>
      <c r="BB158" s="77">
        <f t="shared" si="56"/>
        <v>0</v>
      </c>
      <c r="BC158" s="77">
        <f t="shared" si="56"/>
        <v>0</v>
      </c>
      <c r="BD158" s="77">
        <f t="shared" si="56"/>
        <v>1</v>
      </c>
      <c r="BE158" s="77">
        <f t="shared" si="56"/>
        <v>0</v>
      </c>
      <c r="BF158" s="77">
        <f t="shared" si="56"/>
        <v>1</v>
      </c>
      <c r="BG158" s="77">
        <f t="shared" si="56"/>
        <v>0</v>
      </c>
      <c r="BH158" s="77">
        <f t="shared" si="56"/>
        <v>1</v>
      </c>
      <c r="BI158" s="77">
        <f t="shared" si="56"/>
        <v>1</v>
      </c>
      <c r="BJ158" s="77">
        <f t="shared" si="56"/>
        <v>0</v>
      </c>
      <c r="BK158" s="77">
        <f t="shared" si="56"/>
        <v>1</v>
      </c>
      <c r="BL158" s="77">
        <f t="shared" si="56"/>
        <v>0</v>
      </c>
      <c r="BM158" s="77">
        <f t="shared" si="56"/>
        <v>0</v>
      </c>
      <c r="BN158" s="77">
        <f t="shared" si="56"/>
        <v>0</v>
      </c>
      <c r="BO158" s="77">
        <f t="shared" si="54"/>
        <v>0</v>
      </c>
      <c r="BP158" s="77">
        <f t="shared" si="54"/>
        <v>0</v>
      </c>
      <c r="BQ158" s="77">
        <f t="shared" si="54"/>
        <v>1</v>
      </c>
      <c r="BR158" s="77">
        <f t="shared" si="54"/>
        <v>1</v>
      </c>
      <c r="BS158" s="77">
        <f t="shared" si="54"/>
        <v>0</v>
      </c>
      <c r="BT158" s="77">
        <f t="shared" si="54"/>
        <v>1</v>
      </c>
      <c r="BU158" s="77">
        <f t="shared" si="54"/>
        <v>1</v>
      </c>
      <c r="BV158" s="77">
        <f t="shared" si="54"/>
        <v>0</v>
      </c>
      <c r="BW158" s="77">
        <f t="shared" si="54"/>
        <v>0</v>
      </c>
      <c r="BX158" s="77">
        <f t="shared" si="54"/>
        <v>0</v>
      </c>
      <c r="BY158" s="77">
        <f t="shared" si="54"/>
        <v>1</v>
      </c>
      <c r="BZ158" s="77">
        <f t="shared" si="54"/>
        <v>0</v>
      </c>
      <c r="CA158" s="77">
        <f t="shared" si="54"/>
        <v>0</v>
      </c>
      <c r="CB158" s="77">
        <f t="shared" si="54"/>
        <v>0</v>
      </c>
      <c r="CC158" s="77">
        <f t="shared" si="54"/>
        <v>1</v>
      </c>
      <c r="CD158" s="77">
        <f t="shared" si="54"/>
        <v>1</v>
      </c>
      <c r="CE158" s="77">
        <f t="shared" si="54"/>
        <v>0</v>
      </c>
      <c r="CF158" s="77">
        <f t="shared" si="54"/>
        <v>0</v>
      </c>
      <c r="CG158" s="77">
        <f t="shared" si="54"/>
        <v>0</v>
      </c>
      <c r="CH158" s="77">
        <f t="shared" si="54"/>
        <v>0</v>
      </c>
      <c r="CI158" s="77">
        <f t="shared" si="54"/>
        <v>1</v>
      </c>
      <c r="CJ158" s="77">
        <f t="shared" si="54"/>
        <v>0</v>
      </c>
      <c r="CK158" s="77">
        <f t="shared" si="54"/>
        <v>0</v>
      </c>
      <c r="CL158" s="77">
        <f t="shared" si="54"/>
        <v>1</v>
      </c>
      <c r="CM158" s="77">
        <f t="shared" si="54"/>
        <v>0</v>
      </c>
      <c r="CN158" s="77">
        <f t="shared" si="54"/>
        <v>1</v>
      </c>
      <c r="CO158" s="77">
        <f t="shared" si="54"/>
        <v>0</v>
      </c>
      <c r="CP158" s="77">
        <f t="shared" si="54"/>
        <v>0</v>
      </c>
      <c r="CQ158" s="77">
        <f t="shared" si="54"/>
        <v>0</v>
      </c>
      <c r="CR158" s="77">
        <f t="shared" si="54"/>
        <v>1</v>
      </c>
      <c r="CS158" s="77">
        <f t="shared" si="54"/>
        <v>0</v>
      </c>
      <c r="CT158" s="77">
        <f t="shared" si="54"/>
        <v>0</v>
      </c>
      <c r="CU158" s="77">
        <f t="shared" si="54"/>
        <v>1</v>
      </c>
      <c r="CV158" s="77">
        <f t="shared" si="54"/>
        <v>1</v>
      </c>
      <c r="CW158" s="77">
        <f t="shared" si="54"/>
        <v>0</v>
      </c>
      <c r="CX158" s="77">
        <f t="shared" si="54"/>
        <v>0</v>
      </c>
      <c r="CY158" s="77">
        <f t="shared" si="54"/>
        <v>1</v>
      </c>
      <c r="CZ158" s="77">
        <f t="shared" si="54"/>
        <v>0</v>
      </c>
      <c r="DA158" s="77">
        <f t="shared" si="54"/>
        <v>0</v>
      </c>
      <c r="DB158" s="77">
        <f t="shared" si="54"/>
        <v>0</v>
      </c>
      <c r="DC158" s="77">
        <f t="shared" si="54"/>
        <v>0</v>
      </c>
      <c r="DD158" s="77">
        <f t="shared" si="54"/>
        <v>0</v>
      </c>
      <c r="DE158" s="77">
        <f t="shared" si="54"/>
        <v>0</v>
      </c>
      <c r="DF158" s="77">
        <f t="shared" si="54"/>
        <v>0</v>
      </c>
      <c r="DG158" s="77">
        <f t="shared" si="54"/>
        <v>0</v>
      </c>
      <c r="DH158" s="77">
        <f t="shared" si="54"/>
        <v>0</v>
      </c>
      <c r="DI158" s="77">
        <f t="shared" si="54"/>
        <v>1</v>
      </c>
      <c r="DJ158" s="77">
        <f t="shared" si="54"/>
        <v>0</v>
      </c>
      <c r="DK158" s="77">
        <f t="shared" si="54"/>
        <v>0</v>
      </c>
      <c r="DL158" s="77">
        <f t="shared" si="54"/>
        <v>0</v>
      </c>
      <c r="DM158" s="77">
        <f t="shared" si="54"/>
        <v>0</v>
      </c>
      <c r="DN158" s="77">
        <f t="shared" si="54"/>
        <v>0</v>
      </c>
      <c r="DO158" s="77">
        <f t="shared" si="54"/>
        <v>0</v>
      </c>
      <c r="DP158" s="77">
        <f t="shared" si="54"/>
        <v>0</v>
      </c>
      <c r="DQ158" s="77">
        <f t="shared" si="54"/>
        <v>1</v>
      </c>
      <c r="DR158" s="77">
        <f t="shared" si="54"/>
        <v>1</v>
      </c>
      <c r="DS158" s="77">
        <f t="shared" si="54"/>
        <v>1</v>
      </c>
      <c r="DT158" s="77">
        <f t="shared" si="54"/>
        <v>0</v>
      </c>
      <c r="DU158" s="77">
        <f t="shared" si="54"/>
        <v>0</v>
      </c>
      <c r="DV158" s="77">
        <f t="shared" si="54"/>
        <v>0</v>
      </c>
      <c r="DW158" s="77">
        <f t="shared" si="54"/>
        <v>0</v>
      </c>
      <c r="DX158" s="77">
        <f t="shared" si="54"/>
        <v>0</v>
      </c>
      <c r="DY158" s="77">
        <f t="shared" si="54"/>
        <v>1</v>
      </c>
      <c r="DZ158" s="77">
        <f t="shared" ref="DZ158:ES160" si="57">IF(DZ39&lt;=$B$136,1,0)</f>
        <v>0</v>
      </c>
      <c r="EA158" s="77">
        <f t="shared" si="57"/>
        <v>0</v>
      </c>
      <c r="EB158" s="77">
        <f t="shared" si="57"/>
        <v>0</v>
      </c>
      <c r="EC158" s="77">
        <f t="shared" si="57"/>
        <v>0</v>
      </c>
      <c r="ED158" s="77">
        <f t="shared" si="57"/>
        <v>0</v>
      </c>
      <c r="EE158" s="77">
        <f t="shared" si="57"/>
        <v>0</v>
      </c>
      <c r="EF158" s="77">
        <f t="shared" si="57"/>
        <v>1</v>
      </c>
      <c r="EG158" s="77">
        <f t="shared" si="57"/>
        <v>1</v>
      </c>
      <c r="EH158" s="77">
        <f t="shared" si="57"/>
        <v>0</v>
      </c>
      <c r="EI158" s="77">
        <f t="shared" si="57"/>
        <v>0</v>
      </c>
      <c r="EJ158" s="77">
        <f t="shared" si="57"/>
        <v>0</v>
      </c>
      <c r="EK158" s="77">
        <f t="shared" si="57"/>
        <v>0</v>
      </c>
      <c r="EL158" s="77">
        <f t="shared" si="57"/>
        <v>0</v>
      </c>
      <c r="EM158" s="77">
        <f t="shared" si="57"/>
        <v>0</v>
      </c>
      <c r="EN158" s="77">
        <f t="shared" si="57"/>
        <v>0</v>
      </c>
      <c r="EO158" s="77">
        <f t="shared" si="57"/>
        <v>0</v>
      </c>
      <c r="EP158" s="77">
        <f t="shared" si="57"/>
        <v>0</v>
      </c>
      <c r="EQ158" s="77">
        <f t="shared" si="57"/>
        <v>0</v>
      </c>
      <c r="ER158" s="77">
        <f t="shared" si="57"/>
        <v>0</v>
      </c>
      <c r="ES158" s="77">
        <f t="shared" si="57"/>
        <v>0</v>
      </c>
    </row>
    <row r="159" spans="1:149" x14ac:dyDescent="0.3">
      <c r="A159" s="37" t="s">
        <v>23</v>
      </c>
      <c r="B159" s="77">
        <f t="shared" si="43"/>
        <v>0</v>
      </c>
      <c r="C159" s="77">
        <f t="shared" si="56"/>
        <v>0</v>
      </c>
      <c r="D159" s="77">
        <f t="shared" si="56"/>
        <v>0</v>
      </c>
      <c r="E159" s="77">
        <f t="shared" si="56"/>
        <v>0</v>
      </c>
      <c r="F159" s="77">
        <f t="shared" si="56"/>
        <v>0</v>
      </c>
      <c r="G159" s="77">
        <f t="shared" si="56"/>
        <v>0</v>
      </c>
      <c r="H159" s="77">
        <f t="shared" si="56"/>
        <v>0</v>
      </c>
      <c r="I159" s="77">
        <f t="shared" si="56"/>
        <v>0</v>
      </c>
      <c r="J159" s="77">
        <f t="shared" si="56"/>
        <v>0</v>
      </c>
      <c r="K159" s="77">
        <f t="shared" si="56"/>
        <v>0</v>
      </c>
      <c r="L159" s="77">
        <f t="shared" si="56"/>
        <v>0</v>
      </c>
      <c r="M159" s="77">
        <f t="shared" si="56"/>
        <v>0</v>
      </c>
      <c r="N159" s="77">
        <f t="shared" si="56"/>
        <v>0</v>
      </c>
      <c r="O159" s="77">
        <f t="shared" si="56"/>
        <v>0</v>
      </c>
      <c r="P159" s="77">
        <f t="shared" si="56"/>
        <v>0</v>
      </c>
      <c r="Q159" s="77">
        <f t="shared" si="56"/>
        <v>0</v>
      </c>
      <c r="R159" s="77">
        <f t="shared" si="56"/>
        <v>0</v>
      </c>
      <c r="S159" s="77">
        <f t="shared" si="56"/>
        <v>0</v>
      </c>
      <c r="T159" s="77">
        <f t="shared" si="56"/>
        <v>0</v>
      </c>
      <c r="U159" s="77">
        <f t="shared" si="56"/>
        <v>0</v>
      </c>
      <c r="V159" s="77">
        <f t="shared" si="56"/>
        <v>0</v>
      </c>
      <c r="W159" s="77">
        <f t="shared" si="56"/>
        <v>0</v>
      </c>
      <c r="X159" s="77">
        <f t="shared" si="56"/>
        <v>0</v>
      </c>
      <c r="Y159" s="77">
        <f t="shared" si="56"/>
        <v>0</v>
      </c>
      <c r="Z159" s="77">
        <f t="shared" si="56"/>
        <v>0</v>
      </c>
      <c r="AA159" s="77">
        <f t="shared" si="56"/>
        <v>0</v>
      </c>
      <c r="AB159" s="77">
        <f t="shared" si="56"/>
        <v>0</v>
      </c>
      <c r="AC159" s="77">
        <f t="shared" si="56"/>
        <v>0</v>
      </c>
      <c r="AD159" s="77">
        <f t="shared" si="56"/>
        <v>0</v>
      </c>
      <c r="AE159" s="77">
        <f t="shared" si="56"/>
        <v>0</v>
      </c>
      <c r="AF159" s="77">
        <f t="shared" si="56"/>
        <v>0</v>
      </c>
      <c r="AG159" s="77">
        <f t="shared" si="56"/>
        <v>1</v>
      </c>
      <c r="AH159" s="77">
        <f t="shared" si="56"/>
        <v>0</v>
      </c>
      <c r="AI159" s="77">
        <f t="shared" si="56"/>
        <v>1</v>
      </c>
      <c r="AJ159" s="77">
        <f t="shared" si="56"/>
        <v>0</v>
      </c>
      <c r="AK159" s="77">
        <f t="shared" si="56"/>
        <v>0</v>
      </c>
      <c r="AL159" s="77">
        <f t="shared" si="56"/>
        <v>0</v>
      </c>
      <c r="AM159" s="77">
        <f t="shared" si="56"/>
        <v>0</v>
      </c>
      <c r="AN159" s="77">
        <f t="shared" si="56"/>
        <v>0</v>
      </c>
      <c r="AO159" s="77">
        <f t="shared" si="56"/>
        <v>0</v>
      </c>
      <c r="AP159" s="77">
        <f t="shared" si="56"/>
        <v>0</v>
      </c>
      <c r="AQ159" s="77">
        <f t="shared" si="56"/>
        <v>0</v>
      </c>
      <c r="AR159" s="77">
        <f t="shared" si="56"/>
        <v>0</v>
      </c>
      <c r="AS159" s="77">
        <f t="shared" si="56"/>
        <v>0</v>
      </c>
      <c r="AT159" s="77">
        <f t="shared" si="56"/>
        <v>0</v>
      </c>
      <c r="AU159" s="77">
        <f t="shared" si="56"/>
        <v>0</v>
      </c>
      <c r="AV159" s="77">
        <f t="shared" si="56"/>
        <v>0</v>
      </c>
      <c r="AW159" s="77">
        <f t="shared" si="56"/>
        <v>0</v>
      </c>
      <c r="AX159" s="77">
        <f t="shared" si="56"/>
        <v>0</v>
      </c>
      <c r="AY159" s="77">
        <f t="shared" si="56"/>
        <v>0</v>
      </c>
      <c r="AZ159" s="77">
        <f t="shared" si="56"/>
        <v>1</v>
      </c>
      <c r="BA159" s="77">
        <f t="shared" si="56"/>
        <v>0</v>
      </c>
      <c r="BB159" s="77">
        <f t="shared" si="56"/>
        <v>1</v>
      </c>
      <c r="BC159" s="77">
        <f t="shared" si="56"/>
        <v>1</v>
      </c>
      <c r="BD159" s="77">
        <f t="shared" si="56"/>
        <v>0</v>
      </c>
      <c r="BE159" s="77">
        <f t="shared" si="56"/>
        <v>0</v>
      </c>
      <c r="BF159" s="77">
        <f t="shared" si="56"/>
        <v>0</v>
      </c>
      <c r="BG159" s="77">
        <f t="shared" si="56"/>
        <v>0</v>
      </c>
      <c r="BH159" s="77">
        <f t="shared" si="56"/>
        <v>0</v>
      </c>
      <c r="BI159" s="77">
        <f t="shared" si="56"/>
        <v>0</v>
      </c>
      <c r="BJ159" s="77">
        <f t="shared" si="56"/>
        <v>0</v>
      </c>
      <c r="BK159" s="77">
        <f t="shared" si="56"/>
        <v>0</v>
      </c>
      <c r="BL159" s="77">
        <f t="shared" si="56"/>
        <v>0</v>
      </c>
      <c r="BM159" s="77">
        <f t="shared" si="56"/>
        <v>0</v>
      </c>
      <c r="BN159" s="77">
        <f t="shared" ref="BN159:DY160" si="58">IF(BN40&lt;=$B$136,1,0)</f>
        <v>1</v>
      </c>
      <c r="BO159" s="77">
        <f t="shared" si="58"/>
        <v>0</v>
      </c>
      <c r="BP159" s="77">
        <f t="shared" si="58"/>
        <v>0</v>
      </c>
      <c r="BQ159" s="77">
        <f t="shared" si="58"/>
        <v>0</v>
      </c>
      <c r="BR159" s="77">
        <f t="shared" si="58"/>
        <v>0</v>
      </c>
      <c r="BS159" s="77">
        <f t="shared" si="58"/>
        <v>0</v>
      </c>
      <c r="BT159" s="77">
        <f t="shared" si="58"/>
        <v>0</v>
      </c>
      <c r="BU159" s="77">
        <f t="shared" si="58"/>
        <v>0</v>
      </c>
      <c r="BV159" s="77">
        <f t="shared" si="58"/>
        <v>0</v>
      </c>
      <c r="BW159" s="77">
        <f t="shared" si="58"/>
        <v>0</v>
      </c>
      <c r="BX159" s="77">
        <f t="shared" si="58"/>
        <v>0</v>
      </c>
      <c r="BY159" s="77">
        <f t="shared" si="58"/>
        <v>0</v>
      </c>
      <c r="BZ159" s="77">
        <f t="shared" si="58"/>
        <v>0</v>
      </c>
      <c r="CA159" s="77">
        <f t="shared" si="58"/>
        <v>0</v>
      </c>
      <c r="CB159" s="77">
        <f t="shared" si="58"/>
        <v>1</v>
      </c>
      <c r="CC159" s="77">
        <f t="shared" si="58"/>
        <v>0</v>
      </c>
      <c r="CD159" s="77">
        <f t="shared" si="58"/>
        <v>0</v>
      </c>
      <c r="CE159" s="77">
        <f t="shared" si="58"/>
        <v>0</v>
      </c>
      <c r="CF159" s="77">
        <f t="shared" si="58"/>
        <v>0</v>
      </c>
      <c r="CG159" s="77">
        <f t="shared" si="58"/>
        <v>0</v>
      </c>
      <c r="CH159" s="77">
        <f t="shared" si="58"/>
        <v>0</v>
      </c>
      <c r="CI159" s="77">
        <f t="shared" si="58"/>
        <v>0</v>
      </c>
      <c r="CJ159" s="77">
        <f t="shared" si="58"/>
        <v>0</v>
      </c>
      <c r="CK159" s="77">
        <f t="shared" si="58"/>
        <v>0</v>
      </c>
      <c r="CL159" s="77">
        <f t="shared" si="58"/>
        <v>0</v>
      </c>
      <c r="CM159" s="77">
        <f t="shared" si="58"/>
        <v>0</v>
      </c>
      <c r="CN159" s="77">
        <f t="shared" si="58"/>
        <v>0</v>
      </c>
      <c r="CO159" s="77">
        <f t="shared" si="58"/>
        <v>0</v>
      </c>
      <c r="CP159" s="77">
        <f t="shared" si="58"/>
        <v>1</v>
      </c>
      <c r="CQ159" s="77">
        <f t="shared" si="58"/>
        <v>0</v>
      </c>
      <c r="CR159" s="77">
        <f t="shared" si="58"/>
        <v>0</v>
      </c>
      <c r="CS159" s="77">
        <f t="shared" si="58"/>
        <v>0</v>
      </c>
      <c r="CT159" s="77">
        <f t="shared" si="58"/>
        <v>0</v>
      </c>
      <c r="CU159" s="77">
        <f t="shared" si="58"/>
        <v>0</v>
      </c>
      <c r="CV159" s="77">
        <f t="shared" si="58"/>
        <v>0</v>
      </c>
      <c r="CW159" s="77">
        <f t="shared" si="58"/>
        <v>0</v>
      </c>
      <c r="CX159" s="77">
        <f t="shared" si="58"/>
        <v>0</v>
      </c>
      <c r="CY159" s="77">
        <f t="shared" si="58"/>
        <v>0</v>
      </c>
      <c r="CZ159" s="77">
        <f t="shared" si="58"/>
        <v>0</v>
      </c>
      <c r="DA159" s="77">
        <f t="shared" si="58"/>
        <v>0</v>
      </c>
      <c r="DB159" s="77">
        <f t="shared" si="58"/>
        <v>0</v>
      </c>
      <c r="DC159" s="77">
        <f t="shared" si="58"/>
        <v>0</v>
      </c>
      <c r="DD159" s="77">
        <f t="shared" si="58"/>
        <v>0</v>
      </c>
      <c r="DE159" s="77">
        <f t="shared" si="58"/>
        <v>0</v>
      </c>
      <c r="DF159" s="77">
        <f t="shared" si="58"/>
        <v>0</v>
      </c>
      <c r="DG159" s="77">
        <f t="shared" si="58"/>
        <v>0</v>
      </c>
      <c r="DH159" s="77">
        <f t="shared" si="58"/>
        <v>0</v>
      </c>
      <c r="DI159" s="77">
        <f t="shared" si="58"/>
        <v>0</v>
      </c>
      <c r="DJ159" s="77">
        <f t="shared" si="58"/>
        <v>0</v>
      </c>
      <c r="DK159" s="77">
        <f t="shared" si="58"/>
        <v>0</v>
      </c>
      <c r="DL159" s="77">
        <f t="shared" si="58"/>
        <v>0</v>
      </c>
      <c r="DM159" s="77">
        <f t="shared" si="58"/>
        <v>0</v>
      </c>
      <c r="DN159" s="77">
        <f t="shared" si="58"/>
        <v>0</v>
      </c>
      <c r="DO159" s="77">
        <f t="shared" si="58"/>
        <v>0</v>
      </c>
      <c r="DP159" s="77">
        <f t="shared" si="58"/>
        <v>0</v>
      </c>
      <c r="DQ159" s="77">
        <f t="shared" si="58"/>
        <v>0</v>
      </c>
      <c r="DR159" s="77">
        <f t="shared" si="58"/>
        <v>0</v>
      </c>
      <c r="DS159" s="77">
        <f t="shared" si="58"/>
        <v>0</v>
      </c>
      <c r="DT159" s="77">
        <f t="shared" si="58"/>
        <v>0</v>
      </c>
      <c r="DU159" s="77">
        <f t="shared" si="58"/>
        <v>0</v>
      </c>
      <c r="DV159" s="77">
        <f t="shared" si="58"/>
        <v>0</v>
      </c>
      <c r="DW159" s="77">
        <f t="shared" si="58"/>
        <v>0</v>
      </c>
      <c r="DX159" s="77">
        <f t="shared" si="58"/>
        <v>0</v>
      </c>
      <c r="DY159" s="77">
        <f t="shared" si="58"/>
        <v>0</v>
      </c>
      <c r="DZ159" s="77">
        <f t="shared" si="57"/>
        <v>0</v>
      </c>
      <c r="EA159" s="77">
        <f t="shared" si="57"/>
        <v>0</v>
      </c>
      <c r="EB159" s="77">
        <f t="shared" si="57"/>
        <v>0</v>
      </c>
      <c r="EC159" s="77">
        <f t="shared" si="57"/>
        <v>0</v>
      </c>
      <c r="ED159" s="77">
        <f t="shared" si="57"/>
        <v>0</v>
      </c>
      <c r="EE159" s="77">
        <f t="shared" si="57"/>
        <v>0</v>
      </c>
      <c r="EF159" s="77">
        <f t="shared" si="57"/>
        <v>0</v>
      </c>
      <c r="EG159" s="77">
        <f t="shared" si="57"/>
        <v>0</v>
      </c>
      <c r="EH159" s="77">
        <f t="shared" si="57"/>
        <v>0</v>
      </c>
      <c r="EI159" s="77">
        <f t="shared" si="57"/>
        <v>0</v>
      </c>
      <c r="EJ159" s="77">
        <f t="shared" si="57"/>
        <v>1</v>
      </c>
      <c r="EK159" s="77">
        <f t="shared" si="57"/>
        <v>0</v>
      </c>
      <c r="EL159" s="77">
        <f t="shared" si="57"/>
        <v>0</v>
      </c>
      <c r="EM159" s="77">
        <f t="shared" si="57"/>
        <v>0</v>
      </c>
      <c r="EN159" s="77">
        <f t="shared" si="57"/>
        <v>0</v>
      </c>
      <c r="EO159" s="77">
        <f t="shared" si="57"/>
        <v>0</v>
      </c>
      <c r="EP159" s="77">
        <f t="shared" si="57"/>
        <v>0</v>
      </c>
      <c r="EQ159" s="77">
        <f t="shared" si="57"/>
        <v>0</v>
      </c>
      <c r="ER159" s="77">
        <f t="shared" si="57"/>
        <v>1</v>
      </c>
      <c r="ES159" s="77">
        <f t="shared" si="57"/>
        <v>1</v>
      </c>
    </row>
    <row r="160" spans="1:149" x14ac:dyDescent="0.3">
      <c r="A160" s="37" t="s">
        <v>14</v>
      </c>
      <c r="B160" s="77">
        <f t="shared" si="43"/>
        <v>1</v>
      </c>
      <c r="C160" s="77">
        <f t="shared" ref="C160:BN160" si="59">IF(C41&lt;=$B$136,1,0)</f>
        <v>0</v>
      </c>
      <c r="D160" s="77">
        <f t="shared" si="59"/>
        <v>0</v>
      </c>
      <c r="E160" s="77">
        <f t="shared" si="59"/>
        <v>0</v>
      </c>
      <c r="F160" s="77">
        <f t="shared" si="59"/>
        <v>1</v>
      </c>
      <c r="G160" s="77">
        <f t="shared" si="59"/>
        <v>0</v>
      </c>
      <c r="H160" s="77">
        <f t="shared" si="59"/>
        <v>1</v>
      </c>
      <c r="I160" s="77">
        <f t="shared" si="59"/>
        <v>1</v>
      </c>
      <c r="J160" s="77">
        <f t="shared" si="59"/>
        <v>0</v>
      </c>
      <c r="K160" s="77">
        <f t="shared" si="59"/>
        <v>0</v>
      </c>
      <c r="L160" s="77">
        <f t="shared" si="59"/>
        <v>0</v>
      </c>
      <c r="M160" s="77">
        <f t="shared" si="59"/>
        <v>0</v>
      </c>
      <c r="N160" s="77">
        <f t="shared" si="59"/>
        <v>0</v>
      </c>
      <c r="O160" s="77">
        <f t="shared" si="59"/>
        <v>0</v>
      </c>
      <c r="P160" s="77">
        <f t="shared" si="59"/>
        <v>1</v>
      </c>
      <c r="Q160" s="77">
        <f t="shared" si="59"/>
        <v>0</v>
      </c>
      <c r="R160" s="77">
        <f t="shared" si="59"/>
        <v>0</v>
      </c>
      <c r="S160" s="77">
        <f t="shared" si="59"/>
        <v>0</v>
      </c>
      <c r="T160" s="77">
        <f t="shared" si="59"/>
        <v>1</v>
      </c>
      <c r="U160" s="77">
        <f t="shared" si="59"/>
        <v>0</v>
      </c>
      <c r="V160" s="77">
        <f t="shared" si="59"/>
        <v>0</v>
      </c>
      <c r="W160" s="77">
        <f t="shared" si="59"/>
        <v>1</v>
      </c>
      <c r="X160" s="77">
        <f t="shared" si="59"/>
        <v>0</v>
      </c>
      <c r="Y160" s="77">
        <f t="shared" si="59"/>
        <v>1</v>
      </c>
      <c r="Z160" s="77">
        <f t="shared" si="59"/>
        <v>0</v>
      </c>
      <c r="AA160" s="77">
        <f t="shared" si="59"/>
        <v>0</v>
      </c>
      <c r="AB160" s="77">
        <f t="shared" si="59"/>
        <v>0</v>
      </c>
      <c r="AC160" s="77">
        <f t="shared" si="59"/>
        <v>0</v>
      </c>
      <c r="AD160" s="77">
        <f t="shared" si="59"/>
        <v>0</v>
      </c>
      <c r="AE160" s="77">
        <f t="shared" si="59"/>
        <v>1</v>
      </c>
      <c r="AF160" s="77">
        <f t="shared" si="59"/>
        <v>0</v>
      </c>
      <c r="AG160" s="77">
        <f t="shared" si="59"/>
        <v>0</v>
      </c>
      <c r="AH160" s="77">
        <f t="shared" si="59"/>
        <v>0</v>
      </c>
      <c r="AI160" s="77">
        <f t="shared" si="59"/>
        <v>0</v>
      </c>
      <c r="AJ160" s="77">
        <f t="shared" si="59"/>
        <v>0</v>
      </c>
      <c r="AK160" s="77">
        <f t="shared" si="59"/>
        <v>0</v>
      </c>
      <c r="AL160" s="77">
        <f t="shared" si="59"/>
        <v>0</v>
      </c>
      <c r="AM160" s="77">
        <f t="shared" si="59"/>
        <v>0</v>
      </c>
      <c r="AN160" s="77">
        <f t="shared" si="59"/>
        <v>0</v>
      </c>
      <c r="AO160" s="77">
        <f t="shared" si="59"/>
        <v>1</v>
      </c>
      <c r="AP160" s="77">
        <f t="shared" si="59"/>
        <v>0</v>
      </c>
      <c r="AQ160" s="77">
        <f t="shared" si="59"/>
        <v>0</v>
      </c>
      <c r="AR160" s="77">
        <f t="shared" si="59"/>
        <v>0</v>
      </c>
      <c r="AS160" s="77">
        <f t="shared" si="59"/>
        <v>0</v>
      </c>
      <c r="AT160" s="77">
        <f t="shared" si="59"/>
        <v>0</v>
      </c>
      <c r="AU160" s="77">
        <f t="shared" si="59"/>
        <v>0</v>
      </c>
      <c r="AV160" s="77">
        <f t="shared" si="59"/>
        <v>0</v>
      </c>
      <c r="AW160" s="77">
        <f t="shared" si="59"/>
        <v>1</v>
      </c>
      <c r="AX160" s="77">
        <f t="shared" si="59"/>
        <v>0</v>
      </c>
      <c r="AY160" s="77">
        <f t="shared" si="59"/>
        <v>1</v>
      </c>
      <c r="AZ160" s="77">
        <f t="shared" si="59"/>
        <v>0</v>
      </c>
      <c r="BA160" s="77">
        <f t="shared" si="59"/>
        <v>1</v>
      </c>
      <c r="BB160" s="77">
        <f t="shared" si="59"/>
        <v>0</v>
      </c>
      <c r="BC160" s="77">
        <f t="shared" si="59"/>
        <v>0</v>
      </c>
      <c r="BD160" s="77">
        <f t="shared" si="59"/>
        <v>1</v>
      </c>
      <c r="BE160" s="77">
        <f t="shared" si="59"/>
        <v>0</v>
      </c>
      <c r="BF160" s="77">
        <f t="shared" si="59"/>
        <v>0</v>
      </c>
      <c r="BG160" s="77">
        <f t="shared" si="59"/>
        <v>0</v>
      </c>
      <c r="BH160" s="77">
        <f t="shared" si="59"/>
        <v>1</v>
      </c>
      <c r="BI160" s="77">
        <f t="shared" si="59"/>
        <v>1</v>
      </c>
      <c r="BJ160" s="77">
        <f t="shared" si="59"/>
        <v>0</v>
      </c>
      <c r="BK160" s="77">
        <f t="shared" si="59"/>
        <v>1</v>
      </c>
      <c r="BL160" s="77">
        <f t="shared" si="59"/>
        <v>0</v>
      </c>
      <c r="BM160" s="77">
        <f t="shared" si="59"/>
        <v>0</v>
      </c>
      <c r="BN160" s="77">
        <f t="shared" si="59"/>
        <v>0</v>
      </c>
      <c r="BO160" s="77">
        <f t="shared" si="58"/>
        <v>0</v>
      </c>
      <c r="BP160" s="77">
        <f t="shared" si="58"/>
        <v>0</v>
      </c>
      <c r="BQ160" s="77">
        <f t="shared" si="58"/>
        <v>0</v>
      </c>
      <c r="BR160" s="77">
        <f t="shared" si="58"/>
        <v>1</v>
      </c>
      <c r="BS160" s="77">
        <f t="shared" si="58"/>
        <v>0</v>
      </c>
      <c r="BT160" s="77">
        <f t="shared" si="58"/>
        <v>1</v>
      </c>
      <c r="BU160" s="77">
        <f t="shared" si="58"/>
        <v>1</v>
      </c>
      <c r="BV160" s="77">
        <f t="shared" si="58"/>
        <v>0</v>
      </c>
      <c r="BW160" s="77">
        <f t="shared" si="58"/>
        <v>0</v>
      </c>
      <c r="BX160" s="77">
        <f t="shared" si="58"/>
        <v>0</v>
      </c>
      <c r="BY160" s="77">
        <f t="shared" si="58"/>
        <v>1</v>
      </c>
      <c r="BZ160" s="77">
        <f t="shared" si="58"/>
        <v>0</v>
      </c>
      <c r="CA160" s="77">
        <f t="shared" si="58"/>
        <v>0</v>
      </c>
      <c r="CB160" s="77">
        <f t="shared" si="58"/>
        <v>0</v>
      </c>
      <c r="CC160" s="77">
        <f t="shared" si="58"/>
        <v>1</v>
      </c>
      <c r="CD160" s="77">
        <f t="shared" si="58"/>
        <v>1</v>
      </c>
      <c r="CE160" s="77">
        <f t="shared" si="58"/>
        <v>0</v>
      </c>
      <c r="CF160" s="77">
        <f t="shared" si="58"/>
        <v>0</v>
      </c>
      <c r="CG160" s="77">
        <f t="shared" si="58"/>
        <v>0</v>
      </c>
      <c r="CH160" s="77">
        <f t="shared" si="58"/>
        <v>0</v>
      </c>
      <c r="CI160" s="77">
        <f t="shared" si="58"/>
        <v>1</v>
      </c>
      <c r="CJ160" s="77">
        <f t="shared" si="58"/>
        <v>0</v>
      </c>
      <c r="CK160" s="77">
        <f t="shared" si="58"/>
        <v>0</v>
      </c>
      <c r="CL160" s="77">
        <f t="shared" si="58"/>
        <v>0</v>
      </c>
      <c r="CM160" s="77">
        <f t="shared" si="58"/>
        <v>0</v>
      </c>
      <c r="CN160" s="77">
        <f t="shared" si="58"/>
        <v>1</v>
      </c>
      <c r="CO160" s="77">
        <f t="shared" si="58"/>
        <v>0</v>
      </c>
      <c r="CP160" s="77">
        <f t="shared" si="58"/>
        <v>0</v>
      </c>
      <c r="CQ160" s="77">
        <f t="shared" si="58"/>
        <v>0</v>
      </c>
      <c r="CR160" s="77">
        <f t="shared" si="58"/>
        <v>1</v>
      </c>
      <c r="CS160" s="77">
        <f t="shared" si="58"/>
        <v>0</v>
      </c>
      <c r="CT160" s="77">
        <f t="shared" si="58"/>
        <v>0</v>
      </c>
      <c r="CU160" s="77">
        <f t="shared" si="58"/>
        <v>1</v>
      </c>
      <c r="CV160" s="77">
        <f t="shared" si="58"/>
        <v>1</v>
      </c>
      <c r="CW160" s="77">
        <f t="shared" si="58"/>
        <v>0</v>
      </c>
      <c r="CX160" s="77">
        <f t="shared" si="58"/>
        <v>0</v>
      </c>
      <c r="CY160" s="77">
        <f t="shared" si="58"/>
        <v>1</v>
      </c>
      <c r="CZ160" s="77">
        <f t="shared" si="58"/>
        <v>0</v>
      </c>
      <c r="DA160" s="77">
        <f t="shared" si="58"/>
        <v>0</v>
      </c>
      <c r="DB160" s="77">
        <f t="shared" si="58"/>
        <v>0</v>
      </c>
      <c r="DC160" s="77">
        <f t="shared" si="58"/>
        <v>0</v>
      </c>
      <c r="DD160" s="77">
        <f t="shared" si="58"/>
        <v>0</v>
      </c>
      <c r="DE160" s="77">
        <f t="shared" si="58"/>
        <v>0</v>
      </c>
      <c r="DF160" s="77">
        <f t="shared" si="58"/>
        <v>0</v>
      </c>
      <c r="DG160" s="77">
        <f t="shared" si="58"/>
        <v>0</v>
      </c>
      <c r="DH160" s="77">
        <f t="shared" si="58"/>
        <v>0</v>
      </c>
      <c r="DI160" s="77">
        <f t="shared" si="58"/>
        <v>1</v>
      </c>
      <c r="DJ160" s="77">
        <f t="shared" si="58"/>
        <v>0</v>
      </c>
      <c r="DK160" s="77">
        <f t="shared" si="58"/>
        <v>0</v>
      </c>
      <c r="DL160" s="77">
        <f t="shared" si="58"/>
        <v>0</v>
      </c>
      <c r="DM160" s="77">
        <f t="shared" si="58"/>
        <v>0</v>
      </c>
      <c r="DN160" s="77">
        <f t="shared" si="58"/>
        <v>0</v>
      </c>
      <c r="DO160" s="77">
        <f t="shared" si="58"/>
        <v>0</v>
      </c>
      <c r="DP160" s="77">
        <f t="shared" si="58"/>
        <v>0</v>
      </c>
      <c r="DQ160" s="77">
        <f t="shared" si="58"/>
        <v>1</v>
      </c>
      <c r="DR160" s="77">
        <f t="shared" si="58"/>
        <v>1</v>
      </c>
      <c r="DS160" s="77">
        <f t="shared" si="58"/>
        <v>1</v>
      </c>
      <c r="DT160" s="77">
        <f t="shared" si="58"/>
        <v>0</v>
      </c>
      <c r="DU160" s="77">
        <f t="shared" si="58"/>
        <v>0</v>
      </c>
      <c r="DV160" s="77">
        <f t="shared" si="58"/>
        <v>0</v>
      </c>
      <c r="DW160" s="77">
        <f t="shared" si="58"/>
        <v>0</v>
      </c>
      <c r="DX160" s="77">
        <f t="shared" si="58"/>
        <v>0</v>
      </c>
      <c r="DY160" s="77">
        <f t="shared" si="58"/>
        <v>1</v>
      </c>
      <c r="DZ160" s="77">
        <f t="shared" si="57"/>
        <v>0</v>
      </c>
      <c r="EA160" s="77">
        <f t="shared" si="57"/>
        <v>0</v>
      </c>
      <c r="EB160" s="77">
        <f t="shared" si="57"/>
        <v>0</v>
      </c>
      <c r="EC160" s="77">
        <f t="shared" si="57"/>
        <v>0</v>
      </c>
      <c r="ED160" s="77">
        <f t="shared" si="57"/>
        <v>0</v>
      </c>
      <c r="EE160" s="77">
        <f t="shared" si="57"/>
        <v>0</v>
      </c>
      <c r="EF160" s="77">
        <f t="shared" si="57"/>
        <v>1</v>
      </c>
      <c r="EG160" s="77">
        <f t="shared" si="57"/>
        <v>1</v>
      </c>
      <c r="EH160" s="77">
        <f t="shared" si="57"/>
        <v>0</v>
      </c>
      <c r="EI160" s="77">
        <f t="shared" si="57"/>
        <v>0</v>
      </c>
      <c r="EJ160" s="77">
        <f t="shared" si="57"/>
        <v>0</v>
      </c>
      <c r="EK160" s="77">
        <f t="shared" si="57"/>
        <v>0</v>
      </c>
      <c r="EL160" s="77">
        <f t="shared" si="57"/>
        <v>0</v>
      </c>
      <c r="EM160" s="77">
        <f t="shared" si="57"/>
        <v>0</v>
      </c>
      <c r="EN160" s="77">
        <f t="shared" si="57"/>
        <v>0</v>
      </c>
      <c r="EO160" s="77">
        <f t="shared" si="57"/>
        <v>0</v>
      </c>
      <c r="EP160" s="77">
        <f t="shared" si="57"/>
        <v>0</v>
      </c>
      <c r="EQ160" s="77">
        <f t="shared" si="57"/>
        <v>0</v>
      </c>
      <c r="ER160" s="77">
        <f t="shared" si="57"/>
        <v>0</v>
      </c>
      <c r="ES160" s="77">
        <f t="shared" si="57"/>
        <v>0</v>
      </c>
    </row>
    <row r="161" spans="1:149" x14ac:dyDescent="0.3"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0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0"/>
      <c r="DI161" s="60"/>
      <c r="DJ161" s="60"/>
      <c r="DK161" s="60"/>
      <c r="DL161" s="60"/>
      <c r="DM161" s="60"/>
      <c r="DN161" s="60"/>
      <c r="DO161" s="60"/>
      <c r="DP161" s="60"/>
      <c r="DQ161" s="60"/>
      <c r="DR161" s="60"/>
      <c r="DS161" s="60"/>
      <c r="DT161" s="60"/>
      <c r="DU161" s="60"/>
      <c r="DV161" s="60"/>
      <c r="DW161" s="60"/>
      <c r="DX161" s="60"/>
      <c r="DY161" s="60"/>
      <c r="DZ161" s="60"/>
      <c r="EA161" s="60"/>
      <c r="EB161" s="60"/>
      <c r="EC161" s="60"/>
      <c r="ED161" s="60"/>
      <c r="EE161" s="60"/>
      <c r="EF161" s="60"/>
      <c r="EG161" s="60"/>
      <c r="EH161" s="60"/>
      <c r="EI161" s="60"/>
      <c r="EJ161" s="60"/>
      <c r="EK161" s="60"/>
      <c r="EL161" s="60"/>
      <c r="EM161" s="60"/>
      <c r="EN161" s="60"/>
      <c r="EO161" s="60"/>
      <c r="EP161" s="60"/>
      <c r="EQ161" s="60"/>
      <c r="ER161" s="60"/>
      <c r="ES161" s="60"/>
    </row>
    <row r="162" spans="1:149" x14ac:dyDescent="0.3"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0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0"/>
      <c r="DI162" s="60"/>
      <c r="DJ162" s="60"/>
      <c r="DK162" s="60"/>
      <c r="DL162" s="60"/>
      <c r="DM162" s="60"/>
      <c r="DN162" s="60"/>
      <c r="DO162" s="60"/>
      <c r="DP162" s="60"/>
      <c r="DQ162" s="60"/>
      <c r="DR162" s="60"/>
      <c r="DS162" s="60"/>
      <c r="DT162" s="60"/>
      <c r="DU162" s="60"/>
      <c r="DV162" s="60"/>
      <c r="DW162" s="60"/>
      <c r="DX162" s="60"/>
      <c r="DY162" s="60"/>
      <c r="DZ162" s="60"/>
      <c r="EA162" s="60"/>
      <c r="EB162" s="60"/>
      <c r="EC162" s="60"/>
      <c r="ED162" s="60"/>
      <c r="EE162" s="60"/>
      <c r="EF162" s="60"/>
      <c r="EG162" s="60"/>
      <c r="EH162" s="60"/>
      <c r="EI162" s="60"/>
      <c r="EJ162" s="60"/>
      <c r="EK162" s="60"/>
      <c r="EL162" s="60"/>
      <c r="EM162" s="60"/>
      <c r="EN162" s="60"/>
      <c r="EO162" s="60"/>
      <c r="EP162" s="60"/>
      <c r="EQ162" s="60"/>
      <c r="ER162" s="60"/>
      <c r="ES162" s="60"/>
    </row>
    <row r="163" spans="1:149" x14ac:dyDescent="0.3">
      <c r="A163" s="61" t="s">
        <v>184</v>
      </c>
      <c r="B163" s="37" t="s">
        <v>30</v>
      </c>
      <c r="C163" s="37" t="s">
        <v>6</v>
      </c>
      <c r="D163" s="37" t="s">
        <v>31</v>
      </c>
      <c r="E163" s="37" t="s">
        <v>32</v>
      </c>
      <c r="F163" s="37" t="s">
        <v>33</v>
      </c>
      <c r="G163" s="37" t="s">
        <v>34</v>
      </c>
      <c r="H163" s="37" t="s">
        <v>15</v>
      </c>
      <c r="I163" s="37" t="s">
        <v>35</v>
      </c>
      <c r="J163" s="37" t="s">
        <v>36</v>
      </c>
      <c r="K163" s="37" t="s">
        <v>37</v>
      </c>
      <c r="L163" s="37" t="s">
        <v>38</v>
      </c>
      <c r="M163" s="37" t="s">
        <v>39</v>
      </c>
      <c r="N163" s="37" t="s">
        <v>20</v>
      </c>
      <c r="O163" s="37" t="s">
        <v>40</v>
      </c>
      <c r="P163" s="37" t="s">
        <v>41</v>
      </c>
      <c r="Q163" s="37" t="s">
        <v>42</v>
      </c>
      <c r="R163" s="37" t="s">
        <v>43</v>
      </c>
      <c r="S163" s="37" t="s">
        <v>44</v>
      </c>
      <c r="T163" s="37" t="s">
        <v>45</v>
      </c>
      <c r="U163" s="37" t="s">
        <v>46</v>
      </c>
      <c r="V163" s="37" t="s">
        <v>47</v>
      </c>
      <c r="W163" s="37" t="s">
        <v>48</v>
      </c>
      <c r="X163" s="37" t="s">
        <v>49</v>
      </c>
      <c r="Y163" s="37" t="s">
        <v>50</v>
      </c>
      <c r="Z163" s="37" t="s">
        <v>51</v>
      </c>
      <c r="AA163" s="37" t="s">
        <v>52</v>
      </c>
      <c r="AB163" s="37" t="s">
        <v>53</v>
      </c>
      <c r="AC163" s="37" t="s">
        <v>54</v>
      </c>
      <c r="AD163" s="37" t="s">
        <v>55</v>
      </c>
      <c r="AE163" s="37" t="s">
        <v>56</v>
      </c>
      <c r="AF163" s="37" t="s">
        <v>57</v>
      </c>
      <c r="AG163" s="37" t="s">
        <v>58</v>
      </c>
      <c r="AH163" s="37" t="s">
        <v>59</v>
      </c>
      <c r="AI163" s="37" t="s">
        <v>60</v>
      </c>
      <c r="AJ163" s="37" t="s">
        <v>21</v>
      </c>
      <c r="AK163" s="37" t="s">
        <v>61</v>
      </c>
      <c r="AL163" s="37" t="s">
        <v>5</v>
      </c>
      <c r="AM163" s="37" t="s">
        <v>62</v>
      </c>
      <c r="AN163" s="37" t="s">
        <v>63</v>
      </c>
      <c r="AO163" s="37" t="s">
        <v>16</v>
      </c>
      <c r="AP163" s="37" t="s">
        <v>64</v>
      </c>
      <c r="AQ163" s="37" t="s">
        <v>65</v>
      </c>
      <c r="AR163" s="37" t="s">
        <v>66</v>
      </c>
      <c r="AS163" s="37" t="s">
        <v>67</v>
      </c>
      <c r="AT163" s="37" t="s">
        <v>68</v>
      </c>
      <c r="AU163" s="37" t="s">
        <v>69</v>
      </c>
      <c r="AV163" s="37" t="s">
        <v>70</v>
      </c>
      <c r="AW163" s="37" t="s">
        <v>71</v>
      </c>
      <c r="AX163" s="37" t="s">
        <v>72</v>
      </c>
      <c r="AY163" s="37" t="s">
        <v>17</v>
      </c>
      <c r="AZ163" s="37" t="s">
        <v>73</v>
      </c>
      <c r="BA163" s="37" t="s">
        <v>74</v>
      </c>
      <c r="BB163" s="37" t="s">
        <v>75</v>
      </c>
      <c r="BC163" s="37" t="s">
        <v>76</v>
      </c>
      <c r="BD163" s="37" t="s">
        <v>77</v>
      </c>
      <c r="BE163" s="37" t="s">
        <v>29</v>
      </c>
      <c r="BF163" s="37" t="s">
        <v>78</v>
      </c>
      <c r="BG163" s="37" t="s">
        <v>79</v>
      </c>
      <c r="BH163" s="37" t="s">
        <v>80</v>
      </c>
      <c r="BI163" s="37" t="s">
        <v>81</v>
      </c>
      <c r="BJ163" s="37" t="s">
        <v>82</v>
      </c>
      <c r="BK163" s="37" t="s">
        <v>83</v>
      </c>
      <c r="BL163" s="37" t="s">
        <v>84</v>
      </c>
      <c r="BM163" s="37" t="s">
        <v>85</v>
      </c>
      <c r="BN163" s="37" t="s">
        <v>22</v>
      </c>
      <c r="BO163" s="37" t="s">
        <v>7</v>
      </c>
      <c r="BP163" s="37" t="s">
        <v>86</v>
      </c>
      <c r="BQ163" s="37" t="s">
        <v>18</v>
      </c>
      <c r="BR163" s="37" t="s">
        <v>87</v>
      </c>
      <c r="BS163" s="37" t="s">
        <v>88</v>
      </c>
      <c r="BT163" s="37" t="s">
        <v>89</v>
      </c>
      <c r="BU163" s="37" t="s">
        <v>90</v>
      </c>
      <c r="BV163" s="37" t="s">
        <v>91</v>
      </c>
      <c r="BW163" s="37" t="s">
        <v>92</v>
      </c>
      <c r="BX163" s="37" t="s">
        <v>93</v>
      </c>
      <c r="BY163" s="37" t="s">
        <v>94</v>
      </c>
      <c r="BZ163" s="37" t="s">
        <v>95</v>
      </c>
      <c r="CA163" s="37" t="s">
        <v>96</v>
      </c>
      <c r="CB163" s="37" t="s">
        <v>97</v>
      </c>
      <c r="CC163" s="37" t="s">
        <v>98</v>
      </c>
      <c r="CD163" s="37" t="s">
        <v>99</v>
      </c>
      <c r="CE163" s="37" t="s">
        <v>100</v>
      </c>
      <c r="CF163" s="37" t="s">
        <v>26</v>
      </c>
      <c r="CG163" s="37" t="s">
        <v>101</v>
      </c>
      <c r="CH163" s="37" t="s">
        <v>102</v>
      </c>
      <c r="CI163" s="37" t="s">
        <v>103</v>
      </c>
      <c r="CJ163" s="37" t="s">
        <v>104</v>
      </c>
      <c r="CK163" s="37" t="s">
        <v>105</v>
      </c>
      <c r="CL163" s="37" t="s">
        <v>106</v>
      </c>
      <c r="CM163" s="37" t="s">
        <v>19</v>
      </c>
      <c r="CN163" s="37" t="s">
        <v>107</v>
      </c>
      <c r="CO163" s="37" t="s">
        <v>108</v>
      </c>
      <c r="CP163" s="37" t="s">
        <v>109</v>
      </c>
      <c r="CQ163" s="37" t="s">
        <v>110</v>
      </c>
      <c r="CR163" s="37" t="s">
        <v>111</v>
      </c>
      <c r="CS163" s="37" t="s">
        <v>112</v>
      </c>
      <c r="CT163" s="37" t="s">
        <v>180</v>
      </c>
      <c r="CU163" s="37" t="s">
        <v>114</v>
      </c>
      <c r="CV163" s="37" t="s">
        <v>115</v>
      </c>
      <c r="CW163" s="37" t="s">
        <v>116</v>
      </c>
      <c r="CX163" s="37" t="s">
        <v>117</v>
      </c>
      <c r="CY163" s="37" t="s">
        <v>118</v>
      </c>
      <c r="CZ163" s="37" t="s">
        <v>119</v>
      </c>
      <c r="DA163" s="37" t="s">
        <v>120</v>
      </c>
      <c r="DB163" s="37" t="s">
        <v>121</v>
      </c>
      <c r="DC163" s="37" t="s">
        <v>122</v>
      </c>
      <c r="DD163" s="37" t="s">
        <v>123</v>
      </c>
      <c r="DE163" s="37" t="s">
        <v>124</v>
      </c>
      <c r="DF163" s="37" t="s">
        <v>125</v>
      </c>
      <c r="DG163" s="37" t="s">
        <v>126</v>
      </c>
      <c r="DH163" s="37" t="s">
        <v>127</v>
      </c>
      <c r="DI163" s="37" t="s">
        <v>128</v>
      </c>
      <c r="DJ163" s="37" t="s">
        <v>27</v>
      </c>
      <c r="DK163" s="37" t="s">
        <v>25</v>
      </c>
      <c r="DL163" s="37" t="s">
        <v>129</v>
      </c>
      <c r="DM163" s="37" t="s">
        <v>130</v>
      </c>
      <c r="DN163" s="37" t="s">
        <v>8</v>
      </c>
      <c r="DO163" s="37" t="s">
        <v>131</v>
      </c>
      <c r="DP163" s="37" t="s">
        <v>28</v>
      </c>
      <c r="DQ163" s="37" t="s">
        <v>132</v>
      </c>
      <c r="DR163" s="37" t="s">
        <v>133</v>
      </c>
      <c r="DS163" s="37" t="s">
        <v>134</v>
      </c>
      <c r="DT163" s="37" t="s">
        <v>135</v>
      </c>
      <c r="DU163" s="37" t="s">
        <v>136</v>
      </c>
      <c r="DV163" s="37" t="s">
        <v>137</v>
      </c>
      <c r="DW163" s="37" t="s">
        <v>138</v>
      </c>
      <c r="DX163" s="37" t="s">
        <v>139</v>
      </c>
      <c r="DY163" s="37" t="s">
        <v>140</v>
      </c>
      <c r="DZ163" s="37" t="s">
        <v>141</v>
      </c>
      <c r="EA163" s="37" t="s">
        <v>142</v>
      </c>
      <c r="EB163" s="37" t="s">
        <v>143</v>
      </c>
      <c r="EC163" s="37" t="s">
        <v>144</v>
      </c>
      <c r="ED163" s="37" t="s">
        <v>145</v>
      </c>
      <c r="EE163" s="37" t="s">
        <v>146</v>
      </c>
      <c r="EF163" s="37" t="s">
        <v>147</v>
      </c>
      <c r="EG163" s="37" t="s">
        <v>148</v>
      </c>
      <c r="EH163" s="37" t="s">
        <v>149</v>
      </c>
      <c r="EI163" s="37" t="s">
        <v>150</v>
      </c>
      <c r="EJ163" s="37" t="s">
        <v>151</v>
      </c>
      <c r="EK163" s="37" t="s">
        <v>152</v>
      </c>
      <c r="EL163" s="37" t="s">
        <v>153</v>
      </c>
      <c r="EM163" s="37" t="s">
        <v>154</v>
      </c>
      <c r="EN163" s="37" t="s">
        <v>155</v>
      </c>
      <c r="EO163" s="37" t="s">
        <v>156</v>
      </c>
      <c r="EP163" s="37" t="s">
        <v>157</v>
      </c>
      <c r="EQ163" s="37" t="s">
        <v>158</v>
      </c>
      <c r="ER163" s="37" t="s">
        <v>23</v>
      </c>
      <c r="ES163" s="37" t="s">
        <v>159</v>
      </c>
    </row>
    <row r="164" spans="1:149" x14ac:dyDescent="0.3">
      <c r="A164" s="37" t="s">
        <v>6</v>
      </c>
      <c r="B164" s="64">
        <f>B84*B138*100/$B$8</f>
        <v>0</v>
      </c>
      <c r="C164" s="64">
        <f>C84*C138*100/$B$8</f>
        <v>0</v>
      </c>
      <c r="D164" s="64">
        <f>D84*D138*100/$B$8</f>
        <v>0</v>
      </c>
      <c r="E164" s="64">
        <f>E84*E138*100/$B$8</f>
        <v>0</v>
      </c>
      <c r="F164" s="64">
        <f>F84*F138*100/$B$8</f>
        <v>0</v>
      </c>
      <c r="G164" s="64">
        <f>G84*G138*100/$B$8</f>
        <v>0</v>
      </c>
      <c r="H164" s="64">
        <f>H84*H138*100/$B$8</f>
        <v>0</v>
      </c>
      <c r="I164" s="64">
        <f>I84*I138*100/$B$8</f>
        <v>0</v>
      </c>
      <c r="J164" s="64">
        <f>J84*J138*100/$B$8</f>
        <v>0</v>
      </c>
      <c r="K164" s="64">
        <f>K84*K138*100/$B$8</f>
        <v>0</v>
      </c>
      <c r="L164" s="64">
        <f>L84*L138*100/$B$8</f>
        <v>0</v>
      </c>
      <c r="M164" s="64">
        <f>M84*M138*100/$B$8</f>
        <v>0</v>
      </c>
      <c r="N164" s="64">
        <f>N84*N138*100/$B$8</f>
        <v>0</v>
      </c>
      <c r="O164" s="64">
        <f>O84*O138*100/$B$8</f>
        <v>0</v>
      </c>
      <c r="P164" s="64">
        <f>P84*P138*100/$B$8</f>
        <v>0</v>
      </c>
      <c r="Q164" s="64">
        <f>Q84*Q138*100/$B$8</f>
        <v>0</v>
      </c>
      <c r="R164" s="64">
        <f>R84*R138*100/$B$8</f>
        <v>0</v>
      </c>
      <c r="S164" s="64">
        <f>S84*S138*100/$B$8</f>
        <v>0</v>
      </c>
      <c r="T164" s="64">
        <f>T84*T138*100/$B$8</f>
        <v>0</v>
      </c>
      <c r="U164" s="64">
        <f>U84*U138*100/$B$8</f>
        <v>0</v>
      </c>
      <c r="V164" s="64">
        <f>V84*V138*100/$B$8</f>
        <v>0</v>
      </c>
      <c r="W164" s="64">
        <f>W84*W138*100/$B$8</f>
        <v>0</v>
      </c>
      <c r="X164" s="64">
        <f>X84*X138*100/$B$8</f>
        <v>0</v>
      </c>
      <c r="Y164" s="64">
        <f>Y84*Y138*100/$B$8</f>
        <v>0</v>
      </c>
      <c r="Z164" s="64">
        <f>Z84*Z138*100/$B$8</f>
        <v>0</v>
      </c>
      <c r="AA164" s="64">
        <f>AA84*AA138*100/$B$8</f>
        <v>0</v>
      </c>
      <c r="AB164" s="64">
        <f>AB84*AB138*100/$B$8</f>
        <v>0</v>
      </c>
      <c r="AC164" s="64">
        <f>AC84*AC138*100/$B$8</f>
        <v>0</v>
      </c>
      <c r="AD164" s="64">
        <f>AD84*AD138*100/$B$8</f>
        <v>0</v>
      </c>
      <c r="AE164" s="64">
        <f>AE84*AE138*100/$B$8</f>
        <v>0</v>
      </c>
      <c r="AF164" s="64">
        <f>AF84*AF138*100/$B$8</f>
        <v>0</v>
      </c>
      <c r="AG164" s="64">
        <f>AG84*AG138*100/$B$8</f>
        <v>0</v>
      </c>
      <c r="AH164" s="64">
        <f>AH84*AH138*100/$B$8</f>
        <v>0</v>
      </c>
      <c r="AI164" s="64">
        <f>AI84*AI138*100/$B$8</f>
        <v>0</v>
      </c>
      <c r="AJ164" s="64">
        <f>AJ84*AJ138*100/$B$8</f>
        <v>0</v>
      </c>
      <c r="AK164" s="64">
        <f>AK84*AK138*100/$B$8</f>
        <v>0</v>
      </c>
      <c r="AL164" s="64">
        <f>AL84*AL138*100/$B$8</f>
        <v>0</v>
      </c>
      <c r="AM164" s="64">
        <f>AM84*AM138*100/$B$8</f>
        <v>0</v>
      </c>
      <c r="AN164" s="64">
        <f>AN84*AN138*100/$B$8</f>
        <v>0</v>
      </c>
      <c r="AO164" s="64">
        <f>AO84*AO138*100/$B$8</f>
        <v>0</v>
      </c>
      <c r="AP164" s="64">
        <f>AP84*AP138*100/$B$8</f>
        <v>0</v>
      </c>
      <c r="AQ164" s="64">
        <f>AQ84*AQ138*100/$B$8</f>
        <v>0</v>
      </c>
      <c r="AR164" s="64">
        <f>AR84*AR138*100/$B$8</f>
        <v>0</v>
      </c>
      <c r="AS164" s="64">
        <f>AS84*AS138*100/$B$8</f>
        <v>0</v>
      </c>
      <c r="AT164" s="64">
        <f>AT84*AT138*100/$B$8</f>
        <v>0</v>
      </c>
      <c r="AU164" s="64">
        <f>AU84*AU138*100/$B$8</f>
        <v>0</v>
      </c>
      <c r="AV164" s="64">
        <f>AV84*AV138*100/$B$8</f>
        <v>0</v>
      </c>
      <c r="AW164" s="64">
        <f>AW84*AW138*100/$B$8</f>
        <v>0</v>
      </c>
      <c r="AX164" s="64">
        <f>AX84*AX138*100/$B$8</f>
        <v>0</v>
      </c>
      <c r="AY164" s="64">
        <f>AY84*AY138*100/$B$8</f>
        <v>0</v>
      </c>
      <c r="AZ164" s="64">
        <f>AZ84*AZ138*100/$B$8</f>
        <v>0</v>
      </c>
      <c r="BA164" s="64">
        <f>BA84*BA138*100/$B$8</f>
        <v>0</v>
      </c>
      <c r="BB164" s="64">
        <f>BB84*BB138*100/$B$8</f>
        <v>0</v>
      </c>
      <c r="BC164" s="64">
        <f>BC84*BC138*100/$B$8</f>
        <v>0</v>
      </c>
      <c r="BD164" s="64">
        <f>BD84*BD138*100/$B$8</f>
        <v>0</v>
      </c>
      <c r="BE164" s="64">
        <f>BE84*BE138*100/$B$8</f>
        <v>0</v>
      </c>
      <c r="BF164" s="64">
        <f>BF84*BF138*100/$B$8</f>
        <v>0</v>
      </c>
      <c r="BG164" s="64">
        <f>BG84*BG138*100/$B$8</f>
        <v>0</v>
      </c>
      <c r="BH164" s="64">
        <f>BH84*BH138*100/$B$8</f>
        <v>0</v>
      </c>
      <c r="BI164" s="64">
        <f>BI84*BI138*100/$B$8</f>
        <v>0</v>
      </c>
      <c r="BJ164" s="64">
        <f>BJ84*BJ138*100/$B$8</f>
        <v>0</v>
      </c>
      <c r="BK164" s="64">
        <f>BK84*BK138*100/$B$8</f>
        <v>0</v>
      </c>
      <c r="BL164" s="64">
        <f>BL84*BL138*100/$B$8</f>
        <v>0</v>
      </c>
      <c r="BM164" s="64">
        <f>BM84*BM138*100/$B$8</f>
        <v>0</v>
      </c>
      <c r="BN164" s="64">
        <f>BN84*BN138*100/$B$8</f>
        <v>0</v>
      </c>
      <c r="BO164" s="64">
        <f>BO84*BO138*100/$B$8</f>
        <v>0</v>
      </c>
      <c r="BP164" s="64">
        <f>BP84*BP138*100/$B$8</f>
        <v>0</v>
      </c>
      <c r="BQ164" s="64">
        <f>BQ84*BQ138*100/$B$8</f>
        <v>0</v>
      </c>
      <c r="BR164" s="64">
        <f>BR84*BR138*100/$B$8</f>
        <v>0</v>
      </c>
      <c r="BS164" s="64">
        <f>BS84*BS138*100/$B$8</f>
        <v>0</v>
      </c>
      <c r="BT164" s="64">
        <f>BT84*BT138*100/$B$8</f>
        <v>0</v>
      </c>
      <c r="BU164" s="64">
        <f>BU84*BU138*100/$B$8</f>
        <v>0</v>
      </c>
      <c r="BV164" s="64">
        <f>BV84*BV138*100/$B$8</f>
        <v>0</v>
      </c>
      <c r="BW164" s="64">
        <f>BW84*BW138*100/$B$8</f>
        <v>0</v>
      </c>
      <c r="BX164" s="64">
        <f>BX84*BX138*100/$B$8</f>
        <v>0</v>
      </c>
      <c r="BY164" s="64">
        <f>BY84*BY138*100/$B$8</f>
        <v>0</v>
      </c>
      <c r="BZ164" s="64">
        <f>BZ84*BZ138*100/$B$8</f>
        <v>0</v>
      </c>
      <c r="CA164" s="64">
        <f>CA84*CA138*100/$B$8</f>
        <v>0</v>
      </c>
      <c r="CB164" s="64">
        <f>CB84*CB138*100/$B$8</f>
        <v>0</v>
      </c>
      <c r="CC164" s="64">
        <f>CC84*CC138*100/$B$8</f>
        <v>0</v>
      </c>
      <c r="CD164" s="64">
        <f>CD84*CD138*100/$B$8</f>
        <v>0</v>
      </c>
      <c r="CE164" s="64">
        <f>CE84*CE138*100/$B$8</f>
        <v>0</v>
      </c>
      <c r="CF164" s="64">
        <f>CF84*CF138*100/$B$8</f>
        <v>0</v>
      </c>
      <c r="CG164" s="64">
        <f>CG84*CG138*100/$B$8</f>
        <v>0</v>
      </c>
      <c r="CH164" s="64">
        <f>CH84*CH138*100/$B$8</f>
        <v>0</v>
      </c>
      <c r="CI164" s="64">
        <f>CI84*CI138*100/$B$8</f>
        <v>0</v>
      </c>
      <c r="CJ164" s="64">
        <f>CJ84*CJ138*100/$B$8</f>
        <v>0</v>
      </c>
      <c r="CK164" s="64">
        <f>CK84*CK138*100/$B$8</f>
        <v>0</v>
      </c>
      <c r="CL164" s="64">
        <f>CL84*CL138*100/$B$8</f>
        <v>0</v>
      </c>
      <c r="CM164" s="64">
        <f>CM84*CM138*100/$B$8</f>
        <v>0</v>
      </c>
      <c r="CN164" s="64">
        <f>CN84*CN138*100/$B$8</f>
        <v>0</v>
      </c>
      <c r="CO164" s="64">
        <f>CO84*CO138*100/$B$8</f>
        <v>0</v>
      </c>
      <c r="CP164" s="64">
        <f>CP84*CP138*100/$B$8</f>
        <v>0</v>
      </c>
      <c r="CQ164" s="64">
        <f>CQ84*CQ138*100/$B$8</f>
        <v>0</v>
      </c>
      <c r="CR164" s="64">
        <f>CR84*CR138*100/$B$8</f>
        <v>0</v>
      </c>
      <c r="CS164" s="64">
        <f>CS84*CS138*100/$B$8</f>
        <v>0</v>
      </c>
      <c r="CT164" s="64">
        <f>CT84*CT138*100/$B$8</f>
        <v>0</v>
      </c>
      <c r="CU164" s="64">
        <f>CU84*CU138*100/$B$8</f>
        <v>0</v>
      </c>
      <c r="CV164" s="64">
        <f>CV84*CV138*100/$B$8</f>
        <v>0</v>
      </c>
      <c r="CW164" s="64">
        <f>CW84*CW138*100/$B$8</f>
        <v>0</v>
      </c>
      <c r="CX164" s="64">
        <f>CX84*CX138*100/$B$8</f>
        <v>0</v>
      </c>
      <c r="CY164" s="64">
        <f>CY84*CY138*100/$B$8</f>
        <v>0</v>
      </c>
      <c r="CZ164" s="64">
        <f>CZ84*CZ138*100/$B$8</f>
        <v>0</v>
      </c>
      <c r="DA164" s="64">
        <f>DA84*DA138*100/$B$8</f>
        <v>0</v>
      </c>
      <c r="DB164" s="64">
        <f>DB84*DB138*100/$B$8</f>
        <v>0</v>
      </c>
      <c r="DC164" s="64">
        <f>DC84*DC138*100/$B$8</f>
        <v>0</v>
      </c>
      <c r="DD164" s="64">
        <f>DD84*DD138*100/$B$8</f>
        <v>0</v>
      </c>
      <c r="DE164" s="64">
        <f>DE84*DE138*100/$B$8</f>
        <v>0</v>
      </c>
      <c r="DF164" s="64">
        <f>DF84*DF138*100/$B$8</f>
        <v>0</v>
      </c>
      <c r="DG164" s="64">
        <f>DG84*DG138*100/$B$8</f>
        <v>0</v>
      </c>
      <c r="DH164" s="64">
        <f>DH84*DH138*100/$B$8</f>
        <v>0</v>
      </c>
      <c r="DI164" s="64">
        <f>DI84*DI138*100/$B$8</f>
        <v>0</v>
      </c>
      <c r="DJ164" s="64">
        <f>DJ84*DJ138*100/$B$8</f>
        <v>0</v>
      </c>
      <c r="DK164" s="64">
        <f>DK84*DK138*100/$B$8</f>
        <v>0</v>
      </c>
      <c r="DL164" s="64">
        <f>DL84*DL138*100/$B$8</f>
        <v>0</v>
      </c>
      <c r="DM164" s="64">
        <f>DM84*DM138*100/$B$8</f>
        <v>0</v>
      </c>
      <c r="DN164" s="64">
        <f>DN84*DN138*100/$B$8</f>
        <v>0</v>
      </c>
      <c r="DO164" s="64">
        <f>DO84*DO138*100/$B$8</f>
        <v>0</v>
      </c>
      <c r="DP164" s="64">
        <f>DP84*DP138*100/$B$8</f>
        <v>0</v>
      </c>
      <c r="DQ164" s="64">
        <f>DQ84*DQ138*100/$B$8</f>
        <v>0</v>
      </c>
      <c r="DR164" s="64">
        <f>DR84*DR138*100/$B$8</f>
        <v>0</v>
      </c>
      <c r="DS164" s="64">
        <f>DS84*DS138*100/$B$8</f>
        <v>0</v>
      </c>
      <c r="DT164" s="64">
        <f>DT84*DT138*100/$B$8</f>
        <v>0</v>
      </c>
      <c r="DU164" s="64">
        <f>DU84*DU138*100/$B$8</f>
        <v>0</v>
      </c>
      <c r="DV164" s="64">
        <f>DV84*DV138*100/$B$8</f>
        <v>0</v>
      </c>
      <c r="DW164" s="64">
        <f>DW84*DW138*100/$B$8</f>
        <v>0</v>
      </c>
      <c r="DX164" s="64">
        <f>DX84*DX138*100/$B$8</f>
        <v>0</v>
      </c>
      <c r="DY164" s="64">
        <f>DY84*DY138*100/$B$8</f>
        <v>0</v>
      </c>
      <c r="DZ164" s="64">
        <f>DZ84*DZ138*100/$B$8</f>
        <v>0</v>
      </c>
      <c r="EA164" s="64">
        <f>EA84*EA138*100/$B$8</f>
        <v>0</v>
      </c>
      <c r="EB164" s="64">
        <f>EB84*EB138*100/$B$8</f>
        <v>0</v>
      </c>
      <c r="EC164" s="64">
        <f>EC84*EC138*100/$B$8</f>
        <v>0</v>
      </c>
      <c r="ED164" s="64">
        <f>ED84*ED138*100/$B$8</f>
        <v>0</v>
      </c>
      <c r="EE164" s="64">
        <f>EE84*EE138*100/$B$8</f>
        <v>0</v>
      </c>
      <c r="EF164" s="64">
        <f>EF84*EF138*100/$B$8</f>
        <v>0</v>
      </c>
      <c r="EG164" s="64">
        <f>EG84*EG138*100/$B$8</f>
        <v>0</v>
      </c>
      <c r="EH164" s="64">
        <f>EH84*EH138*100/$B$8</f>
        <v>0</v>
      </c>
      <c r="EI164" s="64">
        <f>EI84*EI138*100/$B$8</f>
        <v>0</v>
      </c>
      <c r="EJ164" s="64">
        <f>EJ84*EJ138*100/$B$8</f>
        <v>0</v>
      </c>
      <c r="EK164" s="64">
        <f>EK84*EK138*100/$B$8</f>
        <v>0</v>
      </c>
      <c r="EL164" s="64">
        <f>EL84*EL138*100/$B$8</f>
        <v>0</v>
      </c>
      <c r="EM164" s="64">
        <f>EM84*EM138*100/$B$8</f>
        <v>0</v>
      </c>
      <c r="EN164" s="64">
        <f>EN84*EN138*100/$B$8</f>
        <v>0</v>
      </c>
      <c r="EO164" s="64">
        <f>EO84*EO138*100/$B$8</f>
        <v>0</v>
      </c>
      <c r="EP164" s="64">
        <f>EP84*EP138*100/$B$8</f>
        <v>0</v>
      </c>
      <c r="EQ164" s="64">
        <f>EQ84*EQ138*100/$B$8</f>
        <v>0</v>
      </c>
      <c r="ER164" s="64">
        <f>ER84*ER138*100/$B$8</f>
        <v>0</v>
      </c>
      <c r="ES164" s="64">
        <f>ES84*ES138*100/$B$8</f>
        <v>0</v>
      </c>
    </row>
    <row r="165" spans="1:149" x14ac:dyDescent="0.3">
      <c r="A165" s="37" t="s">
        <v>15</v>
      </c>
      <c r="B165" s="64">
        <f>B85*B139*100/$B$8</f>
        <v>0</v>
      </c>
      <c r="C165" s="64">
        <f>C85*C139*100/$B$8</f>
        <v>0</v>
      </c>
      <c r="D165" s="64">
        <f>D85*D139*100/$B$8</f>
        <v>0</v>
      </c>
      <c r="E165" s="64">
        <f>E85*E139*100/$B$8</f>
        <v>0</v>
      </c>
      <c r="F165" s="64">
        <f>F85*F139*100/$B$8</f>
        <v>0</v>
      </c>
      <c r="G165" s="64">
        <f>G85*G139*100/$B$8</f>
        <v>0</v>
      </c>
      <c r="H165" s="64">
        <f>H85*H139*100/$B$8</f>
        <v>0</v>
      </c>
      <c r="I165" s="64">
        <f>I85*I139*100/$B$8</f>
        <v>0</v>
      </c>
      <c r="J165" s="64">
        <f>J85*J139*100/$B$8</f>
        <v>0</v>
      </c>
      <c r="K165" s="64">
        <f>K85*K139*100/$B$8</f>
        <v>0</v>
      </c>
      <c r="L165" s="64">
        <f>L85*L139*100/$B$8</f>
        <v>0</v>
      </c>
      <c r="M165" s="64">
        <f>M85*M139*100/$B$8</f>
        <v>0</v>
      </c>
      <c r="N165" s="64">
        <f>N85*N139*100/$B$8</f>
        <v>0</v>
      </c>
      <c r="O165" s="64">
        <f>O85*O139*100/$B$8</f>
        <v>0</v>
      </c>
      <c r="P165" s="64">
        <f>P85*P139*100/$B$8</f>
        <v>0</v>
      </c>
      <c r="Q165" s="64">
        <f>Q85*Q139*100/$B$8</f>
        <v>0</v>
      </c>
      <c r="R165" s="64">
        <f>R85*R139*100/$B$8</f>
        <v>0</v>
      </c>
      <c r="S165" s="64">
        <f>S85*S139*100/$B$8</f>
        <v>0</v>
      </c>
      <c r="T165" s="64">
        <f>T85*T139*100/$B$8</f>
        <v>0</v>
      </c>
      <c r="U165" s="64">
        <f>U85*U139*100/$B$8</f>
        <v>0</v>
      </c>
      <c r="V165" s="64">
        <f>V85*V139*100/$B$8</f>
        <v>0</v>
      </c>
      <c r="W165" s="64">
        <f>W85*W139*100/$B$8</f>
        <v>0</v>
      </c>
      <c r="X165" s="64">
        <f>X85*X139*100/$B$8</f>
        <v>0</v>
      </c>
      <c r="Y165" s="64">
        <f>Y85*Y139*100/$B$8</f>
        <v>0</v>
      </c>
      <c r="Z165" s="64">
        <f>Z85*Z139*100/$B$8</f>
        <v>0</v>
      </c>
      <c r="AA165" s="64">
        <f>AA85*AA139*100/$B$8</f>
        <v>0</v>
      </c>
      <c r="AB165" s="64">
        <f>AB85*AB139*100/$B$8</f>
        <v>0</v>
      </c>
      <c r="AC165" s="64">
        <f>AC85*AC139*100/$B$8</f>
        <v>0</v>
      </c>
      <c r="AD165" s="64">
        <f>AD85*AD139*100/$B$8</f>
        <v>0</v>
      </c>
      <c r="AE165" s="64">
        <f>AE85*AE139*100/$B$8</f>
        <v>0</v>
      </c>
      <c r="AF165" s="64">
        <f>AF85*AF139*100/$B$8</f>
        <v>0</v>
      </c>
      <c r="AG165" s="64">
        <f>AG85*AG139*100/$B$8</f>
        <v>0</v>
      </c>
      <c r="AH165" s="64">
        <f>AH85*AH139*100/$B$8</f>
        <v>0</v>
      </c>
      <c r="AI165" s="64">
        <f>AI85*AI139*100/$B$8</f>
        <v>0</v>
      </c>
      <c r="AJ165" s="64">
        <f>AJ85*AJ139*100/$B$8</f>
        <v>0</v>
      </c>
      <c r="AK165" s="64">
        <f>AK85*AK139*100/$B$8</f>
        <v>0</v>
      </c>
      <c r="AL165" s="64">
        <f>AL85*AL139*100/$B$8</f>
        <v>0</v>
      </c>
      <c r="AM165" s="64">
        <f>AM85*AM139*100/$B$8</f>
        <v>0</v>
      </c>
      <c r="AN165" s="64">
        <f>AN85*AN139*100/$B$8</f>
        <v>0</v>
      </c>
      <c r="AO165" s="64">
        <f>AO85*AO139*100/$B$8</f>
        <v>0</v>
      </c>
      <c r="AP165" s="64">
        <f>AP85*AP139*100/$B$8</f>
        <v>0</v>
      </c>
      <c r="AQ165" s="64">
        <f>AQ85*AQ139*100/$B$8</f>
        <v>0</v>
      </c>
      <c r="AR165" s="64">
        <f>AR85*AR139*100/$B$8</f>
        <v>0</v>
      </c>
      <c r="AS165" s="64">
        <f>AS85*AS139*100/$B$8</f>
        <v>0</v>
      </c>
      <c r="AT165" s="64">
        <f>AT85*AT139*100/$B$8</f>
        <v>0</v>
      </c>
      <c r="AU165" s="64">
        <f>AU85*AU139*100/$B$8</f>
        <v>0</v>
      </c>
      <c r="AV165" s="64">
        <f>AV85*AV139*100/$B$8</f>
        <v>0</v>
      </c>
      <c r="AW165" s="64">
        <f>AW85*AW139*100/$B$8</f>
        <v>0</v>
      </c>
      <c r="AX165" s="64">
        <f>AX85*AX139*100/$B$8</f>
        <v>0</v>
      </c>
      <c r="AY165" s="64">
        <f>AY85*AY139*100/$B$8</f>
        <v>0</v>
      </c>
      <c r="AZ165" s="64">
        <f>AZ85*AZ139*100/$B$8</f>
        <v>0</v>
      </c>
      <c r="BA165" s="64">
        <f>BA85*BA139*100/$B$8</f>
        <v>0</v>
      </c>
      <c r="BB165" s="64">
        <f>BB85*BB139*100/$B$8</f>
        <v>0</v>
      </c>
      <c r="BC165" s="64">
        <f>BC85*BC139*100/$B$8</f>
        <v>0</v>
      </c>
      <c r="BD165" s="64">
        <f>BD85*BD139*100/$B$8</f>
        <v>0</v>
      </c>
      <c r="BE165" s="64">
        <f>BE85*BE139*100/$B$8</f>
        <v>0</v>
      </c>
      <c r="BF165" s="64">
        <f>BF85*BF139*100/$B$8</f>
        <v>0</v>
      </c>
      <c r="BG165" s="64">
        <f>BG85*BG139*100/$B$8</f>
        <v>0</v>
      </c>
      <c r="BH165" s="64">
        <f>BH85*BH139*100/$B$8</f>
        <v>0</v>
      </c>
      <c r="BI165" s="64">
        <f>BI85*BI139*100/$B$8</f>
        <v>0</v>
      </c>
      <c r="BJ165" s="64">
        <f>BJ85*BJ139*100/$B$8</f>
        <v>0</v>
      </c>
      <c r="BK165" s="64">
        <f>BK85*BK139*100/$B$8</f>
        <v>0</v>
      </c>
      <c r="BL165" s="64">
        <f>BL85*BL139*100/$B$8</f>
        <v>0</v>
      </c>
      <c r="BM165" s="64">
        <f>BM85*BM139*100/$B$8</f>
        <v>0</v>
      </c>
      <c r="BN165" s="64">
        <f>BN85*BN139*100/$B$8</f>
        <v>0</v>
      </c>
      <c r="BO165" s="64">
        <f>BO85*BO139*100/$B$8</f>
        <v>0</v>
      </c>
      <c r="BP165" s="64">
        <f>BP85*BP139*100/$B$8</f>
        <v>0</v>
      </c>
      <c r="BQ165" s="64">
        <f>BQ85*BQ139*100/$B$8</f>
        <v>0</v>
      </c>
      <c r="BR165" s="64">
        <f>BR85*BR139*100/$B$8</f>
        <v>0</v>
      </c>
      <c r="BS165" s="64">
        <f>BS85*BS139*100/$B$8</f>
        <v>0</v>
      </c>
      <c r="BT165" s="64">
        <f>BT85*BT139*100/$B$8</f>
        <v>0</v>
      </c>
      <c r="BU165" s="64">
        <f>BU85*BU139*100/$B$8</f>
        <v>0</v>
      </c>
      <c r="BV165" s="64">
        <f>BV85*BV139*100/$B$8</f>
        <v>0</v>
      </c>
      <c r="BW165" s="64">
        <f>BW85*BW139*100/$B$8</f>
        <v>0</v>
      </c>
      <c r="BX165" s="64">
        <f>BX85*BX139*100/$B$8</f>
        <v>0</v>
      </c>
      <c r="BY165" s="64">
        <f>BY85*BY139*100/$B$8</f>
        <v>0</v>
      </c>
      <c r="BZ165" s="64">
        <f>BZ85*BZ139*100/$B$8</f>
        <v>0</v>
      </c>
      <c r="CA165" s="64">
        <f>CA85*CA139*100/$B$8</f>
        <v>0</v>
      </c>
      <c r="CB165" s="64">
        <f>CB85*CB139*100/$B$8</f>
        <v>0</v>
      </c>
      <c r="CC165" s="64">
        <f>CC85*CC139*100/$B$8</f>
        <v>0</v>
      </c>
      <c r="CD165" s="64">
        <f>CD85*CD139*100/$B$8</f>
        <v>0</v>
      </c>
      <c r="CE165" s="64">
        <f>CE85*CE139*100/$B$8</f>
        <v>0</v>
      </c>
      <c r="CF165" s="64">
        <f>CF85*CF139*100/$B$8</f>
        <v>0</v>
      </c>
      <c r="CG165" s="64">
        <f>CG85*CG139*100/$B$8</f>
        <v>0</v>
      </c>
      <c r="CH165" s="64">
        <f>CH85*CH139*100/$B$8</f>
        <v>0</v>
      </c>
      <c r="CI165" s="64">
        <f>CI85*CI139*100/$B$8</f>
        <v>0</v>
      </c>
      <c r="CJ165" s="64">
        <f>CJ85*CJ139*100/$B$8</f>
        <v>0</v>
      </c>
      <c r="CK165" s="64">
        <f>CK85*CK139*100/$B$8</f>
        <v>0</v>
      </c>
      <c r="CL165" s="64">
        <f>CL85*CL139*100/$B$8</f>
        <v>0</v>
      </c>
      <c r="CM165" s="64">
        <f>CM85*CM139*100/$B$8</f>
        <v>0</v>
      </c>
      <c r="CN165" s="64">
        <f>CN85*CN139*100/$B$8</f>
        <v>0</v>
      </c>
      <c r="CO165" s="64">
        <f>CO85*CO139*100/$B$8</f>
        <v>0</v>
      </c>
      <c r="CP165" s="64">
        <f>CP85*CP139*100/$B$8</f>
        <v>0</v>
      </c>
      <c r="CQ165" s="64">
        <f>CQ85*CQ139*100/$B$8</f>
        <v>0</v>
      </c>
      <c r="CR165" s="64">
        <f>CR85*CR139*100/$B$8</f>
        <v>0</v>
      </c>
      <c r="CS165" s="64">
        <f>CS85*CS139*100/$B$8</f>
        <v>0</v>
      </c>
      <c r="CT165" s="64">
        <f>CT85*CT139*100/$B$8</f>
        <v>0</v>
      </c>
      <c r="CU165" s="64">
        <f>CU85*CU139*100/$B$8</f>
        <v>0</v>
      </c>
      <c r="CV165" s="64">
        <f>CV85*CV139*100/$B$8</f>
        <v>0</v>
      </c>
      <c r="CW165" s="64">
        <f>CW85*CW139*100/$B$8</f>
        <v>0</v>
      </c>
      <c r="CX165" s="64">
        <f>CX85*CX139*100/$B$8</f>
        <v>0</v>
      </c>
      <c r="CY165" s="64">
        <f>CY85*CY139*100/$B$8</f>
        <v>0</v>
      </c>
      <c r="CZ165" s="64">
        <f>CZ85*CZ139*100/$B$8</f>
        <v>0</v>
      </c>
      <c r="DA165" s="64">
        <f>DA85*DA139*100/$B$8</f>
        <v>0</v>
      </c>
      <c r="DB165" s="64">
        <f>DB85*DB139*100/$B$8</f>
        <v>0</v>
      </c>
      <c r="DC165" s="64">
        <f>DC85*DC139*100/$B$8</f>
        <v>0</v>
      </c>
      <c r="DD165" s="64">
        <f>DD85*DD139*100/$B$8</f>
        <v>0</v>
      </c>
      <c r="DE165" s="64">
        <f>DE85*DE139*100/$B$8</f>
        <v>0</v>
      </c>
      <c r="DF165" s="64">
        <f>DF85*DF139*100/$B$8</f>
        <v>0</v>
      </c>
      <c r="DG165" s="64">
        <f>DG85*DG139*100/$B$8</f>
        <v>0</v>
      </c>
      <c r="DH165" s="64">
        <f>DH85*DH139*100/$B$8</f>
        <v>0</v>
      </c>
      <c r="DI165" s="64">
        <f>DI85*DI139*100/$B$8</f>
        <v>0</v>
      </c>
      <c r="DJ165" s="64">
        <f>DJ85*DJ139*100/$B$8</f>
        <v>0</v>
      </c>
      <c r="DK165" s="64">
        <f>DK85*DK139*100/$B$8</f>
        <v>0</v>
      </c>
      <c r="DL165" s="64">
        <f>DL85*DL139*100/$B$8</f>
        <v>0</v>
      </c>
      <c r="DM165" s="64">
        <f>DM85*DM139*100/$B$8</f>
        <v>0</v>
      </c>
      <c r="DN165" s="64">
        <f>DN85*DN139*100/$B$8</f>
        <v>0</v>
      </c>
      <c r="DO165" s="64">
        <f>DO85*DO139*100/$B$8</f>
        <v>0</v>
      </c>
      <c r="DP165" s="64">
        <f>DP85*DP139*100/$B$8</f>
        <v>0</v>
      </c>
      <c r="DQ165" s="64">
        <f>DQ85*DQ139*100/$B$8</f>
        <v>0</v>
      </c>
      <c r="DR165" s="64">
        <f>DR85*DR139*100/$B$8</f>
        <v>0</v>
      </c>
      <c r="DS165" s="64">
        <f>DS85*DS139*100/$B$8</f>
        <v>0</v>
      </c>
      <c r="DT165" s="64">
        <f>DT85*DT139*100/$B$8</f>
        <v>0</v>
      </c>
      <c r="DU165" s="64">
        <f>DU85*DU139*100/$B$8</f>
        <v>0</v>
      </c>
      <c r="DV165" s="64">
        <f>DV85*DV139*100/$B$8</f>
        <v>0</v>
      </c>
      <c r="DW165" s="64">
        <f>DW85*DW139*100/$B$8</f>
        <v>0</v>
      </c>
      <c r="DX165" s="64">
        <f>DX85*DX139*100/$B$8</f>
        <v>0</v>
      </c>
      <c r="DY165" s="64">
        <f>DY85*DY139*100/$B$8</f>
        <v>0</v>
      </c>
      <c r="DZ165" s="64">
        <f>DZ85*DZ139*100/$B$8</f>
        <v>0</v>
      </c>
      <c r="EA165" s="64">
        <f>EA85*EA139*100/$B$8</f>
        <v>0</v>
      </c>
      <c r="EB165" s="64">
        <f>EB85*EB139*100/$B$8</f>
        <v>0</v>
      </c>
      <c r="EC165" s="64">
        <f>EC85*EC139*100/$B$8</f>
        <v>0</v>
      </c>
      <c r="ED165" s="64">
        <f>ED85*ED139*100/$B$8</f>
        <v>0</v>
      </c>
      <c r="EE165" s="64">
        <f>EE85*EE139*100/$B$8</f>
        <v>0</v>
      </c>
      <c r="EF165" s="64">
        <f>EF85*EF139*100/$B$8</f>
        <v>0</v>
      </c>
      <c r="EG165" s="64">
        <f>EG85*EG139*100/$B$8</f>
        <v>0</v>
      </c>
      <c r="EH165" s="64">
        <f>EH85*EH139*100/$B$8</f>
        <v>0</v>
      </c>
      <c r="EI165" s="64">
        <f>EI85*EI139*100/$B$8</f>
        <v>0</v>
      </c>
      <c r="EJ165" s="64">
        <f>EJ85*EJ139*100/$B$8</f>
        <v>0</v>
      </c>
      <c r="EK165" s="64">
        <f>EK85*EK139*100/$B$8</f>
        <v>0</v>
      </c>
      <c r="EL165" s="64">
        <f>EL85*EL139*100/$B$8</f>
        <v>0</v>
      </c>
      <c r="EM165" s="64">
        <f>EM85*EM139*100/$B$8</f>
        <v>0</v>
      </c>
      <c r="EN165" s="64">
        <f>EN85*EN139*100/$B$8</f>
        <v>0</v>
      </c>
      <c r="EO165" s="64">
        <f>EO85*EO139*100/$B$8</f>
        <v>0</v>
      </c>
      <c r="EP165" s="64">
        <f>EP85*EP139*100/$B$8</f>
        <v>0</v>
      </c>
      <c r="EQ165" s="64">
        <f>EQ85*EQ139*100/$B$8</f>
        <v>0</v>
      </c>
      <c r="ER165" s="64">
        <f>ER85*ER139*100/$B$8</f>
        <v>0</v>
      </c>
      <c r="ES165" s="64">
        <f>ES85*ES139*100/$B$8</f>
        <v>0</v>
      </c>
    </row>
    <row r="166" spans="1:149" x14ac:dyDescent="0.3">
      <c r="A166" s="37" t="s">
        <v>4</v>
      </c>
      <c r="B166" s="64">
        <f>B86*B140*100/$B$8</f>
        <v>0</v>
      </c>
      <c r="C166" s="64">
        <f>C86*C140*100/$B$8</f>
        <v>0</v>
      </c>
      <c r="D166" s="64">
        <f>D86*D140*100/$B$8</f>
        <v>0</v>
      </c>
      <c r="E166" s="64">
        <f>E86*E140*100/$B$8</f>
        <v>0</v>
      </c>
      <c r="F166" s="64">
        <f>F86*F140*100/$B$8</f>
        <v>0</v>
      </c>
      <c r="G166" s="64">
        <f>G86*G140*100/$B$8</f>
        <v>0</v>
      </c>
      <c r="H166" s="64">
        <f>H86*H140*100/$B$8</f>
        <v>0</v>
      </c>
      <c r="I166" s="64">
        <f>I86*I140*100/$B$8</f>
        <v>0</v>
      </c>
      <c r="J166" s="64">
        <f>J86*J140*100/$B$8</f>
        <v>0</v>
      </c>
      <c r="K166" s="64">
        <f>K86*K140*100/$B$8</f>
        <v>0</v>
      </c>
      <c r="L166" s="64">
        <f>L86*L140*100/$B$8</f>
        <v>0</v>
      </c>
      <c r="M166" s="64">
        <f>M86*M140*100/$B$8</f>
        <v>0</v>
      </c>
      <c r="N166" s="64">
        <f>N86*N140*100/$B$8</f>
        <v>0</v>
      </c>
      <c r="O166" s="64">
        <f>O86*O140*100/$B$8</f>
        <v>0</v>
      </c>
      <c r="P166" s="64">
        <f>P86*P140*100/$B$8</f>
        <v>0</v>
      </c>
      <c r="Q166" s="64">
        <f>Q86*Q140*100/$B$8</f>
        <v>0</v>
      </c>
      <c r="R166" s="64">
        <f>R86*R140*100/$B$8</f>
        <v>0</v>
      </c>
      <c r="S166" s="64">
        <f>S86*S140*100/$B$8</f>
        <v>0</v>
      </c>
      <c r="T166" s="64">
        <f>T86*T140*100/$B$8</f>
        <v>0</v>
      </c>
      <c r="U166" s="64">
        <f>U86*U140*100/$B$8</f>
        <v>0</v>
      </c>
      <c r="V166" s="64">
        <f>V86*V140*100/$B$8</f>
        <v>0</v>
      </c>
      <c r="W166" s="64">
        <f>W86*W140*100/$B$8</f>
        <v>0</v>
      </c>
      <c r="X166" s="64">
        <f>X86*X140*100/$B$8</f>
        <v>0</v>
      </c>
      <c r="Y166" s="64">
        <f>Y86*Y140*100/$B$8</f>
        <v>0</v>
      </c>
      <c r="Z166" s="64">
        <f>Z86*Z140*100/$B$8</f>
        <v>0</v>
      </c>
      <c r="AA166" s="64">
        <f>AA86*AA140*100/$B$8</f>
        <v>0</v>
      </c>
      <c r="AB166" s="64">
        <f>AB86*AB140*100/$B$8</f>
        <v>0</v>
      </c>
      <c r="AC166" s="64">
        <f>AC86*AC140*100/$B$8</f>
        <v>0</v>
      </c>
      <c r="AD166" s="64">
        <f>AD86*AD140*100/$B$8</f>
        <v>0</v>
      </c>
      <c r="AE166" s="64">
        <f>AE86*AE140*100/$B$8</f>
        <v>0</v>
      </c>
      <c r="AF166" s="64">
        <f>AF86*AF140*100/$B$8</f>
        <v>0</v>
      </c>
      <c r="AG166" s="64">
        <f>AG86*AG140*100/$B$8</f>
        <v>0</v>
      </c>
      <c r="AH166" s="64">
        <f>AH86*AH140*100/$B$8</f>
        <v>0</v>
      </c>
      <c r="AI166" s="64">
        <f>AI86*AI140*100/$B$8</f>
        <v>0</v>
      </c>
      <c r="AJ166" s="64">
        <f>AJ86*AJ140*100/$B$8</f>
        <v>0</v>
      </c>
      <c r="AK166" s="64">
        <f>AK86*AK140*100/$B$8</f>
        <v>0</v>
      </c>
      <c r="AL166" s="64">
        <f>AL86*AL140*100/$B$8</f>
        <v>0</v>
      </c>
      <c r="AM166" s="64">
        <f>AM86*AM140*100/$B$8</f>
        <v>0</v>
      </c>
      <c r="AN166" s="64">
        <f>AN86*AN140*100/$B$8</f>
        <v>0</v>
      </c>
      <c r="AO166" s="64">
        <f>AO86*AO140*100/$B$8</f>
        <v>0</v>
      </c>
      <c r="AP166" s="64">
        <f>AP86*AP140*100/$B$8</f>
        <v>0</v>
      </c>
      <c r="AQ166" s="64">
        <f>AQ86*AQ140*100/$B$8</f>
        <v>0</v>
      </c>
      <c r="AR166" s="64">
        <f>AR86*AR140*100/$B$8</f>
        <v>0</v>
      </c>
      <c r="AS166" s="64">
        <f>AS86*AS140*100/$B$8</f>
        <v>0</v>
      </c>
      <c r="AT166" s="64">
        <f>AT86*AT140*100/$B$8</f>
        <v>0</v>
      </c>
      <c r="AU166" s="64">
        <f>AU86*AU140*100/$B$8</f>
        <v>0</v>
      </c>
      <c r="AV166" s="64">
        <f>AV86*AV140*100/$B$8</f>
        <v>0</v>
      </c>
      <c r="AW166" s="64">
        <f>AW86*AW140*100/$B$8</f>
        <v>0</v>
      </c>
      <c r="AX166" s="64">
        <f>AX86*AX140*100/$B$8</f>
        <v>0</v>
      </c>
      <c r="AY166" s="64">
        <f>AY86*AY140*100/$B$8</f>
        <v>0</v>
      </c>
      <c r="AZ166" s="64">
        <f>AZ86*AZ140*100/$B$8</f>
        <v>0</v>
      </c>
      <c r="BA166" s="64">
        <f>BA86*BA140*100/$B$8</f>
        <v>0</v>
      </c>
      <c r="BB166" s="64">
        <f>BB86*BB140*100/$B$8</f>
        <v>0</v>
      </c>
      <c r="BC166" s="64">
        <f>BC86*BC140*100/$B$8</f>
        <v>0</v>
      </c>
      <c r="BD166" s="64">
        <f>BD86*BD140*100/$B$8</f>
        <v>0</v>
      </c>
      <c r="BE166" s="64">
        <f>BE86*BE140*100/$B$8</f>
        <v>0</v>
      </c>
      <c r="BF166" s="64">
        <f>BF86*BF140*100/$B$8</f>
        <v>0</v>
      </c>
      <c r="BG166" s="64">
        <f>BG86*BG140*100/$B$8</f>
        <v>0</v>
      </c>
      <c r="BH166" s="64">
        <f>BH86*BH140*100/$B$8</f>
        <v>0</v>
      </c>
      <c r="BI166" s="64">
        <f>BI86*BI140*100/$B$8</f>
        <v>0</v>
      </c>
      <c r="BJ166" s="64">
        <f>BJ86*BJ140*100/$B$8</f>
        <v>0</v>
      </c>
      <c r="BK166" s="64">
        <f>BK86*BK140*100/$B$8</f>
        <v>0</v>
      </c>
      <c r="BL166" s="64">
        <f>BL86*BL140*100/$B$8</f>
        <v>0</v>
      </c>
      <c r="BM166" s="64">
        <f>BM86*BM140*100/$B$8</f>
        <v>0</v>
      </c>
      <c r="BN166" s="64">
        <f>BN86*BN140*100/$B$8</f>
        <v>0</v>
      </c>
      <c r="BO166" s="64">
        <f>BO86*BO140*100/$B$8</f>
        <v>0</v>
      </c>
      <c r="BP166" s="64">
        <f>BP86*BP140*100/$B$8</f>
        <v>0</v>
      </c>
      <c r="BQ166" s="64">
        <f>BQ86*BQ140*100/$B$8</f>
        <v>0</v>
      </c>
      <c r="BR166" s="64">
        <f>BR86*BR140*100/$B$8</f>
        <v>0</v>
      </c>
      <c r="BS166" s="64">
        <f>BS86*BS140*100/$B$8</f>
        <v>0</v>
      </c>
      <c r="BT166" s="64">
        <f>BT86*BT140*100/$B$8</f>
        <v>0</v>
      </c>
      <c r="BU166" s="64">
        <f>BU86*BU140*100/$B$8</f>
        <v>0</v>
      </c>
      <c r="BV166" s="64">
        <f>BV86*BV140*100/$B$8</f>
        <v>0</v>
      </c>
      <c r="BW166" s="64">
        <f>BW86*BW140*100/$B$8</f>
        <v>0</v>
      </c>
      <c r="BX166" s="64">
        <f>BX86*BX140*100/$B$8</f>
        <v>0</v>
      </c>
      <c r="BY166" s="64">
        <f>BY86*BY140*100/$B$8</f>
        <v>0</v>
      </c>
      <c r="BZ166" s="64">
        <f>BZ86*BZ140*100/$B$8</f>
        <v>0</v>
      </c>
      <c r="CA166" s="64">
        <f>CA86*CA140*100/$B$8</f>
        <v>0</v>
      </c>
      <c r="CB166" s="64">
        <f>CB86*CB140*100/$B$8</f>
        <v>0</v>
      </c>
      <c r="CC166" s="64">
        <f>CC86*CC140*100/$B$8</f>
        <v>0</v>
      </c>
      <c r="CD166" s="64">
        <f>CD86*CD140*100/$B$8</f>
        <v>0</v>
      </c>
      <c r="CE166" s="64">
        <f>CE86*CE140*100/$B$8</f>
        <v>0</v>
      </c>
      <c r="CF166" s="64">
        <f>CF86*CF140*100/$B$8</f>
        <v>0</v>
      </c>
      <c r="CG166" s="64">
        <f>CG86*CG140*100/$B$8</f>
        <v>0</v>
      </c>
      <c r="CH166" s="64">
        <f>CH86*CH140*100/$B$8</f>
        <v>0</v>
      </c>
      <c r="CI166" s="64">
        <f>CI86*CI140*100/$B$8</f>
        <v>0</v>
      </c>
      <c r="CJ166" s="64">
        <f>CJ86*CJ140*100/$B$8</f>
        <v>0</v>
      </c>
      <c r="CK166" s="64">
        <f>CK86*CK140*100/$B$8</f>
        <v>0</v>
      </c>
      <c r="CL166" s="64">
        <f>CL86*CL140*100/$B$8</f>
        <v>0</v>
      </c>
      <c r="CM166" s="64">
        <f>CM86*CM140*100/$B$8</f>
        <v>0</v>
      </c>
      <c r="CN166" s="64">
        <f>CN86*CN140*100/$B$8</f>
        <v>0</v>
      </c>
      <c r="CO166" s="64">
        <f>CO86*CO140*100/$B$8</f>
        <v>0</v>
      </c>
      <c r="CP166" s="64">
        <f>CP86*CP140*100/$B$8</f>
        <v>0</v>
      </c>
      <c r="CQ166" s="64">
        <f>CQ86*CQ140*100/$B$8</f>
        <v>0</v>
      </c>
      <c r="CR166" s="64">
        <f>CR86*CR140*100/$B$8</f>
        <v>0</v>
      </c>
      <c r="CS166" s="64">
        <f>CS86*CS140*100/$B$8</f>
        <v>0</v>
      </c>
      <c r="CT166" s="64">
        <f>CT86*CT140*100/$B$8</f>
        <v>0</v>
      </c>
      <c r="CU166" s="64">
        <f>CU86*CU140*100/$B$8</f>
        <v>0</v>
      </c>
      <c r="CV166" s="64">
        <f>CV86*CV140*100/$B$8</f>
        <v>0</v>
      </c>
      <c r="CW166" s="64">
        <f>CW86*CW140*100/$B$8</f>
        <v>0</v>
      </c>
      <c r="CX166" s="64">
        <f>CX86*CX140*100/$B$8</f>
        <v>0</v>
      </c>
      <c r="CY166" s="64">
        <f>CY86*CY140*100/$B$8</f>
        <v>0</v>
      </c>
      <c r="CZ166" s="64">
        <f>CZ86*CZ140*100/$B$8</f>
        <v>0</v>
      </c>
      <c r="DA166" s="64">
        <f>DA86*DA140*100/$B$8</f>
        <v>0</v>
      </c>
      <c r="DB166" s="64">
        <f>DB86*DB140*100/$B$8</f>
        <v>0</v>
      </c>
      <c r="DC166" s="64">
        <f>DC86*DC140*100/$B$8</f>
        <v>0</v>
      </c>
      <c r="DD166" s="64">
        <f>DD86*DD140*100/$B$8</f>
        <v>0</v>
      </c>
      <c r="DE166" s="64">
        <f>DE86*DE140*100/$B$8</f>
        <v>0</v>
      </c>
      <c r="DF166" s="64">
        <f>DF86*DF140*100/$B$8</f>
        <v>0</v>
      </c>
      <c r="DG166" s="64">
        <f>DG86*DG140*100/$B$8</f>
        <v>0</v>
      </c>
      <c r="DH166" s="64">
        <f>DH86*DH140*100/$B$8</f>
        <v>0</v>
      </c>
      <c r="DI166" s="64">
        <f>DI86*DI140*100/$B$8</f>
        <v>0</v>
      </c>
      <c r="DJ166" s="64">
        <f>DJ86*DJ140*100/$B$8</f>
        <v>0</v>
      </c>
      <c r="DK166" s="64">
        <f>DK86*DK140*100/$B$8</f>
        <v>0</v>
      </c>
      <c r="DL166" s="64">
        <f>DL86*DL140*100/$B$8</f>
        <v>0</v>
      </c>
      <c r="DM166" s="64">
        <f>DM86*DM140*100/$B$8</f>
        <v>0</v>
      </c>
      <c r="DN166" s="64">
        <f>DN86*DN140*100/$B$8</f>
        <v>0</v>
      </c>
      <c r="DO166" s="64">
        <f>DO86*DO140*100/$B$8</f>
        <v>0</v>
      </c>
      <c r="DP166" s="64">
        <f>DP86*DP140*100/$B$8</f>
        <v>0</v>
      </c>
      <c r="DQ166" s="64">
        <f>DQ86*DQ140*100/$B$8</f>
        <v>0</v>
      </c>
      <c r="DR166" s="64">
        <f>DR86*DR140*100/$B$8</f>
        <v>0</v>
      </c>
      <c r="DS166" s="64">
        <f>DS86*DS140*100/$B$8</f>
        <v>0</v>
      </c>
      <c r="DT166" s="64">
        <f>DT86*DT140*100/$B$8</f>
        <v>0</v>
      </c>
      <c r="DU166" s="64">
        <f>DU86*DU140*100/$B$8</f>
        <v>0</v>
      </c>
      <c r="DV166" s="64">
        <f>DV86*DV140*100/$B$8</f>
        <v>0</v>
      </c>
      <c r="DW166" s="64">
        <f>DW86*DW140*100/$B$8</f>
        <v>0</v>
      </c>
      <c r="DX166" s="64">
        <f>DX86*DX140*100/$B$8</f>
        <v>0</v>
      </c>
      <c r="DY166" s="64">
        <f>DY86*DY140*100/$B$8</f>
        <v>0</v>
      </c>
      <c r="DZ166" s="64">
        <f>DZ86*DZ140*100/$B$8</f>
        <v>0</v>
      </c>
      <c r="EA166" s="64">
        <f>EA86*EA140*100/$B$8</f>
        <v>0</v>
      </c>
      <c r="EB166" s="64">
        <f>EB86*EB140*100/$B$8</f>
        <v>0</v>
      </c>
      <c r="EC166" s="64">
        <f>EC86*EC140*100/$B$8</f>
        <v>0</v>
      </c>
      <c r="ED166" s="64">
        <f>ED86*ED140*100/$B$8</f>
        <v>0</v>
      </c>
      <c r="EE166" s="64">
        <f>EE86*EE140*100/$B$8</f>
        <v>0</v>
      </c>
      <c r="EF166" s="64">
        <f>EF86*EF140*100/$B$8</f>
        <v>0</v>
      </c>
      <c r="EG166" s="64">
        <f>EG86*EG140*100/$B$8</f>
        <v>0</v>
      </c>
      <c r="EH166" s="64">
        <f>EH86*EH140*100/$B$8</f>
        <v>0</v>
      </c>
      <c r="EI166" s="64">
        <f>EI86*EI140*100/$B$8</f>
        <v>0</v>
      </c>
      <c r="EJ166" s="64">
        <f>EJ86*EJ140*100/$B$8</f>
        <v>0</v>
      </c>
      <c r="EK166" s="64">
        <f>EK86*EK140*100/$B$8</f>
        <v>0</v>
      </c>
      <c r="EL166" s="64">
        <f>EL86*EL140*100/$B$8</f>
        <v>0</v>
      </c>
      <c r="EM166" s="64">
        <f>EM86*EM140*100/$B$8</f>
        <v>0</v>
      </c>
      <c r="EN166" s="64">
        <f>EN86*EN140*100/$B$8</f>
        <v>0</v>
      </c>
      <c r="EO166" s="64">
        <f>EO86*EO140*100/$B$8</f>
        <v>0</v>
      </c>
      <c r="EP166" s="64">
        <f>EP86*EP140*100/$B$8</f>
        <v>0</v>
      </c>
      <c r="EQ166" s="64">
        <f>EQ86*EQ140*100/$B$8</f>
        <v>0</v>
      </c>
      <c r="ER166" s="64">
        <f>ER86*ER140*100/$B$8</f>
        <v>0</v>
      </c>
      <c r="ES166" s="64">
        <f>ES86*ES140*100/$B$8</f>
        <v>0</v>
      </c>
    </row>
    <row r="167" spans="1:149" x14ac:dyDescent="0.3">
      <c r="A167" s="37" t="s">
        <v>20</v>
      </c>
      <c r="B167" s="64">
        <f>B87*B141*100/$B$8</f>
        <v>0</v>
      </c>
      <c r="C167" s="64">
        <f>C87*C141*100/$B$8</f>
        <v>0</v>
      </c>
      <c r="D167" s="64">
        <f>D87*D141*100/$B$8</f>
        <v>0</v>
      </c>
      <c r="E167" s="64">
        <f>E87*E141*100/$B$8</f>
        <v>0</v>
      </c>
      <c r="F167" s="64">
        <f>F87*F141*100/$B$8</f>
        <v>0</v>
      </c>
      <c r="G167" s="64">
        <f>G87*G141*100/$B$8</f>
        <v>0</v>
      </c>
      <c r="H167" s="64">
        <f>H87*H141*100/$B$8</f>
        <v>0</v>
      </c>
      <c r="I167" s="64">
        <f>I87*I141*100/$B$8</f>
        <v>0</v>
      </c>
      <c r="J167" s="64">
        <f>J87*J141*100/$B$8</f>
        <v>0</v>
      </c>
      <c r="K167" s="64">
        <f>K87*K141*100/$B$8</f>
        <v>0</v>
      </c>
      <c r="L167" s="64">
        <f>L87*L141*100/$B$8</f>
        <v>0</v>
      </c>
      <c r="M167" s="64">
        <f>M87*M141*100/$B$8</f>
        <v>0</v>
      </c>
      <c r="N167" s="64">
        <f>N87*N141*100/$B$8</f>
        <v>1.7188037126160192</v>
      </c>
      <c r="O167" s="64">
        <f>O87*O141*100/$B$8</f>
        <v>0</v>
      </c>
      <c r="P167" s="64">
        <f>P87*P141*100/$B$8</f>
        <v>0</v>
      </c>
      <c r="Q167" s="64">
        <f>Q87*Q141*100/$B$8</f>
        <v>0</v>
      </c>
      <c r="R167" s="64">
        <f>R87*R141*100/$B$8</f>
        <v>0</v>
      </c>
      <c r="S167" s="64">
        <f>S87*S141*100/$B$8</f>
        <v>0</v>
      </c>
      <c r="T167" s="64">
        <f>T87*T141*100/$B$8</f>
        <v>0</v>
      </c>
      <c r="U167" s="64">
        <f>U87*U141*100/$B$8</f>
        <v>0</v>
      </c>
      <c r="V167" s="64">
        <f>V87*V141*100/$B$8</f>
        <v>0</v>
      </c>
      <c r="W167" s="64">
        <f>W87*W141*100/$B$8</f>
        <v>0</v>
      </c>
      <c r="X167" s="64">
        <f>X87*X141*100/$B$8</f>
        <v>0</v>
      </c>
      <c r="Y167" s="64">
        <f>Y87*Y141*100/$B$8</f>
        <v>0</v>
      </c>
      <c r="Z167" s="64">
        <f>Z87*Z141*100/$B$8</f>
        <v>0</v>
      </c>
      <c r="AA167" s="64">
        <f>AA87*AA141*100/$B$8</f>
        <v>0</v>
      </c>
      <c r="AB167" s="64">
        <f>AB87*AB141*100/$B$8</f>
        <v>0</v>
      </c>
      <c r="AC167" s="64">
        <f>AC87*AC141*100/$B$8</f>
        <v>0</v>
      </c>
      <c r="AD167" s="64">
        <f>AD87*AD141*100/$B$8</f>
        <v>0</v>
      </c>
      <c r="AE167" s="64">
        <f>AE87*AE141*100/$B$8</f>
        <v>0</v>
      </c>
      <c r="AF167" s="64">
        <f>AF87*AF141*100/$B$8</f>
        <v>0</v>
      </c>
      <c r="AG167" s="64">
        <f>AG87*AG141*100/$B$8</f>
        <v>7.5971124097628051</v>
      </c>
      <c r="AH167" s="64">
        <f>AH87*AH141*100/$B$8</f>
        <v>0.44688896528016503</v>
      </c>
      <c r="AI167" s="64">
        <f>AI87*AI141*100/$B$8</f>
        <v>0</v>
      </c>
      <c r="AJ167" s="64">
        <f>AJ87*AJ141*100/$B$8</f>
        <v>0</v>
      </c>
      <c r="AK167" s="64">
        <f>AK87*AK141*100/$B$8</f>
        <v>0</v>
      </c>
      <c r="AL167" s="64">
        <f>AL87*AL141*100/$B$8</f>
        <v>0</v>
      </c>
      <c r="AM167" s="64">
        <f>AM87*AM141*100/$B$8</f>
        <v>0</v>
      </c>
      <c r="AN167" s="64">
        <f>AN87*AN141*100/$B$8</f>
        <v>0.72189755929872812</v>
      </c>
      <c r="AO167" s="64">
        <f>AO87*AO141*100/$B$8</f>
        <v>0</v>
      </c>
      <c r="AP167" s="64">
        <f>AP87*AP141*100/$B$8</f>
        <v>0</v>
      </c>
      <c r="AQ167" s="64">
        <f>AQ87*AQ141*100/$B$8</f>
        <v>0</v>
      </c>
      <c r="AR167" s="64">
        <f>AR87*AR141*100/$B$8</f>
        <v>0</v>
      </c>
      <c r="AS167" s="64">
        <f>AS87*AS141*100/$B$8</f>
        <v>0</v>
      </c>
      <c r="AT167" s="64">
        <f>AT87*AT141*100/$B$8</f>
        <v>0</v>
      </c>
      <c r="AU167" s="64">
        <f>AU87*AU141*100/$B$8</f>
        <v>0</v>
      </c>
      <c r="AV167" s="64">
        <f>AV87*AV141*100/$B$8</f>
        <v>0</v>
      </c>
      <c r="AW167" s="64">
        <f>AW87*AW141*100/$B$8</f>
        <v>0</v>
      </c>
      <c r="AX167" s="64">
        <f>AX87*AX141*100/$B$8</f>
        <v>0</v>
      </c>
      <c r="AY167" s="64">
        <f>AY87*AY141*100/$B$8</f>
        <v>0</v>
      </c>
      <c r="AZ167" s="64">
        <f>AZ87*AZ141*100/$B$8</f>
        <v>0</v>
      </c>
      <c r="BA167" s="64">
        <f>BA87*BA141*100/$B$8</f>
        <v>0</v>
      </c>
      <c r="BB167" s="64">
        <f>BB87*BB141*100/$B$8</f>
        <v>0</v>
      </c>
      <c r="BC167" s="64">
        <f>BC87*BC141*100/$B$8</f>
        <v>0</v>
      </c>
      <c r="BD167" s="64">
        <f>BD87*BD141*100/$B$8</f>
        <v>0</v>
      </c>
      <c r="BE167" s="64">
        <f>BE87*BE141*100/$B$8</f>
        <v>0</v>
      </c>
      <c r="BF167" s="64">
        <f>BF87*BF141*100/$B$8</f>
        <v>0</v>
      </c>
      <c r="BG167" s="64">
        <f>BG87*BG141*100/$B$8</f>
        <v>0</v>
      </c>
      <c r="BH167" s="64">
        <f>BH87*BH141*100/$B$8</f>
        <v>0</v>
      </c>
      <c r="BI167" s="64">
        <f>BI87*BI141*100/$B$8</f>
        <v>0</v>
      </c>
      <c r="BJ167" s="64">
        <f>BJ87*BJ141*100/$B$8</f>
        <v>0</v>
      </c>
      <c r="BK167" s="64">
        <f>BK87*BK141*100/$B$8</f>
        <v>0</v>
      </c>
      <c r="BL167" s="64">
        <f>BL87*BL141*100/$B$8</f>
        <v>0</v>
      </c>
      <c r="BM167" s="64">
        <f>BM87*BM141*100/$B$8</f>
        <v>0.30938466827088346</v>
      </c>
      <c r="BN167" s="64">
        <f>BN87*BN141*100/$B$8</f>
        <v>0</v>
      </c>
      <c r="BO167" s="64">
        <f>BO87*BO141*100/$B$8</f>
        <v>0</v>
      </c>
      <c r="BP167" s="64">
        <f>BP87*BP141*100/$B$8</f>
        <v>0</v>
      </c>
      <c r="BQ167" s="64">
        <f>BQ87*BQ141*100/$B$8</f>
        <v>0</v>
      </c>
      <c r="BR167" s="64">
        <f>BR87*BR141*100/$B$8</f>
        <v>0</v>
      </c>
      <c r="BS167" s="64">
        <f>BS87*BS141*100/$B$8</f>
        <v>0</v>
      </c>
      <c r="BT167" s="64">
        <f>BT87*BT141*100/$B$8</f>
        <v>0</v>
      </c>
      <c r="BU167" s="64">
        <f>BU87*BU141*100/$B$8</f>
        <v>0</v>
      </c>
      <c r="BV167" s="64">
        <f>BV87*BV141*100/$B$8</f>
        <v>0</v>
      </c>
      <c r="BW167" s="64">
        <f>BW87*BW141*100/$B$8</f>
        <v>0</v>
      </c>
      <c r="BX167" s="64">
        <f>BX87*BX141*100/$B$8</f>
        <v>0</v>
      </c>
      <c r="BY167" s="64">
        <f>BY87*BY141*100/$B$8</f>
        <v>0</v>
      </c>
      <c r="BZ167" s="64">
        <f>BZ87*BZ141*100/$B$8</f>
        <v>0</v>
      </c>
      <c r="CA167" s="64">
        <f>CA87*CA141*100/$B$8</f>
        <v>0</v>
      </c>
      <c r="CB167" s="64">
        <f>CB87*CB141*100/$B$8</f>
        <v>0</v>
      </c>
      <c r="CC167" s="64">
        <f>CC87*CC141*100/$B$8</f>
        <v>0</v>
      </c>
      <c r="CD167" s="64">
        <f>CD87*CD141*100/$B$8</f>
        <v>0</v>
      </c>
      <c r="CE167" s="64">
        <f>CE87*CE141*100/$B$8</f>
        <v>0</v>
      </c>
      <c r="CF167" s="64">
        <f>CF87*CF141*100/$B$8</f>
        <v>0</v>
      </c>
      <c r="CG167" s="64">
        <f>CG87*CG141*100/$B$8</f>
        <v>0</v>
      </c>
      <c r="CH167" s="64">
        <f>CH87*CH141*100/$B$8</f>
        <v>0</v>
      </c>
      <c r="CI167" s="64">
        <f>CI87*CI141*100/$B$8</f>
        <v>0</v>
      </c>
      <c r="CJ167" s="64">
        <f>CJ87*CJ141*100/$B$8</f>
        <v>0</v>
      </c>
      <c r="CK167" s="64">
        <f>CK87*CK141*100/$B$8</f>
        <v>0</v>
      </c>
      <c r="CL167" s="64">
        <f>CL87*CL141*100/$B$8</f>
        <v>0</v>
      </c>
      <c r="CM167" s="64">
        <f>CM87*CM141*100/$B$8</f>
        <v>0</v>
      </c>
      <c r="CN167" s="64">
        <f>CN87*CN141*100/$B$8</f>
        <v>0</v>
      </c>
      <c r="CO167" s="64">
        <f>CO87*CO141*100/$B$8</f>
        <v>0</v>
      </c>
      <c r="CP167" s="64">
        <f>CP87*CP141*100/$B$8</f>
        <v>0.85940185630800958</v>
      </c>
      <c r="CQ167" s="64">
        <f>CQ87*CQ141*100/$B$8</f>
        <v>0</v>
      </c>
      <c r="CR167" s="64">
        <f>CR87*CR141*100/$B$8</f>
        <v>0</v>
      </c>
      <c r="CS167" s="64">
        <f>CS87*CS141*100/$B$8</f>
        <v>0</v>
      </c>
      <c r="CT167" s="64">
        <f>CT87*CT141*100/$B$8</f>
        <v>0</v>
      </c>
      <c r="CU167" s="64">
        <f>CU87*CU141*100/$B$8</f>
        <v>0</v>
      </c>
      <c r="CV167" s="64">
        <f>CV87*CV141*100/$B$8</f>
        <v>0</v>
      </c>
      <c r="CW167" s="64">
        <f>CW87*CW141*100/$B$8</f>
        <v>0</v>
      </c>
      <c r="CX167" s="64">
        <f>CX87*CX141*100/$B$8</f>
        <v>0</v>
      </c>
      <c r="CY167" s="64">
        <f>CY87*CY141*100/$B$8</f>
        <v>0</v>
      </c>
      <c r="CZ167" s="64">
        <f>CZ87*CZ141*100/$B$8</f>
        <v>0</v>
      </c>
      <c r="DA167" s="64">
        <f>DA87*DA141*100/$B$8</f>
        <v>0</v>
      </c>
      <c r="DB167" s="64">
        <f>DB87*DB141*100/$B$8</f>
        <v>0</v>
      </c>
      <c r="DC167" s="64">
        <f>DC87*DC141*100/$B$8</f>
        <v>0</v>
      </c>
      <c r="DD167" s="64">
        <f>DD87*DD141*100/$B$8</f>
        <v>0</v>
      </c>
      <c r="DE167" s="64">
        <f>DE87*DE141*100/$B$8</f>
        <v>0</v>
      </c>
      <c r="DF167" s="64">
        <f>DF87*DF141*100/$B$8</f>
        <v>0</v>
      </c>
      <c r="DG167" s="64">
        <f>DG87*DG141*100/$B$8</f>
        <v>0</v>
      </c>
      <c r="DH167" s="64">
        <f>DH87*DH141*100/$B$8</f>
        <v>0</v>
      </c>
      <c r="DI167" s="64">
        <f>DI87*DI141*100/$B$8</f>
        <v>0</v>
      </c>
      <c r="DJ167" s="64">
        <f>DJ87*DJ141*100/$B$8</f>
        <v>0</v>
      </c>
      <c r="DK167" s="64">
        <f>DK87*DK141*100/$B$8</f>
        <v>0</v>
      </c>
      <c r="DL167" s="64">
        <f>DL87*DL141*100/$B$8</f>
        <v>0</v>
      </c>
      <c r="DM167" s="64">
        <f>DM87*DM141*100/$B$8</f>
        <v>0</v>
      </c>
      <c r="DN167" s="64">
        <f>DN87*DN141*100/$B$8</f>
        <v>0</v>
      </c>
      <c r="DO167" s="64">
        <f>DO87*DO141*100/$B$8</f>
        <v>0</v>
      </c>
      <c r="DP167" s="64">
        <f>DP87*DP141*100/$B$8</f>
        <v>0</v>
      </c>
      <c r="DQ167" s="64">
        <f>DQ87*DQ141*100/$B$8</f>
        <v>0</v>
      </c>
      <c r="DR167" s="64">
        <f>DR87*DR141*100/$B$8</f>
        <v>0</v>
      </c>
      <c r="DS167" s="64">
        <f>DS87*DS141*100/$B$8</f>
        <v>0</v>
      </c>
      <c r="DT167" s="64">
        <f>DT87*DT141*100/$B$8</f>
        <v>0</v>
      </c>
      <c r="DU167" s="64">
        <f>DU87*DU141*100/$B$8</f>
        <v>0</v>
      </c>
      <c r="DV167" s="64">
        <f>DV87*DV141*100/$B$8</f>
        <v>0</v>
      </c>
      <c r="DW167" s="64">
        <f>DW87*DW141*100/$B$8</f>
        <v>0</v>
      </c>
      <c r="DX167" s="64">
        <f>DX87*DX141*100/$B$8</f>
        <v>0</v>
      </c>
      <c r="DY167" s="64">
        <f>DY87*DY141*100/$B$8</f>
        <v>0</v>
      </c>
      <c r="DZ167" s="64">
        <f>DZ87*DZ141*100/$B$8</f>
        <v>0</v>
      </c>
      <c r="EA167" s="64">
        <f>EA87*EA141*100/$B$8</f>
        <v>0</v>
      </c>
      <c r="EB167" s="64">
        <f>EB87*EB141*100/$B$8</f>
        <v>0</v>
      </c>
      <c r="EC167" s="64">
        <f>EC87*EC141*100/$B$8</f>
        <v>0</v>
      </c>
      <c r="ED167" s="64">
        <f>ED87*ED141*100/$B$8</f>
        <v>0</v>
      </c>
      <c r="EE167" s="64">
        <f>EE87*EE141*100/$B$8</f>
        <v>0</v>
      </c>
      <c r="EF167" s="64">
        <f>EF87*EF141*100/$B$8</f>
        <v>0</v>
      </c>
      <c r="EG167" s="64">
        <f>EG87*EG141*100/$B$8</f>
        <v>0</v>
      </c>
      <c r="EH167" s="64">
        <f>EH87*EH141*100/$B$8</f>
        <v>0</v>
      </c>
      <c r="EI167" s="64">
        <f>EI87*EI141*100/$B$8</f>
        <v>0</v>
      </c>
      <c r="EJ167" s="64">
        <f>EJ87*EJ141*100/$B$8</f>
        <v>0</v>
      </c>
      <c r="EK167" s="64">
        <f>EK87*EK141*100/$B$8</f>
        <v>0</v>
      </c>
      <c r="EL167" s="64">
        <f>EL87*EL141*100/$B$8</f>
        <v>0</v>
      </c>
      <c r="EM167" s="64">
        <f>EM87*EM141*100/$B$8</f>
        <v>0</v>
      </c>
      <c r="EN167" s="64">
        <f>EN87*EN141*100/$B$8</f>
        <v>0</v>
      </c>
      <c r="EO167" s="64">
        <f>EO87*EO141*100/$B$8</f>
        <v>0</v>
      </c>
      <c r="EP167" s="64">
        <f>EP87*EP141*100/$B$8</f>
        <v>0</v>
      </c>
      <c r="EQ167" s="64">
        <f>EQ87*EQ141*100/$B$8</f>
        <v>0</v>
      </c>
      <c r="ER167" s="64">
        <f>ER87*ER141*100/$B$8</f>
        <v>0</v>
      </c>
      <c r="ES167" s="64">
        <f>ES87*ES141*100/$B$8</f>
        <v>0</v>
      </c>
    </row>
    <row r="168" spans="1:149" x14ac:dyDescent="0.3">
      <c r="A168" s="37" t="s">
        <v>24</v>
      </c>
      <c r="B168" s="64">
        <f>B88*B142*100/$B$8</f>
        <v>0</v>
      </c>
      <c r="C168" s="64">
        <f>C88*C142*100/$B$8</f>
        <v>0</v>
      </c>
      <c r="D168" s="64">
        <f>D88*D142*100/$B$8</f>
        <v>0</v>
      </c>
      <c r="E168" s="64">
        <f>E88*E142*100/$B$8</f>
        <v>0</v>
      </c>
      <c r="F168" s="64">
        <f>F88*F142*100/$B$8</f>
        <v>0</v>
      </c>
      <c r="G168" s="64">
        <f>G88*G142*100/$B$8</f>
        <v>0</v>
      </c>
      <c r="H168" s="64">
        <f>H88*H142*100/$B$8</f>
        <v>0</v>
      </c>
      <c r="I168" s="64">
        <f>I88*I142*100/$B$8</f>
        <v>0</v>
      </c>
      <c r="J168" s="64">
        <f>J88*J142*100/$B$8</f>
        <v>0</v>
      </c>
      <c r="K168" s="64">
        <f>K88*K142*100/$B$8</f>
        <v>0</v>
      </c>
      <c r="L168" s="64">
        <f>L88*L142*100/$B$8</f>
        <v>0</v>
      </c>
      <c r="M168" s="64">
        <f>M88*M142*100/$B$8</f>
        <v>0</v>
      </c>
      <c r="N168" s="64">
        <f>N88*N142*100/$B$8</f>
        <v>0</v>
      </c>
      <c r="O168" s="64">
        <f>O88*O142*100/$B$8</f>
        <v>0</v>
      </c>
      <c r="P168" s="64">
        <f>P88*P142*100/$B$8</f>
        <v>0</v>
      </c>
      <c r="Q168" s="64">
        <f>Q88*Q142*100/$B$8</f>
        <v>0</v>
      </c>
      <c r="R168" s="64">
        <f>R88*R142*100/$B$8</f>
        <v>0</v>
      </c>
      <c r="S168" s="64">
        <f>S88*S142*100/$B$8</f>
        <v>0</v>
      </c>
      <c r="T168" s="64">
        <f>T88*T142*100/$B$8</f>
        <v>0</v>
      </c>
      <c r="U168" s="64">
        <f>U88*U142*100/$B$8</f>
        <v>0</v>
      </c>
      <c r="V168" s="64">
        <f>V88*V142*100/$B$8</f>
        <v>0</v>
      </c>
      <c r="W168" s="64">
        <f>W88*W142*100/$B$8</f>
        <v>0</v>
      </c>
      <c r="X168" s="64">
        <f>X88*X142*100/$B$8</f>
        <v>0</v>
      </c>
      <c r="Y168" s="64">
        <f>Y88*Y142*100/$B$8</f>
        <v>0</v>
      </c>
      <c r="Z168" s="64">
        <f>Z88*Z142*100/$B$8</f>
        <v>0</v>
      </c>
      <c r="AA168" s="64">
        <f>AA88*AA142*100/$B$8</f>
        <v>0</v>
      </c>
      <c r="AB168" s="64">
        <f>AB88*AB142*100/$B$8</f>
        <v>0</v>
      </c>
      <c r="AC168" s="64">
        <f>AC88*AC142*100/$B$8</f>
        <v>0</v>
      </c>
      <c r="AD168" s="64">
        <f>AD88*AD142*100/$B$8</f>
        <v>0.44688896528016503</v>
      </c>
      <c r="AE168" s="64">
        <f>AE88*AE142*100/$B$8</f>
        <v>0</v>
      </c>
      <c r="AF168" s="64">
        <f>AF88*AF142*100/$B$8</f>
        <v>0</v>
      </c>
      <c r="AG168" s="64">
        <f>AG88*AG142*100/$B$8</f>
        <v>0</v>
      </c>
      <c r="AH168" s="64">
        <f>AH88*AH142*100/$B$8</f>
        <v>0</v>
      </c>
      <c r="AI168" s="64">
        <f>AI88*AI142*100/$B$8</f>
        <v>0</v>
      </c>
      <c r="AJ168" s="64">
        <f>AJ88*AJ142*100/$B$8</f>
        <v>0</v>
      </c>
      <c r="AK168" s="64">
        <f>AK88*AK142*100/$B$8</f>
        <v>0</v>
      </c>
      <c r="AL168" s="64">
        <f>AL88*AL142*100/$B$8</f>
        <v>0</v>
      </c>
      <c r="AM168" s="64">
        <f>AM88*AM142*100/$B$8</f>
        <v>0</v>
      </c>
      <c r="AN168" s="64">
        <f>AN88*AN142*100/$B$8</f>
        <v>0</v>
      </c>
      <c r="AO168" s="64">
        <f>AO88*AO142*100/$B$8</f>
        <v>0</v>
      </c>
      <c r="AP168" s="64">
        <f>AP88*AP142*100/$B$8</f>
        <v>0</v>
      </c>
      <c r="AQ168" s="64">
        <f>AQ88*AQ142*100/$B$8</f>
        <v>0</v>
      </c>
      <c r="AR168" s="64">
        <f>AR88*AR142*100/$B$8</f>
        <v>0</v>
      </c>
      <c r="AS168" s="64">
        <f>AS88*AS142*100/$B$8</f>
        <v>0.48126503953248539</v>
      </c>
      <c r="AT168" s="64">
        <f>AT88*AT142*100/$B$8</f>
        <v>0</v>
      </c>
      <c r="AU168" s="64">
        <f>AU88*AU142*100/$B$8</f>
        <v>0</v>
      </c>
      <c r="AV168" s="64">
        <f>AV88*AV142*100/$B$8</f>
        <v>0</v>
      </c>
      <c r="AW168" s="64">
        <f>AW88*AW142*100/$B$8</f>
        <v>0</v>
      </c>
      <c r="AX168" s="64">
        <f>AX88*AX142*100/$B$8</f>
        <v>0</v>
      </c>
      <c r="AY168" s="64">
        <f>AY88*AY142*100/$B$8</f>
        <v>0</v>
      </c>
      <c r="AZ168" s="64">
        <f>AZ88*AZ142*100/$B$8</f>
        <v>0</v>
      </c>
      <c r="BA168" s="64">
        <f>BA88*BA142*100/$B$8</f>
        <v>0</v>
      </c>
      <c r="BB168" s="64">
        <f>BB88*BB142*100/$B$8</f>
        <v>0</v>
      </c>
      <c r="BC168" s="64">
        <f>BC88*BC142*100/$B$8</f>
        <v>0</v>
      </c>
      <c r="BD168" s="64">
        <f>BD88*BD142*100/$B$8</f>
        <v>0</v>
      </c>
      <c r="BE168" s="64">
        <f>BE88*BE142*100/$B$8</f>
        <v>0</v>
      </c>
      <c r="BF168" s="64">
        <f>BF88*BF142*100/$B$8</f>
        <v>0</v>
      </c>
      <c r="BG168" s="64">
        <f>BG88*BG142*100/$B$8</f>
        <v>0</v>
      </c>
      <c r="BH168" s="64">
        <f>BH88*BH142*100/$B$8</f>
        <v>0</v>
      </c>
      <c r="BI168" s="64">
        <f>BI88*BI142*100/$B$8</f>
        <v>0</v>
      </c>
      <c r="BJ168" s="64">
        <f>BJ88*BJ142*100/$B$8</f>
        <v>0</v>
      </c>
      <c r="BK168" s="64">
        <f>BK88*BK142*100/$B$8</f>
        <v>0</v>
      </c>
      <c r="BL168" s="64">
        <f>BL88*BL142*100/$B$8</f>
        <v>0</v>
      </c>
      <c r="BM168" s="64">
        <f>BM88*BM142*100/$B$8</f>
        <v>0</v>
      </c>
      <c r="BN168" s="64">
        <f>BN88*BN142*100/$B$8</f>
        <v>0</v>
      </c>
      <c r="BO168" s="64">
        <f>BO88*BO142*100/$B$8</f>
        <v>0</v>
      </c>
      <c r="BP168" s="64">
        <f>BP88*BP142*100/$B$8</f>
        <v>0</v>
      </c>
      <c r="BQ168" s="64">
        <f>BQ88*BQ142*100/$B$8</f>
        <v>0</v>
      </c>
      <c r="BR168" s="64">
        <f>BR88*BR142*100/$B$8</f>
        <v>0</v>
      </c>
      <c r="BS168" s="64">
        <f>BS88*BS142*100/$B$8</f>
        <v>0</v>
      </c>
      <c r="BT168" s="64">
        <f>BT88*BT142*100/$B$8</f>
        <v>0</v>
      </c>
      <c r="BU168" s="64">
        <f>BU88*BU142*100/$B$8</f>
        <v>0</v>
      </c>
      <c r="BV168" s="64">
        <f>BV88*BV142*100/$B$8</f>
        <v>0</v>
      </c>
      <c r="BW168" s="64">
        <f>BW88*BW142*100/$B$8</f>
        <v>0</v>
      </c>
      <c r="BX168" s="64">
        <f>BX88*BX142*100/$B$8</f>
        <v>0</v>
      </c>
      <c r="BY168" s="64">
        <f>BY88*BY142*100/$B$8</f>
        <v>0</v>
      </c>
      <c r="BZ168" s="64">
        <f>BZ88*BZ142*100/$B$8</f>
        <v>0.2062564455139223</v>
      </c>
      <c r="CA168" s="64">
        <f>CA88*CA142*100/$B$8</f>
        <v>0</v>
      </c>
      <c r="CB168" s="64">
        <f>CB88*CB142*100/$B$8</f>
        <v>0</v>
      </c>
      <c r="CC168" s="64">
        <f>CC88*CC142*100/$B$8</f>
        <v>0</v>
      </c>
      <c r="CD168" s="64">
        <f>CD88*CD142*100/$B$8</f>
        <v>0</v>
      </c>
      <c r="CE168" s="64">
        <f>CE88*CE142*100/$B$8</f>
        <v>0</v>
      </c>
      <c r="CF168" s="64">
        <f>CF88*CF142*100/$B$8</f>
        <v>0</v>
      </c>
      <c r="CG168" s="64">
        <f>CG88*CG142*100/$B$8</f>
        <v>0</v>
      </c>
      <c r="CH168" s="64">
        <f>CH88*CH142*100/$B$8</f>
        <v>0.34376074252320388</v>
      </c>
      <c r="CI168" s="64">
        <f>CI88*CI142*100/$B$8</f>
        <v>0</v>
      </c>
      <c r="CJ168" s="64">
        <f>CJ88*CJ142*100/$B$8</f>
        <v>0</v>
      </c>
      <c r="CK168" s="64">
        <f>CK88*CK142*100/$B$8</f>
        <v>0</v>
      </c>
      <c r="CL168" s="64">
        <f>CL88*CL142*100/$B$8</f>
        <v>0</v>
      </c>
      <c r="CM168" s="64">
        <f>CM88*CM142*100/$B$8</f>
        <v>0</v>
      </c>
      <c r="CN168" s="64">
        <f>CN88*CN142*100/$B$8</f>
        <v>0</v>
      </c>
      <c r="CO168" s="64">
        <f>CO88*CO142*100/$B$8</f>
        <v>0</v>
      </c>
      <c r="CP168" s="64">
        <f>CP88*CP142*100/$B$8</f>
        <v>0</v>
      </c>
      <c r="CQ168" s="64">
        <f>CQ88*CQ142*100/$B$8</f>
        <v>0</v>
      </c>
      <c r="CR168" s="64">
        <f>CR88*CR142*100/$B$8</f>
        <v>0</v>
      </c>
      <c r="CS168" s="64">
        <f>CS88*CS142*100/$B$8</f>
        <v>0</v>
      </c>
      <c r="CT168" s="64">
        <f>CT88*CT142*100/$B$8</f>
        <v>0</v>
      </c>
      <c r="CU168" s="64">
        <f>CU88*CU142*100/$B$8</f>
        <v>0</v>
      </c>
      <c r="CV168" s="64">
        <f>CV88*CV142*100/$B$8</f>
        <v>0</v>
      </c>
      <c r="CW168" s="64">
        <f>CW88*CW142*100/$B$8</f>
        <v>0</v>
      </c>
      <c r="CX168" s="64">
        <f>CX88*CX142*100/$B$8</f>
        <v>0</v>
      </c>
      <c r="CY168" s="64">
        <f>CY88*CY142*100/$B$8</f>
        <v>0</v>
      </c>
      <c r="CZ168" s="64">
        <f>CZ88*CZ142*100/$B$8</f>
        <v>0</v>
      </c>
      <c r="DA168" s="64">
        <f>DA88*DA142*100/$B$8</f>
        <v>0</v>
      </c>
      <c r="DB168" s="64">
        <f>DB88*DB142*100/$B$8</f>
        <v>0</v>
      </c>
      <c r="DC168" s="64">
        <f>DC88*DC142*100/$B$8</f>
        <v>0</v>
      </c>
      <c r="DD168" s="64">
        <f>DD88*DD142*100/$B$8</f>
        <v>0</v>
      </c>
      <c r="DE168" s="64">
        <f>DE88*DE142*100/$B$8</f>
        <v>0</v>
      </c>
      <c r="DF168" s="64">
        <f>DF88*DF142*100/$B$8</f>
        <v>0</v>
      </c>
      <c r="DG168" s="64">
        <f>DG88*DG142*100/$B$8</f>
        <v>0</v>
      </c>
      <c r="DH168" s="64">
        <f>DH88*DH142*100/$B$8</f>
        <v>0</v>
      </c>
      <c r="DI168" s="64">
        <f>DI88*DI142*100/$B$8</f>
        <v>0</v>
      </c>
      <c r="DJ168" s="64">
        <f>DJ88*DJ142*100/$B$8</f>
        <v>0</v>
      </c>
      <c r="DK168" s="64">
        <f>DK88*DK142*100/$B$8</f>
        <v>0</v>
      </c>
      <c r="DL168" s="64">
        <f>DL88*DL142*100/$B$8</f>
        <v>0</v>
      </c>
      <c r="DM168" s="64">
        <f>DM88*DM142*100/$B$8</f>
        <v>0</v>
      </c>
      <c r="DN168" s="64">
        <f>DN88*DN142*100/$B$8</f>
        <v>0</v>
      </c>
      <c r="DO168" s="64">
        <f>DO88*DO142*100/$B$8</f>
        <v>0</v>
      </c>
      <c r="DP168" s="64">
        <f>DP88*DP142*100/$B$8</f>
        <v>0</v>
      </c>
      <c r="DQ168" s="64">
        <f>DQ88*DQ142*100/$B$8</f>
        <v>0</v>
      </c>
      <c r="DR168" s="64">
        <f>DR88*DR142*100/$B$8</f>
        <v>0</v>
      </c>
      <c r="DS168" s="64">
        <f>DS88*DS142*100/$B$8</f>
        <v>0</v>
      </c>
      <c r="DT168" s="64">
        <f>DT88*DT142*100/$B$8</f>
        <v>0</v>
      </c>
      <c r="DU168" s="64">
        <f>DU88*DU142*100/$B$8</f>
        <v>0</v>
      </c>
      <c r="DV168" s="64">
        <f>DV88*DV142*100/$B$8</f>
        <v>0</v>
      </c>
      <c r="DW168" s="64">
        <f>DW88*DW142*100/$B$8</f>
        <v>0</v>
      </c>
      <c r="DX168" s="64">
        <f>DX88*DX142*100/$B$8</f>
        <v>0</v>
      </c>
      <c r="DY168" s="64">
        <f>DY88*DY142*100/$B$8</f>
        <v>0</v>
      </c>
      <c r="DZ168" s="64">
        <f>DZ88*DZ142*100/$B$8</f>
        <v>0</v>
      </c>
      <c r="EA168" s="64">
        <f>EA88*EA142*100/$B$8</f>
        <v>0</v>
      </c>
      <c r="EB168" s="64">
        <f>EB88*EB142*100/$B$8</f>
        <v>0</v>
      </c>
      <c r="EC168" s="64">
        <f>EC88*EC142*100/$B$8</f>
        <v>0</v>
      </c>
      <c r="ED168" s="64">
        <f>ED88*ED142*100/$B$8</f>
        <v>0</v>
      </c>
      <c r="EE168" s="64">
        <f>EE88*EE142*100/$B$8</f>
        <v>0</v>
      </c>
      <c r="EF168" s="64">
        <f>EF88*EF142*100/$B$8</f>
        <v>0</v>
      </c>
      <c r="EG168" s="64">
        <f>EG88*EG142*100/$B$8</f>
        <v>0</v>
      </c>
      <c r="EH168" s="64">
        <f>EH88*EH142*100/$B$8</f>
        <v>0</v>
      </c>
      <c r="EI168" s="64">
        <f>EI88*EI142*100/$B$8</f>
        <v>0</v>
      </c>
      <c r="EJ168" s="64">
        <f>EJ88*EJ142*100/$B$8</f>
        <v>0</v>
      </c>
      <c r="EK168" s="64">
        <f>EK88*EK142*100/$B$8</f>
        <v>0</v>
      </c>
      <c r="EL168" s="64">
        <f>EL88*EL142*100/$B$8</f>
        <v>0.2406325197662427</v>
      </c>
      <c r="EM168" s="64">
        <f>EM88*EM142*100/$B$8</f>
        <v>0.44688896528016503</v>
      </c>
      <c r="EN168" s="64">
        <f>EN88*EN142*100/$B$8</f>
        <v>0</v>
      </c>
      <c r="EO168" s="64">
        <f>EO88*EO142*100/$B$8</f>
        <v>0</v>
      </c>
      <c r="EP168" s="64">
        <f>EP88*EP142*100/$B$8</f>
        <v>0</v>
      </c>
      <c r="EQ168" s="64">
        <f>EQ88*EQ142*100/$B$8</f>
        <v>0</v>
      </c>
      <c r="ER168" s="64">
        <f>ER88*ER142*100/$B$8</f>
        <v>0</v>
      </c>
      <c r="ES168" s="64">
        <f>ES88*ES142*100/$B$8</f>
        <v>0</v>
      </c>
    </row>
    <row r="169" spans="1:149" x14ac:dyDescent="0.3">
      <c r="A169" s="37" t="s">
        <v>21</v>
      </c>
      <c r="B169" s="64">
        <f>B89*B143*100/$B$8</f>
        <v>0</v>
      </c>
      <c r="C169" s="64">
        <f>C89*C143*100/$B$8</f>
        <v>0</v>
      </c>
      <c r="D169" s="64">
        <f>D89*D143*100/$B$8</f>
        <v>0</v>
      </c>
      <c r="E169" s="64">
        <f>E89*E143*100/$B$8</f>
        <v>0</v>
      </c>
      <c r="F169" s="64">
        <f>F89*F143*100/$B$8</f>
        <v>0</v>
      </c>
      <c r="G169" s="64">
        <f>G89*G143*100/$B$8</f>
        <v>0</v>
      </c>
      <c r="H169" s="64">
        <f>H89*H143*100/$B$8</f>
        <v>0</v>
      </c>
      <c r="I169" s="64">
        <f>I89*I143*100/$B$8</f>
        <v>0</v>
      </c>
      <c r="J169" s="64">
        <f>J89*J143*100/$B$8</f>
        <v>0</v>
      </c>
      <c r="K169" s="64">
        <f>K89*K143*100/$B$8</f>
        <v>0</v>
      </c>
      <c r="L169" s="64">
        <f>L89*L143*100/$B$8</f>
        <v>0</v>
      </c>
      <c r="M169" s="64">
        <f>M89*M143*100/$B$8</f>
        <v>0</v>
      </c>
      <c r="N169" s="64">
        <f>N89*N143*100/$B$8</f>
        <v>0</v>
      </c>
      <c r="O169" s="64">
        <f>O89*O143*100/$B$8</f>
        <v>0</v>
      </c>
      <c r="P169" s="64">
        <f>P89*P143*100/$B$8</f>
        <v>0</v>
      </c>
      <c r="Q169" s="64">
        <f>Q89*Q143*100/$B$8</f>
        <v>0</v>
      </c>
      <c r="R169" s="64">
        <f>R89*R143*100/$B$8</f>
        <v>0</v>
      </c>
      <c r="S169" s="64">
        <f>S89*S143*100/$B$8</f>
        <v>0</v>
      </c>
      <c r="T169" s="64">
        <f>T89*T143*100/$B$8</f>
        <v>0</v>
      </c>
      <c r="U169" s="64">
        <f>U89*U143*100/$B$8</f>
        <v>0</v>
      </c>
      <c r="V169" s="64">
        <f>V89*V143*100/$B$8</f>
        <v>0</v>
      </c>
      <c r="W169" s="64">
        <f>W89*W143*100/$B$8</f>
        <v>0</v>
      </c>
      <c r="X169" s="64">
        <f>X89*X143*100/$B$8</f>
        <v>0</v>
      </c>
      <c r="Y169" s="64">
        <f>Y89*Y143*100/$B$8</f>
        <v>0</v>
      </c>
      <c r="Z169" s="64">
        <f>Z89*Z143*100/$B$8</f>
        <v>0</v>
      </c>
      <c r="AA169" s="64">
        <f>AA89*AA143*100/$B$8</f>
        <v>0</v>
      </c>
      <c r="AB169" s="64">
        <f>AB89*AB143*100/$B$8</f>
        <v>0</v>
      </c>
      <c r="AC169" s="64">
        <f>AC89*AC143*100/$B$8</f>
        <v>0</v>
      </c>
      <c r="AD169" s="64">
        <f>AD89*AD143*100/$B$8</f>
        <v>0</v>
      </c>
      <c r="AE169" s="64">
        <f>AE89*AE143*100/$B$8</f>
        <v>0</v>
      </c>
      <c r="AF169" s="64">
        <f>AF89*AF143*100/$B$8</f>
        <v>0</v>
      </c>
      <c r="AG169" s="64">
        <f>AG89*AG143*100/$B$8</f>
        <v>0</v>
      </c>
      <c r="AH169" s="64">
        <f>AH89*AH143*100/$B$8</f>
        <v>0</v>
      </c>
      <c r="AI169" s="64">
        <f>AI89*AI143*100/$B$8</f>
        <v>0.58439326228944655</v>
      </c>
      <c r="AJ169" s="64">
        <f>AJ89*AJ143*100/$B$8</f>
        <v>2.6469577174286698</v>
      </c>
      <c r="AK169" s="64">
        <f>AK89*AK143*100/$B$8</f>
        <v>0.37813681677552424</v>
      </c>
      <c r="AL169" s="64">
        <f>AL89*AL143*100/$B$8</f>
        <v>0</v>
      </c>
      <c r="AM169" s="64">
        <f>AM89*AM143*100/$B$8</f>
        <v>0</v>
      </c>
      <c r="AN169" s="64">
        <f>AN89*AN143*100/$B$8</f>
        <v>0</v>
      </c>
      <c r="AO169" s="64">
        <f>AO89*AO143*100/$B$8</f>
        <v>0</v>
      </c>
      <c r="AP169" s="64">
        <f>AP89*AP143*100/$B$8</f>
        <v>0</v>
      </c>
      <c r="AQ169" s="64">
        <f>AQ89*AQ143*100/$B$8</f>
        <v>0</v>
      </c>
      <c r="AR169" s="64">
        <f>AR89*AR143*100/$B$8</f>
        <v>0</v>
      </c>
      <c r="AS169" s="64">
        <f>AS89*AS143*100/$B$8</f>
        <v>0</v>
      </c>
      <c r="AT169" s="64">
        <f>AT89*AT143*100/$B$8</f>
        <v>0.17188037126160194</v>
      </c>
      <c r="AU169" s="64">
        <f>AU89*AU143*100/$B$8</f>
        <v>0</v>
      </c>
      <c r="AV169" s="64">
        <f>AV89*AV143*100/$B$8</f>
        <v>0</v>
      </c>
      <c r="AW169" s="64">
        <f>AW89*AW143*100/$B$8</f>
        <v>0</v>
      </c>
      <c r="AX169" s="64">
        <f>AX89*AX143*100/$B$8</f>
        <v>0</v>
      </c>
      <c r="AY169" s="64">
        <f>AY89*AY143*100/$B$8</f>
        <v>0</v>
      </c>
      <c r="AZ169" s="64">
        <f>AZ89*AZ143*100/$B$8</f>
        <v>0</v>
      </c>
      <c r="BA169" s="64">
        <f>BA89*BA143*100/$B$8</f>
        <v>0</v>
      </c>
      <c r="BB169" s="64">
        <f>BB89*BB143*100/$B$8</f>
        <v>0</v>
      </c>
      <c r="BC169" s="64">
        <f>BC89*BC143*100/$B$8</f>
        <v>0</v>
      </c>
      <c r="BD169" s="64">
        <f>BD89*BD143*100/$B$8</f>
        <v>0</v>
      </c>
      <c r="BE169" s="64">
        <f>BE89*BE143*100/$B$8</f>
        <v>0</v>
      </c>
      <c r="BF169" s="64">
        <f>BF89*BF143*100/$B$8</f>
        <v>0</v>
      </c>
      <c r="BG169" s="64">
        <f>BG89*BG143*100/$B$8</f>
        <v>0</v>
      </c>
      <c r="BH169" s="64">
        <f>BH89*BH143*100/$B$8</f>
        <v>0</v>
      </c>
      <c r="BI169" s="64">
        <f>BI89*BI143*100/$B$8</f>
        <v>0</v>
      </c>
      <c r="BJ169" s="64">
        <f>BJ89*BJ143*100/$B$8</f>
        <v>0</v>
      </c>
      <c r="BK169" s="64">
        <f>BK89*BK143*100/$B$8</f>
        <v>0</v>
      </c>
      <c r="BL169" s="64">
        <f>BL89*BL143*100/$B$8</f>
        <v>0</v>
      </c>
      <c r="BM169" s="64">
        <f>BM89*BM143*100/$B$8</f>
        <v>0</v>
      </c>
      <c r="BN169" s="64">
        <f>BN89*BN143*100/$B$8</f>
        <v>0</v>
      </c>
      <c r="BO169" s="64">
        <f>BO89*BO143*100/$B$8</f>
        <v>0</v>
      </c>
      <c r="BP169" s="64">
        <f>BP89*BP143*100/$B$8</f>
        <v>0</v>
      </c>
      <c r="BQ169" s="64">
        <f>BQ89*BQ143*100/$B$8</f>
        <v>0</v>
      </c>
      <c r="BR169" s="64">
        <f>BR89*BR143*100/$B$8</f>
        <v>0</v>
      </c>
      <c r="BS169" s="64">
        <f>BS89*BS143*100/$B$8</f>
        <v>0</v>
      </c>
      <c r="BT169" s="64">
        <f>BT89*BT143*100/$B$8</f>
        <v>0</v>
      </c>
      <c r="BU169" s="64">
        <f>BU89*BU143*100/$B$8</f>
        <v>0</v>
      </c>
      <c r="BV169" s="64">
        <f>BV89*BV143*100/$B$8</f>
        <v>0</v>
      </c>
      <c r="BW169" s="64">
        <f>BW89*BW143*100/$B$8</f>
        <v>0</v>
      </c>
      <c r="BX169" s="64">
        <f>BX89*BX143*100/$B$8</f>
        <v>0</v>
      </c>
      <c r="BY169" s="64">
        <f>BY89*BY143*100/$B$8</f>
        <v>0</v>
      </c>
      <c r="BZ169" s="64">
        <f>BZ89*BZ143*100/$B$8</f>
        <v>0</v>
      </c>
      <c r="CA169" s="64">
        <f>CA89*CA143*100/$B$8</f>
        <v>0</v>
      </c>
      <c r="CB169" s="64">
        <f>CB89*CB143*100/$B$8</f>
        <v>0</v>
      </c>
      <c r="CC169" s="64">
        <f>CC89*CC143*100/$B$8</f>
        <v>0</v>
      </c>
      <c r="CD169" s="64">
        <f>CD89*CD143*100/$B$8</f>
        <v>0</v>
      </c>
      <c r="CE169" s="64">
        <f>CE89*CE143*100/$B$8</f>
        <v>0</v>
      </c>
      <c r="CF169" s="64">
        <f>CF89*CF143*100/$B$8</f>
        <v>0</v>
      </c>
      <c r="CG169" s="64">
        <f>CG89*CG143*100/$B$8</f>
        <v>0</v>
      </c>
      <c r="CH169" s="64">
        <f>CH89*CH143*100/$B$8</f>
        <v>0</v>
      </c>
      <c r="CI169" s="64">
        <f>CI89*CI143*100/$B$8</f>
        <v>0</v>
      </c>
      <c r="CJ169" s="64">
        <f>CJ89*CJ143*100/$B$8</f>
        <v>0.55001718803712618</v>
      </c>
      <c r="CK169" s="64">
        <f>CK89*CK143*100/$B$8</f>
        <v>0</v>
      </c>
      <c r="CL169" s="64">
        <f>CL89*CL143*100/$B$8</f>
        <v>0</v>
      </c>
      <c r="CM169" s="64">
        <f>CM89*CM143*100/$B$8</f>
        <v>0</v>
      </c>
      <c r="CN169" s="64">
        <f>CN89*CN143*100/$B$8</f>
        <v>0</v>
      </c>
      <c r="CO169" s="64">
        <f>CO89*CO143*100/$B$8</f>
        <v>0.65314541079408728</v>
      </c>
      <c r="CP169" s="64">
        <f>CP89*CP143*100/$B$8</f>
        <v>0</v>
      </c>
      <c r="CQ169" s="64">
        <f>CQ89*CQ143*100/$B$8</f>
        <v>0</v>
      </c>
      <c r="CR169" s="64">
        <f>CR89*CR143*100/$B$8</f>
        <v>0</v>
      </c>
      <c r="CS169" s="64">
        <f>CS89*CS143*100/$B$8</f>
        <v>0</v>
      </c>
      <c r="CT169" s="64">
        <f>CT89*CT143*100/$B$8</f>
        <v>0</v>
      </c>
      <c r="CU169" s="64">
        <f>CU89*CU143*100/$B$8</f>
        <v>0</v>
      </c>
      <c r="CV169" s="64">
        <f>CV89*CV143*100/$B$8</f>
        <v>0</v>
      </c>
      <c r="CW169" s="64">
        <f>CW89*CW143*100/$B$8</f>
        <v>0</v>
      </c>
      <c r="CX169" s="64">
        <f>CX89*CX143*100/$B$8</f>
        <v>0</v>
      </c>
      <c r="CY169" s="64">
        <f>CY89*CY143*100/$B$8</f>
        <v>0</v>
      </c>
      <c r="CZ169" s="64">
        <f>CZ89*CZ143*100/$B$8</f>
        <v>0</v>
      </c>
      <c r="DA169" s="64">
        <f>DA89*DA143*100/$B$8</f>
        <v>0.2406325197662427</v>
      </c>
      <c r="DB169" s="64">
        <f>DB89*DB143*100/$B$8</f>
        <v>0</v>
      </c>
      <c r="DC169" s="64">
        <f>DC89*DC143*100/$B$8</f>
        <v>2.3031969749054659</v>
      </c>
      <c r="DD169" s="64">
        <f>DD89*DD143*100/$B$8</f>
        <v>0</v>
      </c>
      <c r="DE169" s="64">
        <f>DE89*DE143*100/$B$8</f>
        <v>0</v>
      </c>
      <c r="DF169" s="64">
        <f>DF89*DF143*100/$B$8</f>
        <v>0</v>
      </c>
      <c r="DG169" s="64">
        <f>DG89*DG143*100/$B$8</f>
        <v>0</v>
      </c>
      <c r="DH169" s="64">
        <f>DH89*DH143*100/$B$8</f>
        <v>0</v>
      </c>
      <c r="DI169" s="64">
        <f>DI89*DI143*100/$B$8</f>
        <v>0</v>
      </c>
      <c r="DJ169" s="64">
        <f>DJ89*DJ143*100/$B$8</f>
        <v>0</v>
      </c>
      <c r="DK169" s="64">
        <f>DK89*DK143*100/$B$8</f>
        <v>0</v>
      </c>
      <c r="DL169" s="64">
        <f>DL89*DL143*100/$B$8</f>
        <v>0</v>
      </c>
      <c r="DM169" s="64">
        <f>DM89*DM143*100/$B$8</f>
        <v>0</v>
      </c>
      <c r="DN169" s="64">
        <f>DN89*DN143*100/$B$8</f>
        <v>0</v>
      </c>
      <c r="DO169" s="64">
        <f>DO89*DO143*100/$B$8</f>
        <v>0</v>
      </c>
      <c r="DP169" s="64">
        <f>DP89*DP143*100/$B$8</f>
        <v>0</v>
      </c>
      <c r="DQ169" s="64">
        <f>DQ89*DQ143*100/$B$8</f>
        <v>0</v>
      </c>
      <c r="DR169" s="64">
        <f>DR89*DR143*100/$B$8</f>
        <v>0</v>
      </c>
      <c r="DS169" s="64">
        <f>DS89*DS143*100/$B$8</f>
        <v>0</v>
      </c>
      <c r="DT169" s="64">
        <f>DT89*DT143*100/$B$8</f>
        <v>0</v>
      </c>
      <c r="DU169" s="64">
        <f>DU89*DU143*100/$B$8</f>
        <v>3.4376074252320386E-2</v>
      </c>
      <c r="DV169" s="64">
        <f>DV89*DV143*100/$B$8</f>
        <v>0</v>
      </c>
      <c r="DW169" s="64">
        <f>DW89*DW143*100/$B$8</f>
        <v>0</v>
      </c>
      <c r="DX169" s="64">
        <f>DX89*DX143*100/$B$8</f>
        <v>0</v>
      </c>
      <c r="DY169" s="64">
        <f>DY89*DY143*100/$B$8</f>
        <v>0</v>
      </c>
      <c r="DZ169" s="64">
        <f>DZ89*DZ143*100/$B$8</f>
        <v>0</v>
      </c>
      <c r="EA169" s="64">
        <f>EA89*EA143*100/$B$8</f>
        <v>0.65314541079408728</v>
      </c>
      <c r="EB169" s="64">
        <f>EB89*EB143*100/$B$8</f>
        <v>0</v>
      </c>
      <c r="EC169" s="64">
        <f>EC89*EC143*100/$B$8</f>
        <v>0</v>
      </c>
      <c r="ED169" s="64">
        <f>ED89*ED143*100/$B$8</f>
        <v>0</v>
      </c>
      <c r="EE169" s="64">
        <f>EE89*EE143*100/$B$8</f>
        <v>0</v>
      </c>
      <c r="EF169" s="64">
        <f>EF89*EF143*100/$B$8</f>
        <v>0</v>
      </c>
      <c r="EG169" s="64">
        <f>EG89*EG143*100/$B$8</f>
        <v>0</v>
      </c>
      <c r="EH169" s="64">
        <f>EH89*EH143*100/$B$8</f>
        <v>0</v>
      </c>
      <c r="EI169" s="64">
        <f>EI89*EI143*100/$B$8</f>
        <v>0</v>
      </c>
      <c r="EJ169" s="64">
        <f>EJ89*EJ143*100/$B$8</f>
        <v>0</v>
      </c>
      <c r="EK169" s="64">
        <f>EK89*EK143*100/$B$8</f>
        <v>0.30938466827088346</v>
      </c>
      <c r="EL169" s="64">
        <f>EL89*EL143*100/$B$8</f>
        <v>0</v>
      </c>
      <c r="EM169" s="64">
        <f>EM89*EM143*100/$B$8</f>
        <v>0</v>
      </c>
      <c r="EN169" s="64">
        <f>EN89*EN143*100/$B$8</f>
        <v>0</v>
      </c>
      <c r="EO169" s="64">
        <f>EO89*EO143*100/$B$8</f>
        <v>0</v>
      </c>
      <c r="EP169" s="64">
        <f>EP89*EP143*100/$B$8</f>
        <v>0</v>
      </c>
      <c r="EQ169" s="64">
        <f>EQ89*EQ143*100/$B$8</f>
        <v>0.61876933654176691</v>
      </c>
      <c r="ER169" s="64">
        <f>ER89*ER143*100/$B$8</f>
        <v>0</v>
      </c>
      <c r="ES169" s="64">
        <f>ES89*ES143*100/$B$8</f>
        <v>0</v>
      </c>
    </row>
    <row r="170" spans="1:149" x14ac:dyDescent="0.3">
      <c r="A170" s="37" t="s">
        <v>5</v>
      </c>
      <c r="B170" s="64">
        <f>B90*B144*100/$B$8</f>
        <v>0</v>
      </c>
      <c r="C170" s="64">
        <f>C90*C144*100/$B$8</f>
        <v>0</v>
      </c>
      <c r="D170" s="64">
        <f>D90*D144*100/$B$8</f>
        <v>0</v>
      </c>
      <c r="E170" s="64">
        <f>E90*E144*100/$B$8</f>
        <v>0</v>
      </c>
      <c r="F170" s="64">
        <f>F90*F144*100/$B$8</f>
        <v>0</v>
      </c>
      <c r="G170" s="64">
        <f>G90*G144*100/$B$8</f>
        <v>0</v>
      </c>
      <c r="H170" s="64">
        <f>H90*H144*100/$B$8</f>
        <v>0</v>
      </c>
      <c r="I170" s="64">
        <f>I90*I144*100/$B$8</f>
        <v>0</v>
      </c>
      <c r="J170" s="64">
        <f>J90*J144*100/$B$8</f>
        <v>0</v>
      </c>
      <c r="K170" s="64">
        <f>K90*K144*100/$B$8</f>
        <v>0</v>
      </c>
      <c r="L170" s="64">
        <f>L90*L144*100/$B$8</f>
        <v>0.37813681677552424</v>
      </c>
      <c r="M170" s="64">
        <f>M90*M144*100/$B$8</f>
        <v>0</v>
      </c>
      <c r="N170" s="64">
        <f>N90*N144*100/$B$8</f>
        <v>0</v>
      </c>
      <c r="O170" s="64">
        <f>O90*O144*100/$B$8</f>
        <v>0</v>
      </c>
      <c r="P170" s="64">
        <f>P90*P144*100/$B$8</f>
        <v>0</v>
      </c>
      <c r="Q170" s="64">
        <f>Q90*Q144*100/$B$8</f>
        <v>0</v>
      </c>
      <c r="R170" s="64">
        <f>R90*R144*100/$B$8</f>
        <v>0</v>
      </c>
      <c r="S170" s="64">
        <f>S90*S144*100/$B$8</f>
        <v>0</v>
      </c>
      <c r="T170" s="64">
        <f>T90*T144*100/$B$8</f>
        <v>0</v>
      </c>
      <c r="U170" s="64">
        <f>U90*U144*100/$B$8</f>
        <v>0</v>
      </c>
      <c r="V170" s="64">
        <f>V90*V144*100/$B$8</f>
        <v>0</v>
      </c>
      <c r="W170" s="64">
        <f>W90*W144*100/$B$8</f>
        <v>0</v>
      </c>
      <c r="X170" s="64">
        <f>X90*X144*100/$B$8</f>
        <v>0</v>
      </c>
      <c r="Y170" s="64">
        <f>Y90*Y144*100/$B$8</f>
        <v>0</v>
      </c>
      <c r="Z170" s="64">
        <f>Z90*Z144*100/$B$8</f>
        <v>0.27500859401856309</v>
      </c>
      <c r="AA170" s="64">
        <f>AA90*AA144*100/$B$8</f>
        <v>0</v>
      </c>
      <c r="AB170" s="64">
        <f>AB90*AB144*100/$B$8</f>
        <v>0</v>
      </c>
      <c r="AC170" s="64">
        <f>AC90*AC144*100/$B$8</f>
        <v>0</v>
      </c>
      <c r="AD170" s="64">
        <f>AD90*AD144*100/$B$8</f>
        <v>0</v>
      </c>
      <c r="AE170" s="64">
        <f>AE90*AE144*100/$B$8</f>
        <v>0</v>
      </c>
      <c r="AF170" s="64">
        <f>AF90*AF144*100/$B$8</f>
        <v>0</v>
      </c>
      <c r="AG170" s="64">
        <f>AG90*AG144*100/$B$8</f>
        <v>0</v>
      </c>
      <c r="AH170" s="64">
        <f>AH90*AH144*100/$B$8</f>
        <v>0</v>
      </c>
      <c r="AI170" s="64">
        <f>AI90*AI144*100/$B$8</f>
        <v>0</v>
      </c>
      <c r="AJ170" s="64">
        <f>AJ90*AJ144*100/$B$8</f>
        <v>0</v>
      </c>
      <c r="AK170" s="64">
        <f>AK90*AK144*100/$B$8</f>
        <v>0</v>
      </c>
      <c r="AL170" s="64">
        <f>AL90*AL144*100/$B$8</f>
        <v>0.41251289102784461</v>
      </c>
      <c r="AM170" s="64">
        <f>AM90*AM144*100/$B$8</f>
        <v>0</v>
      </c>
      <c r="AN170" s="64">
        <f>AN90*AN144*100/$B$8</f>
        <v>0</v>
      </c>
      <c r="AO170" s="64">
        <f>AO90*AO144*100/$B$8</f>
        <v>0</v>
      </c>
      <c r="AP170" s="64">
        <f>AP90*AP144*100/$B$8</f>
        <v>0</v>
      </c>
      <c r="AQ170" s="64">
        <f>AQ90*AQ144*100/$B$8</f>
        <v>0</v>
      </c>
      <c r="AR170" s="64">
        <f>AR90*AR144*100/$B$8</f>
        <v>0</v>
      </c>
      <c r="AS170" s="64">
        <f>AS90*AS144*100/$B$8</f>
        <v>0</v>
      </c>
      <c r="AT170" s="64">
        <f>AT90*AT144*100/$B$8</f>
        <v>0</v>
      </c>
      <c r="AU170" s="64">
        <f>AU90*AU144*100/$B$8</f>
        <v>0</v>
      </c>
      <c r="AV170" s="64">
        <f>AV90*AV144*100/$B$8</f>
        <v>0</v>
      </c>
      <c r="AW170" s="64">
        <f>AW90*AW144*100/$B$8</f>
        <v>0</v>
      </c>
      <c r="AX170" s="64">
        <f>AX90*AX144*100/$B$8</f>
        <v>0</v>
      </c>
      <c r="AY170" s="64">
        <f>AY90*AY144*100/$B$8</f>
        <v>0</v>
      </c>
      <c r="AZ170" s="64">
        <f>AZ90*AZ144*100/$B$8</f>
        <v>0</v>
      </c>
      <c r="BA170" s="64">
        <f>BA90*BA144*100/$B$8</f>
        <v>0</v>
      </c>
      <c r="BB170" s="64">
        <f>BB90*BB144*100/$B$8</f>
        <v>0</v>
      </c>
      <c r="BC170" s="64">
        <f>BC90*BC144*100/$B$8</f>
        <v>0</v>
      </c>
      <c r="BD170" s="64">
        <f>BD90*BD144*100/$B$8</f>
        <v>0</v>
      </c>
      <c r="BE170" s="64">
        <f>BE90*BE144*100/$B$8</f>
        <v>0</v>
      </c>
      <c r="BF170" s="64">
        <f>BF90*BF144*100/$B$8</f>
        <v>0</v>
      </c>
      <c r="BG170" s="64">
        <f>BG90*BG144*100/$B$8</f>
        <v>0</v>
      </c>
      <c r="BH170" s="64">
        <f>BH90*BH144*100/$B$8</f>
        <v>0</v>
      </c>
      <c r="BI170" s="64">
        <f>BI90*BI144*100/$B$8</f>
        <v>0</v>
      </c>
      <c r="BJ170" s="64">
        <f>BJ90*BJ144*100/$B$8</f>
        <v>0</v>
      </c>
      <c r="BK170" s="64">
        <f>BK90*BK144*100/$B$8</f>
        <v>0</v>
      </c>
      <c r="BL170" s="64">
        <f>BL90*BL144*100/$B$8</f>
        <v>0</v>
      </c>
      <c r="BM170" s="64">
        <f>BM90*BM144*100/$B$8</f>
        <v>0</v>
      </c>
      <c r="BN170" s="64">
        <f>BN90*BN144*100/$B$8</f>
        <v>0</v>
      </c>
      <c r="BO170" s="64">
        <f>BO90*BO144*100/$B$8</f>
        <v>0</v>
      </c>
      <c r="BP170" s="64">
        <f>BP90*BP144*100/$B$8</f>
        <v>0</v>
      </c>
      <c r="BQ170" s="64">
        <f>BQ90*BQ144*100/$B$8</f>
        <v>0</v>
      </c>
      <c r="BR170" s="64">
        <f>BR90*BR144*100/$B$8</f>
        <v>0</v>
      </c>
      <c r="BS170" s="64">
        <f>BS90*BS144*100/$B$8</f>
        <v>0</v>
      </c>
      <c r="BT170" s="64">
        <f>BT90*BT144*100/$B$8</f>
        <v>0</v>
      </c>
      <c r="BU170" s="64">
        <f>BU90*BU144*100/$B$8</f>
        <v>0</v>
      </c>
      <c r="BV170" s="64">
        <f>BV90*BV144*100/$B$8</f>
        <v>0</v>
      </c>
      <c r="BW170" s="64">
        <f>BW90*BW144*100/$B$8</f>
        <v>0</v>
      </c>
      <c r="BX170" s="64">
        <f>BX90*BX144*100/$B$8</f>
        <v>0</v>
      </c>
      <c r="BY170" s="64">
        <f>BY90*BY144*100/$B$8</f>
        <v>0</v>
      </c>
      <c r="BZ170" s="64">
        <f>BZ90*BZ144*100/$B$8</f>
        <v>0</v>
      </c>
      <c r="CA170" s="64">
        <f>CA90*CA144*100/$B$8</f>
        <v>0</v>
      </c>
      <c r="CB170" s="64">
        <f>CB90*CB144*100/$B$8</f>
        <v>0</v>
      </c>
      <c r="CC170" s="64">
        <f>CC90*CC144*100/$B$8</f>
        <v>0</v>
      </c>
      <c r="CD170" s="64">
        <f>CD90*CD144*100/$B$8</f>
        <v>0</v>
      </c>
      <c r="CE170" s="64">
        <f>CE90*CE144*100/$B$8</f>
        <v>0</v>
      </c>
      <c r="CF170" s="64">
        <f>CF90*CF144*100/$B$8</f>
        <v>0.61876933654176691</v>
      </c>
      <c r="CG170" s="64">
        <f>CG90*CG144*100/$B$8</f>
        <v>0</v>
      </c>
      <c r="CH170" s="64">
        <f>CH90*CH144*100/$B$8</f>
        <v>0</v>
      </c>
      <c r="CI170" s="64">
        <f>CI90*CI144*100/$B$8</f>
        <v>0</v>
      </c>
      <c r="CJ170" s="64">
        <f>CJ90*CJ144*100/$B$8</f>
        <v>0</v>
      </c>
      <c r="CK170" s="64">
        <f>CK90*CK144*100/$B$8</f>
        <v>0</v>
      </c>
      <c r="CL170" s="64">
        <f>CL90*CL144*100/$B$8</f>
        <v>0</v>
      </c>
      <c r="CM170" s="64">
        <f>CM90*CM144*100/$B$8</f>
        <v>0</v>
      </c>
      <c r="CN170" s="64">
        <f>CN90*CN144*100/$B$8</f>
        <v>0</v>
      </c>
      <c r="CO170" s="64">
        <f>CO90*CO144*100/$B$8</f>
        <v>0</v>
      </c>
      <c r="CP170" s="64">
        <f>CP90*CP144*100/$B$8</f>
        <v>0</v>
      </c>
      <c r="CQ170" s="64">
        <f>CQ90*CQ144*100/$B$8</f>
        <v>0</v>
      </c>
      <c r="CR170" s="64">
        <f>CR90*CR144*100/$B$8</f>
        <v>0</v>
      </c>
      <c r="CS170" s="64">
        <f>CS90*CS144*100/$B$8</f>
        <v>0</v>
      </c>
      <c r="CT170" s="64">
        <f>CT90*CT144*100/$B$8</f>
        <v>0.41251289102784461</v>
      </c>
      <c r="CU170" s="64">
        <f>CU90*CU144*100/$B$8</f>
        <v>0</v>
      </c>
      <c r="CV170" s="64">
        <f>CV90*CV144*100/$B$8</f>
        <v>0</v>
      </c>
      <c r="CW170" s="64">
        <f>CW90*CW144*100/$B$8</f>
        <v>0</v>
      </c>
      <c r="CX170" s="64">
        <f>CX90*CX144*100/$B$8</f>
        <v>0</v>
      </c>
      <c r="CY170" s="64">
        <f>CY90*CY144*100/$B$8</f>
        <v>0</v>
      </c>
      <c r="CZ170" s="64">
        <f>CZ90*CZ144*100/$B$8</f>
        <v>0</v>
      </c>
      <c r="DA170" s="64">
        <f>DA90*DA144*100/$B$8</f>
        <v>0</v>
      </c>
      <c r="DB170" s="64">
        <f>DB90*DB144*100/$B$8</f>
        <v>0</v>
      </c>
      <c r="DC170" s="64">
        <f>DC90*DC144*100/$B$8</f>
        <v>0</v>
      </c>
      <c r="DD170" s="64">
        <f>DD90*DD144*100/$B$8</f>
        <v>0</v>
      </c>
      <c r="DE170" s="64">
        <f>DE90*DE144*100/$B$8</f>
        <v>0</v>
      </c>
      <c r="DF170" s="64">
        <f>DF90*DF144*100/$B$8</f>
        <v>0</v>
      </c>
      <c r="DG170" s="64">
        <f>DG90*DG144*100/$B$8</f>
        <v>0</v>
      </c>
      <c r="DH170" s="64">
        <f>DH90*DH144*100/$B$8</f>
        <v>0</v>
      </c>
      <c r="DI170" s="64">
        <f>DI90*DI144*100/$B$8</f>
        <v>0</v>
      </c>
      <c r="DJ170" s="64">
        <f>DJ90*DJ144*100/$B$8</f>
        <v>0</v>
      </c>
      <c r="DK170" s="64">
        <f>DK90*DK144*100/$B$8</f>
        <v>0</v>
      </c>
      <c r="DL170" s="64">
        <f>DL90*DL144*100/$B$8</f>
        <v>0</v>
      </c>
      <c r="DM170" s="64">
        <f>DM90*DM144*100/$B$8</f>
        <v>0</v>
      </c>
      <c r="DN170" s="64">
        <f>DN90*DN144*100/$B$8</f>
        <v>0</v>
      </c>
      <c r="DO170" s="64">
        <f>DO90*DO144*100/$B$8</f>
        <v>0</v>
      </c>
      <c r="DP170" s="64">
        <f>DP90*DP144*100/$B$8</f>
        <v>0</v>
      </c>
      <c r="DQ170" s="64">
        <f>DQ90*DQ144*100/$B$8</f>
        <v>0</v>
      </c>
      <c r="DR170" s="64">
        <f>DR90*DR144*100/$B$8</f>
        <v>0</v>
      </c>
      <c r="DS170" s="64">
        <f>DS90*DS144*100/$B$8</f>
        <v>0</v>
      </c>
      <c r="DT170" s="64">
        <f>DT90*DT144*100/$B$8</f>
        <v>0</v>
      </c>
      <c r="DU170" s="64">
        <f>DU90*DU144*100/$B$8</f>
        <v>0</v>
      </c>
      <c r="DV170" s="64">
        <f>DV90*DV144*100/$B$8</f>
        <v>0</v>
      </c>
      <c r="DW170" s="64">
        <f>DW90*DW144*100/$B$8</f>
        <v>0</v>
      </c>
      <c r="DX170" s="64">
        <f>DX90*DX144*100/$B$8</f>
        <v>0</v>
      </c>
      <c r="DY170" s="64">
        <f>DY90*DY144*100/$B$8</f>
        <v>0</v>
      </c>
      <c r="DZ170" s="64">
        <f>DZ90*DZ144*100/$B$8</f>
        <v>0</v>
      </c>
      <c r="EA170" s="64">
        <f>EA90*EA144*100/$B$8</f>
        <v>0</v>
      </c>
      <c r="EB170" s="64">
        <f>EB90*EB144*100/$B$8</f>
        <v>0</v>
      </c>
      <c r="EC170" s="64">
        <f>EC90*EC144*100/$B$8</f>
        <v>0</v>
      </c>
      <c r="ED170" s="64">
        <f>ED90*ED144*100/$B$8</f>
        <v>0</v>
      </c>
      <c r="EE170" s="64">
        <f>EE90*EE144*100/$B$8</f>
        <v>0</v>
      </c>
      <c r="EF170" s="64">
        <f>EF90*EF144*100/$B$8</f>
        <v>0</v>
      </c>
      <c r="EG170" s="64">
        <f>EG90*EG144*100/$B$8</f>
        <v>0</v>
      </c>
      <c r="EH170" s="64">
        <f>EH90*EH144*100/$B$8</f>
        <v>0</v>
      </c>
      <c r="EI170" s="64">
        <f>EI90*EI144*100/$B$8</f>
        <v>0</v>
      </c>
      <c r="EJ170" s="64">
        <f>EJ90*EJ144*100/$B$8</f>
        <v>0</v>
      </c>
      <c r="EK170" s="64">
        <f>EK90*EK144*100/$B$8</f>
        <v>0</v>
      </c>
      <c r="EL170" s="64">
        <f>EL90*EL144*100/$B$8</f>
        <v>0</v>
      </c>
      <c r="EM170" s="64">
        <f>EM90*EM144*100/$B$8</f>
        <v>0</v>
      </c>
      <c r="EN170" s="64">
        <f>EN90*EN144*100/$B$8</f>
        <v>0</v>
      </c>
      <c r="EO170" s="64">
        <f>EO90*EO144*100/$B$8</f>
        <v>0</v>
      </c>
      <c r="EP170" s="64">
        <f>EP90*EP144*100/$B$8</f>
        <v>0</v>
      </c>
      <c r="EQ170" s="64">
        <f>EQ90*EQ144*100/$B$8</f>
        <v>0</v>
      </c>
      <c r="ER170" s="64">
        <f>ER90*ER144*100/$B$8</f>
        <v>0</v>
      </c>
      <c r="ES170" s="64">
        <f>ES90*ES144*100/$B$8</f>
        <v>0</v>
      </c>
    </row>
    <row r="171" spans="1:149" x14ac:dyDescent="0.3">
      <c r="A171" s="37" t="s">
        <v>16</v>
      </c>
      <c r="B171" s="64">
        <f>B91*B145*100/$B$8</f>
        <v>0</v>
      </c>
      <c r="C171" s="64">
        <f>C91*C145*100/$B$8</f>
        <v>0</v>
      </c>
      <c r="D171" s="64">
        <f>D91*D145*100/$B$8</f>
        <v>0</v>
      </c>
      <c r="E171" s="64">
        <f>E91*E145*100/$B$8</f>
        <v>0</v>
      </c>
      <c r="F171" s="64">
        <f>F91*F145*100/$B$8</f>
        <v>0</v>
      </c>
      <c r="G171" s="64">
        <f>G91*G145*100/$B$8</f>
        <v>0</v>
      </c>
      <c r="H171" s="64">
        <f>H91*H145*100/$B$8</f>
        <v>0</v>
      </c>
      <c r="I171" s="64">
        <f>I91*I145*100/$B$8</f>
        <v>0</v>
      </c>
      <c r="J171" s="64">
        <f>J91*J145*100/$B$8</f>
        <v>0</v>
      </c>
      <c r="K171" s="64">
        <f>K91*K145*100/$B$8</f>
        <v>0</v>
      </c>
      <c r="L171" s="64">
        <f>L91*L145*100/$B$8</f>
        <v>0</v>
      </c>
      <c r="M171" s="64">
        <f>M91*M145*100/$B$8</f>
        <v>0</v>
      </c>
      <c r="N171" s="64">
        <f>N91*N145*100/$B$8</f>
        <v>0</v>
      </c>
      <c r="O171" s="64">
        <f>O91*O145*100/$B$8</f>
        <v>0</v>
      </c>
      <c r="P171" s="64">
        <f>P91*P145*100/$B$8</f>
        <v>0</v>
      </c>
      <c r="Q171" s="64">
        <f>Q91*Q145*100/$B$8</f>
        <v>0</v>
      </c>
      <c r="R171" s="64">
        <f>R91*R145*100/$B$8</f>
        <v>0</v>
      </c>
      <c r="S171" s="64">
        <f>S91*S145*100/$B$8</f>
        <v>0</v>
      </c>
      <c r="T171" s="64">
        <f>T91*T145*100/$B$8</f>
        <v>0</v>
      </c>
      <c r="U171" s="64">
        <f>U91*U145*100/$B$8</f>
        <v>0</v>
      </c>
      <c r="V171" s="64">
        <f>V91*V145*100/$B$8</f>
        <v>0</v>
      </c>
      <c r="W171" s="64">
        <f>W91*W145*100/$B$8</f>
        <v>0</v>
      </c>
      <c r="X171" s="64">
        <f>X91*X145*100/$B$8</f>
        <v>0</v>
      </c>
      <c r="Y171" s="64">
        <f>Y91*Y145*100/$B$8</f>
        <v>0</v>
      </c>
      <c r="Z171" s="64">
        <f>Z91*Z145*100/$B$8</f>
        <v>0</v>
      </c>
      <c r="AA171" s="64">
        <f>AA91*AA145*100/$B$8</f>
        <v>0</v>
      </c>
      <c r="AB171" s="64">
        <f>AB91*AB145*100/$B$8</f>
        <v>0</v>
      </c>
      <c r="AC171" s="64">
        <f>AC91*AC145*100/$B$8</f>
        <v>0</v>
      </c>
      <c r="AD171" s="64">
        <f>AD91*AD145*100/$B$8</f>
        <v>0</v>
      </c>
      <c r="AE171" s="64">
        <f>AE91*AE145*100/$B$8</f>
        <v>0</v>
      </c>
      <c r="AF171" s="64">
        <f>AF91*AF145*100/$B$8</f>
        <v>0</v>
      </c>
      <c r="AG171" s="64">
        <f>AG91*AG145*100/$B$8</f>
        <v>0</v>
      </c>
      <c r="AH171" s="64">
        <f>AH91*AH145*100/$B$8</f>
        <v>0</v>
      </c>
      <c r="AI171" s="64">
        <f>AI91*AI145*100/$B$8</f>
        <v>0</v>
      </c>
      <c r="AJ171" s="64">
        <f>AJ91*AJ145*100/$B$8</f>
        <v>0</v>
      </c>
      <c r="AK171" s="64">
        <f>AK91*AK145*100/$B$8</f>
        <v>0</v>
      </c>
      <c r="AL171" s="64">
        <f>AL91*AL145*100/$B$8</f>
        <v>0</v>
      </c>
      <c r="AM171" s="64">
        <f>AM91*AM145*100/$B$8</f>
        <v>0</v>
      </c>
      <c r="AN171" s="64">
        <f>AN91*AN145*100/$B$8</f>
        <v>0</v>
      </c>
      <c r="AO171" s="64">
        <f>AO91*AO145*100/$B$8</f>
        <v>0</v>
      </c>
      <c r="AP171" s="64">
        <f>AP91*AP145*100/$B$8</f>
        <v>0</v>
      </c>
      <c r="AQ171" s="64">
        <f>AQ91*AQ145*100/$B$8</f>
        <v>0</v>
      </c>
      <c r="AR171" s="64">
        <f>AR91*AR145*100/$B$8</f>
        <v>0</v>
      </c>
      <c r="AS171" s="64">
        <f>AS91*AS145*100/$B$8</f>
        <v>0</v>
      </c>
      <c r="AT171" s="64">
        <f>AT91*AT145*100/$B$8</f>
        <v>0</v>
      </c>
      <c r="AU171" s="64">
        <f>AU91*AU145*100/$B$8</f>
        <v>0</v>
      </c>
      <c r="AV171" s="64">
        <f>AV91*AV145*100/$B$8</f>
        <v>0</v>
      </c>
      <c r="AW171" s="64">
        <f>AW91*AW145*100/$B$8</f>
        <v>0</v>
      </c>
      <c r="AX171" s="64">
        <f>AX91*AX145*100/$B$8</f>
        <v>0</v>
      </c>
      <c r="AY171" s="64">
        <f>AY91*AY145*100/$B$8</f>
        <v>0</v>
      </c>
      <c r="AZ171" s="64">
        <f>AZ91*AZ145*100/$B$8</f>
        <v>0</v>
      </c>
      <c r="BA171" s="64">
        <f>BA91*BA145*100/$B$8</f>
        <v>0</v>
      </c>
      <c r="BB171" s="64">
        <f>BB91*BB145*100/$B$8</f>
        <v>0</v>
      </c>
      <c r="BC171" s="64">
        <f>BC91*BC145*100/$B$8</f>
        <v>0</v>
      </c>
      <c r="BD171" s="64">
        <f>BD91*BD145*100/$B$8</f>
        <v>0</v>
      </c>
      <c r="BE171" s="64">
        <f>BE91*BE145*100/$B$8</f>
        <v>0</v>
      </c>
      <c r="BF171" s="64">
        <f>BF91*BF145*100/$B$8</f>
        <v>0</v>
      </c>
      <c r="BG171" s="64">
        <f>BG91*BG145*100/$B$8</f>
        <v>0</v>
      </c>
      <c r="BH171" s="64">
        <f>BH91*BH145*100/$B$8</f>
        <v>0</v>
      </c>
      <c r="BI171" s="64">
        <f>BI91*BI145*100/$B$8</f>
        <v>0</v>
      </c>
      <c r="BJ171" s="64">
        <f>BJ91*BJ145*100/$B$8</f>
        <v>0</v>
      </c>
      <c r="BK171" s="64">
        <f>BK91*BK145*100/$B$8</f>
        <v>0</v>
      </c>
      <c r="BL171" s="64">
        <f>BL91*BL145*100/$B$8</f>
        <v>0</v>
      </c>
      <c r="BM171" s="64">
        <f>BM91*BM145*100/$B$8</f>
        <v>0</v>
      </c>
      <c r="BN171" s="64">
        <f>BN91*BN145*100/$B$8</f>
        <v>0</v>
      </c>
      <c r="BO171" s="64">
        <f>BO91*BO145*100/$B$8</f>
        <v>0</v>
      </c>
      <c r="BP171" s="64">
        <f>BP91*BP145*100/$B$8</f>
        <v>0</v>
      </c>
      <c r="BQ171" s="64">
        <f>BQ91*BQ145*100/$B$8</f>
        <v>0</v>
      </c>
      <c r="BR171" s="64">
        <f>BR91*BR145*100/$B$8</f>
        <v>0</v>
      </c>
      <c r="BS171" s="64">
        <f>BS91*BS145*100/$B$8</f>
        <v>0</v>
      </c>
      <c r="BT171" s="64">
        <f>BT91*BT145*100/$B$8</f>
        <v>0</v>
      </c>
      <c r="BU171" s="64">
        <f>BU91*BU145*100/$B$8</f>
        <v>0</v>
      </c>
      <c r="BV171" s="64">
        <f>BV91*BV145*100/$B$8</f>
        <v>0</v>
      </c>
      <c r="BW171" s="64">
        <f>BW91*BW145*100/$B$8</f>
        <v>0</v>
      </c>
      <c r="BX171" s="64">
        <f>BX91*BX145*100/$B$8</f>
        <v>0</v>
      </c>
      <c r="BY171" s="64">
        <f>BY91*BY145*100/$B$8</f>
        <v>0</v>
      </c>
      <c r="BZ171" s="64">
        <f>BZ91*BZ145*100/$B$8</f>
        <v>0</v>
      </c>
      <c r="CA171" s="64">
        <f>CA91*CA145*100/$B$8</f>
        <v>0</v>
      </c>
      <c r="CB171" s="64">
        <f>CB91*CB145*100/$B$8</f>
        <v>0</v>
      </c>
      <c r="CC171" s="64">
        <f>CC91*CC145*100/$B$8</f>
        <v>0</v>
      </c>
      <c r="CD171" s="64">
        <f>CD91*CD145*100/$B$8</f>
        <v>0</v>
      </c>
      <c r="CE171" s="64">
        <f>CE91*CE145*100/$B$8</f>
        <v>0</v>
      </c>
      <c r="CF171" s="64">
        <f>CF91*CF145*100/$B$8</f>
        <v>0</v>
      </c>
      <c r="CG171" s="64">
        <f>CG91*CG145*100/$B$8</f>
        <v>0</v>
      </c>
      <c r="CH171" s="64">
        <f>CH91*CH145*100/$B$8</f>
        <v>0</v>
      </c>
      <c r="CI171" s="64">
        <f>CI91*CI145*100/$B$8</f>
        <v>0</v>
      </c>
      <c r="CJ171" s="64">
        <f>CJ91*CJ145*100/$B$8</f>
        <v>0</v>
      </c>
      <c r="CK171" s="64">
        <f>CK91*CK145*100/$B$8</f>
        <v>0</v>
      </c>
      <c r="CL171" s="64">
        <f>CL91*CL145*100/$B$8</f>
        <v>0</v>
      </c>
      <c r="CM171" s="64">
        <f>CM91*CM145*100/$B$8</f>
        <v>0</v>
      </c>
      <c r="CN171" s="64">
        <f>CN91*CN145*100/$B$8</f>
        <v>0</v>
      </c>
      <c r="CO171" s="64">
        <f>CO91*CO145*100/$B$8</f>
        <v>0</v>
      </c>
      <c r="CP171" s="64">
        <f>CP91*CP145*100/$B$8</f>
        <v>0</v>
      </c>
      <c r="CQ171" s="64">
        <f>CQ91*CQ145*100/$B$8</f>
        <v>0</v>
      </c>
      <c r="CR171" s="64">
        <f>CR91*CR145*100/$B$8</f>
        <v>0</v>
      </c>
      <c r="CS171" s="64">
        <f>CS91*CS145*100/$B$8</f>
        <v>0</v>
      </c>
      <c r="CT171" s="64">
        <f>CT91*CT145*100/$B$8</f>
        <v>0</v>
      </c>
      <c r="CU171" s="64">
        <f>CU91*CU145*100/$B$8</f>
        <v>0</v>
      </c>
      <c r="CV171" s="64">
        <f>CV91*CV145*100/$B$8</f>
        <v>0</v>
      </c>
      <c r="CW171" s="64">
        <f>CW91*CW145*100/$B$8</f>
        <v>0</v>
      </c>
      <c r="CX171" s="64">
        <f>CX91*CX145*100/$B$8</f>
        <v>0</v>
      </c>
      <c r="CY171" s="64">
        <f>CY91*CY145*100/$B$8</f>
        <v>0</v>
      </c>
      <c r="CZ171" s="64">
        <f>CZ91*CZ145*100/$B$8</f>
        <v>0</v>
      </c>
      <c r="DA171" s="64">
        <f>DA91*DA145*100/$B$8</f>
        <v>0</v>
      </c>
      <c r="DB171" s="64">
        <f>DB91*DB145*100/$B$8</f>
        <v>0</v>
      </c>
      <c r="DC171" s="64">
        <f>DC91*DC145*100/$B$8</f>
        <v>0</v>
      </c>
      <c r="DD171" s="64">
        <f>DD91*DD145*100/$B$8</f>
        <v>0</v>
      </c>
      <c r="DE171" s="64">
        <f>DE91*DE145*100/$B$8</f>
        <v>0</v>
      </c>
      <c r="DF171" s="64">
        <f>DF91*DF145*100/$B$8</f>
        <v>0</v>
      </c>
      <c r="DG171" s="64">
        <f>DG91*DG145*100/$B$8</f>
        <v>0</v>
      </c>
      <c r="DH171" s="64">
        <f>DH91*DH145*100/$B$8</f>
        <v>0</v>
      </c>
      <c r="DI171" s="64">
        <f>DI91*DI145*100/$B$8</f>
        <v>0</v>
      </c>
      <c r="DJ171" s="64">
        <f>DJ91*DJ145*100/$B$8</f>
        <v>0</v>
      </c>
      <c r="DK171" s="64">
        <f>DK91*DK145*100/$B$8</f>
        <v>0</v>
      </c>
      <c r="DL171" s="64">
        <f>DL91*DL145*100/$B$8</f>
        <v>0</v>
      </c>
      <c r="DM171" s="64">
        <f>DM91*DM145*100/$B$8</f>
        <v>0</v>
      </c>
      <c r="DN171" s="64">
        <f>DN91*DN145*100/$B$8</f>
        <v>0</v>
      </c>
      <c r="DO171" s="64">
        <f>DO91*DO145*100/$B$8</f>
        <v>0</v>
      </c>
      <c r="DP171" s="64">
        <f>DP91*DP145*100/$B$8</f>
        <v>0</v>
      </c>
      <c r="DQ171" s="64">
        <f>DQ91*DQ145*100/$B$8</f>
        <v>0</v>
      </c>
      <c r="DR171" s="64">
        <f>DR91*DR145*100/$B$8</f>
        <v>0</v>
      </c>
      <c r="DS171" s="64">
        <f>DS91*DS145*100/$B$8</f>
        <v>0</v>
      </c>
      <c r="DT171" s="64">
        <f>DT91*DT145*100/$B$8</f>
        <v>0</v>
      </c>
      <c r="DU171" s="64">
        <f>DU91*DU145*100/$B$8</f>
        <v>0</v>
      </c>
      <c r="DV171" s="64">
        <f>DV91*DV145*100/$B$8</f>
        <v>0</v>
      </c>
      <c r="DW171" s="64">
        <f>DW91*DW145*100/$B$8</f>
        <v>0</v>
      </c>
      <c r="DX171" s="64">
        <f>DX91*DX145*100/$B$8</f>
        <v>0</v>
      </c>
      <c r="DY171" s="64">
        <f>DY91*DY145*100/$B$8</f>
        <v>0</v>
      </c>
      <c r="DZ171" s="64">
        <f>DZ91*DZ145*100/$B$8</f>
        <v>0</v>
      </c>
      <c r="EA171" s="64">
        <f>EA91*EA145*100/$B$8</f>
        <v>0</v>
      </c>
      <c r="EB171" s="64">
        <f>EB91*EB145*100/$B$8</f>
        <v>0</v>
      </c>
      <c r="EC171" s="64">
        <f>EC91*EC145*100/$B$8</f>
        <v>0</v>
      </c>
      <c r="ED171" s="64">
        <f>ED91*ED145*100/$B$8</f>
        <v>0</v>
      </c>
      <c r="EE171" s="64">
        <f>EE91*EE145*100/$B$8</f>
        <v>0</v>
      </c>
      <c r="EF171" s="64">
        <f>EF91*EF145*100/$B$8</f>
        <v>0</v>
      </c>
      <c r="EG171" s="64">
        <f>EG91*EG145*100/$B$8</f>
        <v>0</v>
      </c>
      <c r="EH171" s="64">
        <f>EH91*EH145*100/$B$8</f>
        <v>0</v>
      </c>
      <c r="EI171" s="64">
        <f>EI91*EI145*100/$B$8</f>
        <v>0</v>
      </c>
      <c r="EJ171" s="64">
        <f>EJ91*EJ145*100/$B$8</f>
        <v>0</v>
      </c>
      <c r="EK171" s="64">
        <f>EK91*EK145*100/$B$8</f>
        <v>0</v>
      </c>
      <c r="EL171" s="64">
        <f>EL91*EL145*100/$B$8</f>
        <v>0</v>
      </c>
      <c r="EM171" s="64">
        <f>EM91*EM145*100/$B$8</f>
        <v>0</v>
      </c>
      <c r="EN171" s="64">
        <f>EN91*EN145*100/$B$8</f>
        <v>0</v>
      </c>
      <c r="EO171" s="64">
        <f>EO91*EO145*100/$B$8</f>
        <v>0</v>
      </c>
      <c r="EP171" s="64">
        <f>EP91*EP145*100/$B$8</f>
        <v>0</v>
      </c>
      <c r="EQ171" s="64">
        <f>EQ91*EQ145*100/$B$8</f>
        <v>0</v>
      </c>
      <c r="ER171" s="64">
        <f>ER91*ER145*100/$B$8</f>
        <v>0</v>
      </c>
      <c r="ES171" s="64">
        <f>ES91*ES145*100/$B$8</f>
        <v>0</v>
      </c>
    </row>
    <row r="172" spans="1:149" x14ac:dyDescent="0.3">
      <c r="A172" s="37" t="s">
        <v>17</v>
      </c>
      <c r="B172" s="64">
        <f>B92*B146*100/$B$8</f>
        <v>0</v>
      </c>
      <c r="C172" s="64">
        <f>C92*C146*100/$B$8</f>
        <v>0</v>
      </c>
      <c r="D172" s="64">
        <f>D92*D146*100/$B$8</f>
        <v>0</v>
      </c>
      <c r="E172" s="64">
        <f>E92*E146*100/$B$8</f>
        <v>0</v>
      </c>
      <c r="F172" s="64">
        <f>F92*F146*100/$B$8</f>
        <v>0</v>
      </c>
      <c r="G172" s="64">
        <f>G92*G146*100/$B$8</f>
        <v>0</v>
      </c>
      <c r="H172" s="64">
        <f>H92*H146*100/$B$8</f>
        <v>0</v>
      </c>
      <c r="I172" s="64">
        <f>I92*I146*100/$B$8</f>
        <v>0</v>
      </c>
      <c r="J172" s="64">
        <f>J92*J146*100/$B$8</f>
        <v>0</v>
      </c>
      <c r="K172" s="64">
        <f>K92*K146*100/$B$8</f>
        <v>0</v>
      </c>
      <c r="L172" s="64">
        <f>L92*L146*100/$B$8</f>
        <v>0</v>
      </c>
      <c r="M172" s="64">
        <f>M92*M146*100/$B$8</f>
        <v>0</v>
      </c>
      <c r="N172" s="64">
        <f>N92*N146*100/$B$8</f>
        <v>0</v>
      </c>
      <c r="O172" s="64">
        <f>O92*O146*100/$B$8</f>
        <v>0</v>
      </c>
      <c r="P172" s="64">
        <f>P92*P146*100/$B$8</f>
        <v>0</v>
      </c>
      <c r="Q172" s="64">
        <f>Q92*Q146*100/$B$8</f>
        <v>0</v>
      </c>
      <c r="R172" s="64">
        <f>R92*R146*100/$B$8</f>
        <v>0</v>
      </c>
      <c r="S172" s="64">
        <f>S92*S146*100/$B$8</f>
        <v>0</v>
      </c>
      <c r="T172" s="64">
        <f>T92*T146*100/$B$8</f>
        <v>0</v>
      </c>
      <c r="U172" s="64">
        <f>U92*U146*100/$B$8</f>
        <v>0</v>
      </c>
      <c r="V172" s="64">
        <f>V92*V146*100/$B$8</f>
        <v>0</v>
      </c>
      <c r="W172" s="64">
        <f>W92*W146*100/$B$8</f>
        <v>0</v>
      </c>
      <c r="X172" s="64">
        <f>X92*X146*100/$B$8</f>
        <v>0</v>
      </c>
      <c r="Y172" s="64">
        <f>Y92*Y146*100/$B$8</f>
        <v>0</v>
      </c>
      <c r="Z172" s="64">
        <f>Z92*Z146*100/$B$8</f>
        <v>0</v>
      </c>
      <c r="AA172" s="64">
        <f>AA92*AA146*100/$B$8</f>
        <v>0</v>
      </c>
      <c r="AB172" s="64">
        <f>AB92*AB146*100/$B$8</f>
        <v>0</v>
      </c>
      <c r="AC172" s="64">
        <f>AC92*AC146*100/$B$8</f>
        <v>0</v>
      </c>
      <c r="AD172" s="64">
        <f>AD92*AD146*100/$B$8</f>
        <v>0</v>
      </c>
      <c r="AE172" s="64">
        <f>AE92*AE146*100/$B$8</f>
        <v>0</v>
      </c>
      <c r="AF172" s="64">
        <f>AF92*AF146*100/$B$8</f>
        <v>0</v>
      </c>
      <c r="AG172" s="64">
        <f>AG92*AG146*100/$B$8</f>
        <v>0</v>
      </c>
      <c r="AH172" s="64">
        <f>AH92*AH146*100/$B$8</f>
        <v>0</v>
      </c>
      <c r="AI172" s="64">
        <f>AI92*AI146*100/$B$8</f>
        <v>0</v>
      </c>
      <c r="AJ172" s="64">
        <f>AJ92*AJ146*100/$B$8</f>
        <v>0</v>
      </c>
      <c r="AK172" s="64">
        <f>AK92*AK146*100/$B$8</f>
        <v>0</v>
      </c>
      <c r="AL172" s="64">
        <f>AL92*AL146*100/$B$8</f>
        <v>0</v>
      </c>
      <c r="AM172" s="64">
        <f>AM92*AM146*100/$B$8</f>
        <v>0</v>
      </c>
      <c r="AN172" s="64">
        <f>AN92*AN146*100/$B$8</f>
        <v>0</v>
      </c>
      <c r="AO172" s="64">
        <f>AO92*AO146*100/$B$8</f>
        <v>0</v>
      </c>
      <c r="AP172" s="64">
        <f>AP92*AP146*100/$B$8</f>
        <v>0</v>
      </c>
      <c r="AQ172" s="64">
        <f>AQ92*AQ146*100/$B$8</f>
        <v>0</v>
      </c>
      <c r="AR172" s="64">
        <f>AR92*AR146*100/$B$8</f>
        <v>0</v>
      </c>
      <c r="AS172" s="64">
        <f>AS92*AS146*100/$B$8</f>
        <v>0</v>
      </c>
      <c r="AT172" s="64">
        <f>AT92*AT146*100/$B$8</f>
        <v>0</v>
      </c>
      <c r="AU172" s="64">
        <f>AU92*AU146*100/$B$8</f>
        <v>0</v>
      </c>
      <c r="AV172" s="64">
        <f>AV92*AV146*100/$B$8</f>
        <v>0</v>
      </c>
      <c r="AW172" s="64">
        <f>AW92*AW146*100/$B$8</f>
        <v>0</v>
      </c>
      <c r="AX172" s="64">
        <f>AX92*AX146*100/$B$8</f>
        <v>0</v>
      </c>
      <c r="AY172" s="64">
        <f>AY92*AY146*100/$B$8</f>
        <v>0</v>
      </c>
      <c r="AZ172" s="64">
        <f>AZ92*AZ146*100/$B$8</f>
        <v>0</v>
      </c>
      <c r="BA172" s="64">
        <f>BA92*BA146*100/$B$8</f>
        <v>0</v>
      </c>
      <c r="BB172" s="64">
        <f>BB92*BB146*100/$B$8</f>
        <v>0</v>
      </c>
      <c r="BC172" s="64">
        <f>BC92*BC146*100/$B$8</f>
        <v>0</v>
      </c>
      <c r="BD172" s="64">
        <f>BD92*BD146*100/$B$8</f>
        <v>0</v>
      </c>
      <c r="BE172" s="64">
        <f>BE92*BE146*100/$B$8</f>
        <v>0</v>
      </c>
      <c r="BF172" s="64">
        <f>BF92*BF146*100/$B$8</f>
        <v>0</v>
      </c>
      <c r="BG172" s="64">
        <f>BG92*BG146*100/$B$8</f>
        <v>0</v>
      </c>
      <c r="BH172" s="64">
        <f>BH92*BH146*100/$B$8</f>
        <v>0</v>
      </c>
      <c r="BI172" s="64">
        <f>BI92*BI146*100/$B$8</f>
        <v>0</v>
      </c>
      <c r="BJ172" s="64">
        <f>BJ92*BJ146*100/$B$8</f>
        <v>0</v>
      </c>
      <c r="BK172" s="64">
        <f>BK92*BK146*100/$B$8</f>
        <v>0</v>
      </c>
      <c r="BL172" s="64">
        <f>BL92*BL146*100/$B$8</f>
        <v>0</v>
      </c>
      <c r="BM172" s="64">
        <f>BM92*BM146*100/$B$8</f>
        <v>0</v>
      </c>
      <c r="BN172" s="64">
        <f>BN92*BN146*100/$B$8</f>
        <v>0</v>
      </c>
      <c r="BO172" s="64">
        <f>BO92*BO146*100/$B$8</f>
        <v>0</v>
      </c>
      <c r="BP172" s="64">
        <f>BP92*BP146*100/$B$8</f>
        <v>0</v>
      </c>
      <c r="BQ172" s="64">
        <f>BQ92*BQ146*100/$B$8</f>
        <v>0</v>
      </c>
      <c r="BR172" s="64">
        <f>BR92*BR146*100/$B$8</f>
        <v>0</v>
      </c>
      <c r="BS172" s="64">
        <f>BS92*BS146*100/$B$8</f>
        <v>0</v>
      </c>
      <c r="BT172" s="64">
        <f>BT92*BT146*100/$B$8</f>
        <v>0</v>
      </c>
      <c r="BU172" s="64">
        <f>BU92*BU146*100/$B$8</f>
        <v>0</v>
      </c>
      <c r="BV172" s="64">
        <f>BV92*BV146*100/$B$8</f>
        <v>0</v>
      </c>
      <c r="BW172" s="64">
        <f>BW92*BW146*100/$B$8</f>
        <v>0</v>
      </c>
      <c r="BX172" s="64">
        <f>BX92*BX146*100/$B$8</f>
        <v>0</v>
      </c>
      <c r="BY172" s="64">
        <f>BY92*BY146*100/$B$8</f>
        <v>0</v>
      </c>
      <c r="BZ172" s="64">
        <f>BZ92*BZ146*100/$B$8</f>
        <v>0</v>
      </c>
      <c r="CA172" s="64">
        <f>CA92*CA146*100/$B$8</f>
        <v>0</v>
      </c>
      <c r="CB172" s="64">
        <f>CB92*CB146*100/$B$8</f>
        <v>0</v>
      </c>
      <c r="CC172" s="64">
        <f>CC92*CC146*100/$B$8</f>
        <v>0</v>
      </c>
      <c r="CD172" s="64">
        <f>CD92*CD146*100/$B$8</f>
        <v>0</v>
      </c>
      <c r="CE172" s="64">
        <f>CE92*CE146*100/$B$8</f>
        <v>0</v>
      </c>
      <c r="CF172" s="64">
        <f>CF92*CF146*100/$B$8</f>
        <v>0</v>
      </c>
      <c r="CG172" s="64">
        <f>CG92*CG146*100/$B$8</f>
        <v>0</v>
      </c>
      <c r="CH172" s="64">
        <f>CH92*CH146*100/$B$8</f>
        <v>0</v>
      </c>
      <c r="CI172" s="64">
        <f>CI92*CI146*100/$B$8</f>
        <v>0</v>
      </c>
      <c r="CJ172" s="64">
        <f>CJ92*CJ146*100/$B$8</f>
        <v>0</v>
      </c>
      <c r="CK172" s="64">
        <f>CK92*CK146*100/$B$8</f>
        <v>0</v>
      </c>
      <c r="CL172" s="64">
        <f>CL92*CL146*100/$B$8</f>
        <v>0</v>
      </c>
      <c r="CM172" s="64">
        <f>CM92*CM146*100/$B$8</f>
        <v>0</v>
      </c>
      <c r="CN172" s="64">
        <f>CN92*CN146*100/$B$8</f>
        <v>0</v>
      </c>
      <c r="CO172" s="64">
        <f>CO92*CO146*100/$B$8</f>
        <v>0</v>
      </c>
      <c r="CP172" s="64">
        <f>CP92*CP146*100/$B$8</f>
        <v>0</v>
      </c>
      <c r="CQ172" s="64">
        <f>CQ92*CQ146*100/$B$8</f>
        <v>0</v>
      </c>
      <c r="CR172" s="64">
        <f>CR92*CR146*100/$B$8</f>
        <v>0</v>
      </c>
      <c r="CS172" s="64">
        <f>CS92*CS146*100/$B$8</f>
        <v>0</v>
      </c>
      <c r="CT172" s="64">
        <f>CT92*CT146*100/$B$8</f>
        <v>0</v>
      </c>
      <c r="CU172" s="64">
        <f>CU92*CU146*100/$B$8</f>
        <v>0</v>
      </c>
      <c r="CV172" s="64">
        <f>CV92*CV146*100/$B$8</f>
        <v>0</v>
      </c>
      <c r="CW172" s="64">
        <f>CW92*CW146*100/$B$8</f>
        <v>0</v>
      </c>
      <c r="CX172" s="64">
        <f>CX92*CX146*100/$B$8</f>
        <v>0</v>
      </c>
      <c r="CY172" s="64">
        <f>CY92*CY146*100/$B$8</f>
        <v>0</v>
      </c>
      <c r="CZ172" s="64">
        <f>CZ92*CZ146*100/$B$8</f>
        <v>0</v>
      </c>
      <c r="DA172" s="64">
        <f>DA92*DA146*100/$B$8</f>
        <v>0</v>
      </c>
      <c r="DB172" s="64">
        <f>DB92*DB146*100/$B$8</f>
        <v>0</v>
      </c>
      <c r="DC172" s="64">
        <f>DC92*DC146*100/$B$8</f>
        <v>0</v>
      </c>
      <c r="DD172" s="64">
        <f>DD92*DD146*100/$B$8</f>
        <v>0</v>
      </c>
      <c r="DE172" s="64">
        <f>DE92*DE146*100/$B$8</f>
        <v>0</v>
      </c>
      <c r="DF172" s="64">
        <f>DF92*DF146*100/$B$8</f>
        <v>0</v>
      </c>
      <c r="DG172" s="64">
        <f>DG92*DG146*100/$B$8</f>
        <v>0</v>
      </c>
      <c r="DH172" s="64">
        <f>DH92*DH146*100/$B$8</f>
        <v>0</v>
      </c>
      <c r="DI172" s="64">
        <f>DI92*DI146*100/$B$8</f>
        <v>0</v>
      </c>
      <c r="DJ172" s="64">
        <f>DJ92*DJ146*100/$B$8</f>
        <v>0</v>
      </c>
      <c r="DK172" s="64">
        <f>DK92*DK146*100/$B$8</f>
        <v>0</v>
      </c>
      <c r="DL172" s="64">
        <f>DL92*DL146*100/$B$8</f>
        <v>0</v>
      </c>
      <c r="DM172" s="64">
        <f>DM92*DM146*100/$B$8</f>
        <v>0</v>
      </c>
      <c r="DN172" s="64">
        <f>DN92*DN146*100/$B$8</f>
        <v>0</v>
      </c>
      <c r="DO172" s="64">
        <f>DO92*DO146*100/$B$8</f>
        <v>0</v>
      </c>
      <c r="DP172" s="64">
        <f>DP92*DP146*100/$B$8</f>
        <v>0</v>
      </c>
      <c r="DQ172" s="64">
        <f>DQ92*DQ146*100/$B$8</f>
        <v>0</v>
      </c>
      <c r="DR172" s="64">
        <f>DR92*DR146*100/$B$8</f>
        <v>0</v>
      </c>
      <c r="DS172" s="64">
        <f>DS92*DS146*100/$B$8</f>
        <v>0</v>
      </c>
      <c r="DT172" s="64">
        <f>DT92*DT146*100/$B$8</f>
        <v>0</v>
      </c>
      <c r="DU172" s="64">
        <f>DU92*DU146*100/$B$8</f>
        <v>0</v>
      </c>
      <c r="DV172" s="64">
        <f>DV92*DV146*100/$B$8</f>
        <v>0</v>
      </c>
      <c r="DW172" s="64">
        <f>DW92*DW146*100/$B$8</f>
        <v>0</v>
      </c>
      <c r="DX172" s="64">
        <f>DX92*DX146*100/$B$8</f>
        <v>0</v>
      </c>
      <c r="DY172" s="64">
        <f>DY92*DY146*100/$B$8</f>
        <v>0</v>
      </c>
      <c r="DZ172" s="64">
        <f>DZ92*DZ146*100/$B$8</f>
        <v>0</v>
      </c>
      <c r="EA172" s="64">
        <f>EA92*EA146*100/$B$8</f>
        <v>0</v>
      </c>
      <c r="EB172" s="64">
        <f>EB92*EB146*100/$B$8</f>
        <v>0</v>
      </c>
      <c r="EC172" s="64">
        <f>EC92*EC146*100/$B$8</f>
        <v>0</v>
      </c>
      <c r="ED172" s="64">
        <f>ED92*ED146*100/$B$8</f>
        <v>0</v>
      </c>
      <c r="EE172" s="64">
        <f>EE92*EE146*100/$B$8</f>
        <v>0</v>
      </c>
      <c r="EF172" s="64">
        <f>EF92*EF146*100/$B$8</f>
        <v>0</v>
      </c>
      <c r="EG172" s="64">
        <f>EG92*EG146*100/$B$8</f>
        <v>0</v>
      </c>
      <c r="EH172" s="64">
        <f>EH92*EH146*100/$B$8</f>
        <v>0</v>
      </c>
      <c r="EI172" s="64">
        <f>EI92*EI146*100/$B$8</f>
        <v>0</v>
      </c>
      <c r="EJ172" s="64">
        <f>EJ92*EJ146*100/$B$8</f>
        <v>0</v>
      </c>
      <c r="EK172" s="64">
        <f>EK92*EK146*100/$B$8</f>
        <v>0</v>
      </c>
      <c r="EL172" s="64">
        <f>EL92*EL146*100/$B$8</f>
        <v>0</v>
      </c>
      <c r="EM172" s="64">
        <f>EM92*EM146*100/$B$8</f>
        <v>0</v>
      </c>
      <c r="EN172" s="64">
        <f>EN92*EN146*100/$B$8</f>
        <v>0</v>
      </c>
      <c r="EO172" s="64">
        <f>EO92*EO146*100/$B$8</f>
        <v>0</v>
      </c>
      <c r="EP172" s="64">
        <f>EP92*EP146*100/$B$8</f>
        <v>0</v>
      </c>
      <c r="EQ172" s="64">
        <f>EQ92*EQ146*100/$B$8</f>
        <v>0</v>
      </c>
      <c r="ER172" s="64">
        <f>ER92*ER146*100/$B$8</f>
        <v>0</v>
      </c>
      <c r="ES172" s="64">
        <f>ES92*ES146*100/$B$8</f>
        <v>0</v>
      </c>
    </row>
    <row r="173" spans="1:149" x14ac:dyDescent="0.3">
      <c r="A173" s="37" t="s">
        <v>29</v>
      </c>
      <c r="B173" s="64">
        <f>B93*B147*100/$B$8</f>
        <v>0</v>
      </c>
      <c r="C173" s="64">
        <f>C93*C147*100/$B$8</f>
        <v>0</v>
      </c>
      <c r="D173" s="64">
        <f>D93*D147*100/$B$8</f>
        <v>0</v>
      </c>
      <c r="E173" s="64">
        <f>E93*E147*100/$B$8</f>
        <v>0</v>
      </c>
      <c r="F173" s="64">
        <f>F93*F147*100/$B$8</f>
        <v>0</v>
      </c>
      <c r="G173" s="64">
        <f>G93*G147*100/$B$8</f>
        <v>0</v>
      </c>
      <c r="H173" s="64">
        <f>H93*H147*100/$B$8</f>
        <v>0</v>
      </c>
      <c r="I173" s="64">
        <f>I93*I147*100/$B$8</f>
        <v>0</v>
      </c>
      <c r="J173" s="64">
        <f>J93*J147*100/$B$8</f>
        <v>0</v>
      </c>
      <c r="K173" s="64">
        <f>K93*K147*100/$B$8</f>
        <v>0</v>
      </c>
      <c r="L173" s="64">
        <f>L93*L147*100/$B$8</f>
        <v>0</v>
      </c>
      <c r="M173" s="64">
        <f>M93*M147*100/$B$8</f>
        <v>0</v>
      </c>
      <c r="N173" s="64">
        <f>N93*N147*100/$B$8</f>
        <v>0</v>
      </c>
      <c r="O173" s="64">
        <f>O93*O147*100/$B$8</f>
        <v>0</v>
      </c>
      <c r="P173" s="64">
        <f>P93*P147*100/$B$8</f>
        <v>0</v>
      </c>
      <c r="Q173" s="64">
        <f>Q93*Q147*100/$B$8</f>
        <v>0.92815400481265042</v>
      </c>
      <c r="R173" s="64">
        <f>R93*R147*100/$B$8</f>
        <v>0</v>
      </c>
      <c r="S173" s="64">
        <f>S93*S147*100/$B$8</f>
        <v>0</v>
      </c>
      <c r="T173" s="64">
        <f>T93*T147*100/$B$8</f>
        <v>0</v>
      </c>
      <c r="U173" s="64">
        <f>U93*U147*100/$B$8</f>
        <v>0</v>
      </c>
      <c r="V173" s="64">
        <f>V93*V147*100/$B$8</f>
        <v>0</v>
      </c>
      <c r="W173" s="64">
        <f>W93*W147*100/$B$8</f>
        <v>0</v>
      </c>
      <c r="X173" s="64">
        <f>X93*X147*100/$B$8</f>
        <v>0</v>
      </c>
      <c r="Y173" s="64">
        <f>Y93*Y147*100/$B$8</f>
        <v>0</v>
      </c>
      <c r="Z173" s="64">
        <f>Z93*Z147*100/$B$8</f>
        <v>0</v>
      </c>
      <c r="AA173" s="64">
        <f>AA93*AA147*100/$B$8</f>
        <v>0</v>
      </c>
      <c r="AB173" s="64">
        <f>AB93*AB147*100/$B$8</f>
        <v>0.41251289102784461</v>
      </c>
      <c r="AC173" s="64">
        <f>AC93*AC147*100/$B$8</f>
        <v>0</v>
      </c>
      <c r="AD173" s="64">
        <f>AD93*AD147*100/$B$8</f>
        <v>0</v>
      </c>
      <c r="AE173" s="64">
        <f>AE93*AE147*100/$B$8</f>
        <v>0</v>
      </c>
      <c r="AF173" s="64">
        <f>AF93*AF147*100/$B$8</f>
        <v>0</v>
      </c>
      <c r="AG173" s="64">
        <f>AG93*AG147*100/$B$8</f>
        <v>0</v>
      </c>
      <c r="AH173" s="64">
        <f>AH93*AH147*100/$B$8</f>
        <v>0</v>
      </c>
      <c r="AI173" s="64">
        <f>AI93*AI147*100/$B$8</f>
        <v>0</v>
      </c>
      <c r="AJ173" s="64">
        <f>AJ93*AJ147*100/$B$8</f>
        <v>0</v>
      </c>
      <c r="AK173" s="64">
        <f>AK93*AK147*100/$B$8</f>
        <v>0</v>
      </c>
      <c r="AL173" s="64">
        <f>AL93*AL147*100/$B$8</f>
        <v>0</v>
      </c>
      <c r="AM173" s="64">
        <f>AM93*AM147*100/$B$8</f>
        <v>0</v>
      </c>
      <c r="AN173" s="64">
        <f>AN93*AN147*100/$B$8</f>
        <v>0</v>
      </c>
      <c r="AO173" s="64">
        <f>AO93*AO147*100/$B$8</f>
        <v>0</v>
      </c>
      <c r="AP173" s="64">
        <f>AP93*AP147*100/$B$8</f>
        <v>0</v>
      </c>
      <c r="AQ173" s="64">
        <f>AQ93*AQ147*100/$B$8</f>
        <v>0</v>
      </c>
      <c r="AR173" s="64">
        <f>AR93*AR147*100/$B$8</f>
        <v>0</v>
      </c>
      <c r="AS173" s="64">
        <f>AS93*AS147*100/$B$8</f>
        <v>0</v>
      </c>
      <c r="AT173" s="64">
        <f>AT93*AT147*100/$B$8</f>
        <v>0</v>
      </c>
      <c r="AU173" s="64">
        <f>AU93*AU147*100/$B$8</f>
        <v>0</v>
      </c>
      <c r="AV173" s="64">
        <f>AV93*AV147*100/$B$8</f>
        <v>0</v>
      </c>
      <c r="AW173" s="64">
        <f>AW93*AW147*100/$B$8</f>
        <v>0</v>
      </c>
      <c r="AX173" s="64">
        <f>AX93*AX147*100/$B$8</f>
        <v>0</v>
      </c>
      <c r="AY173" s="64">
        <f>AY93*AY147*100/$B$8</f>
        <v>0</v>
      </c>
      <c r="AZ173" s="64">
        <f>AZ93*AZ147*100/$B$8</f>
        <v>0</v>
      </c>
      <c r="BA173" s="64">
        <f>BA93*BA147*100/$B$8</f>
        <v>0</v>
      </c>
      <c r="BB173" s="64">
        <f>BB93*BB147*100/$B$8</f>
        <v>0</v>
      </c>
      <c r="BC173" s="64">
        <f>BC93*BC147*100/$B$8</f>
        <v>0</v>
      </c>
      <c r="BD173" s="64">
        <f>BD93*BD147*100/$B$8</f>
        <v>0</v>
      </c>
      <c r="BE173" s="64">
        <f>BE93*BE147*100/$B$8</f>
        <v>1.1687865245788931</v>
      </c>
      <c r="BF173" s="64">
        <f>BF93*BF147*100/$B$8</f>
        <v>0</v>
      </c>
      <c r="BG173" s="64">
        <f>BG93*BG147*100/$B$8</f>
        <v>0</v>
      </c>
      <c r="BH173" s="64">
        <f>BH93*BH147*100/$B$8</f>
        <v>0</v>
      </c>
      <c r="BI173" s="64">
        <f>BI93*BI147*100/$B$8</f>
        <v>0</v>
      </c>
      <c r="BJ173" s="64">
        <f>BJ93*BJ147*100/$B$8</f>
        <v>0</v>
      </c>
      <c r="BK173" s="64">
        <f>BK93*BK147*100/$B$8</f>
        <v>0</v>
      </c>
      <c r="BL173" s="64">
        <f>BL93*BL147*100/$B$8</f>
        <v>0</v>
      </c>
      <c r="BM173" s="64">
        <f>BM93*BM147*100/$B$8</f>
        <v>0</v>
      </c>
      <c r="BN173" s="64">
        <f>BN93*BN147*100/$B$8</f>
        <v>0</v>
      </c>
      <c r="BO173" s="64">
        <f>BO93*BO147*100/$B$8</f>
        <v>0</v>
      </c>
      <c r="BP173" s="64">
        <f>BP93*BP147*100/$B$8</f>
        <v>0</v>
      </c>
      <c r="BQ173" s="64">
        <f>BQ93*BQ147*100/$B$8</f>
        <v>0</v>
      </c>
      <c r="BR173" s="64">
        <f>BR93*BR147*100/$B$8</f>
        <v>0</v>
      </c>
      <c r="BS173" s="64">
        <f>BS93*BS147*100/$B$8</f>
        <v>0</v>
      </c>
      <c r="BT173" s="64">
        <f>BT93*BT147*100/$B$8</f>
        <v>0</v>
      </c>
      <c r="BU173" s="64">
        <f>BU93*BU147*100/$B$8</f>
        <v>0</v>
      </c>
      <c r="BV173" s="64">
        <f>BV93*BV147*100/$B$8</f>
        <v>0</v>
      </c>
      <c r="BW173" s="64">
        <f>BW93*BW147*100/$B$8</f>
        <v>0.30938466827088346</v>
      </c>
      <c r="BX173" s="64">
        <f>BX93*BX147*100/$B$8</f>
        <v>0</v>
      </c>
      <c r="BY173" s="64">
        <f>BY93*BY147*100/$B$8</f>
        <v>0</v>
      </c>
      <c r="BZ173" s="64">
        <f>BZ93*BZ147*100/$B$8</f>
        <v>0</v>
      </c>
      <c r="CA173" s="64">
        <f>CA93*CA147*100/$B$8</f>
        <v>0</v>
      </c>
      <c r="CB173" s="64">
        <f>CB93*CB147*100/$B$8</f>
        <v>0</v>
      </c>
      <c r="CC173" s="64">
        <f>CC93*CC147*100/$B$8</f>
        <v>0</v>
      </c>
      <c r="CD173" s="64">
        <f>CD93*CD147*100/$B$8</f>
        <v>0</v>
      </c>
      <c r="CE173" s="64">
        <f>CE93*CE147*100/$B$8</f>
        <v>0</v>
      </c>
      <c r="CF173" s="64">
        <f>CF93*CF147*100/$B$8</f>
        <v>0</v>
      </c>
      <c r="CG173" s="64">
        <f>CG93*CG147*100/$B$8</f>
        <v>0</v>
      </c>
      <c r="CH173" s="64">
        <f>CH93*CH147*100/$B$8</f>
        <v>0</v>
      </c>
      <c r="CI173" s="64">
        <f>CI93*CI147*100/$B$8</f>
        <v>0</v>
      </c>
      <c r="CJ173" s="64">
        <f>CJ93*CJ147*100/$B$8</f>
        <v>0</v>
      </c>
      <c r="CK173" s="64">
        <f>CK93*CK147*100/$B$8</f>
        <v>0</v>
      </c>
      <c r="CL173" s="64">
        <f>CL93*CL147*100/$B$8</f>
        <v>0</v>
      </c>
      <c r="CM173" s="64">
        <f>CM93*CM147*100/$B$8</f>
        <v>0</v>
      </c>
      <c r="CN173" s="64">
        <f>CN93*CN147*100/$B$8</f>
        <v>0</v>
      </c>
      <c r="CO173" s="64">
        <f>CO93*CO147*100/$B$8</f>
        <v>0</v>
      </c>
      <c r="CP173" s="64">
        <f>CP93*CP147*100/$B$8</f>
        <v>0</v>
      </c>
      <c r="CQ173" s="64">
        <f>CQ93*CQ147*100/$B$8</f>
        <v>0</v>
      </c>
      <c r="CR173" s="64">
        <f>CR93*CR147*100/$B$8</f>
        <v>0</v>
      </c>
      <c r="CS173" s="64">
        <f>CS93*CS147*100/$B$8</f>
        <v>0</v>
      </c>
      <c r="CT173" s="64">
        <f>CT93*CT147*100/$B$8</f>
        <v>0</v>
      </c>
      <c r="CU173" s="64">
        <f>CU93*CU147*100/$B$8</f>
        <v>0</v>
      </c>
      <c r="CV173" s="64">
        <f>CV93*CV147*100/$B$8</f>
        <v>0</v>
      </c>
      <c r="CW173" s="64">
        <f>CW93*CW147*100/$B$8</f>
        <v>0</v>
      </c>
      <c r="CX173" s="64">
        <f>CX93*CX147*100/$B$8</f>
        <v>0</v>
      </c>
      <c r="CY173" s="64">
        <f>CY93*CY147*100/$B$8</f>
        <v>0</v>
      </c>
      <c r="CZ173" s="64">
        <f>CZ93*CZ147*100/$B$8</f>
        <v>0</v>
      </c>
      <c r="DA173" s="64">
        <f>DA93*DA147*100/$B$8</f>
        <v>0</v>
      </c>
      <c r="DB173" s="64">
        <f>DB93*DB147*100/$B$8</f>
        <v>0.34376074252320388</v>
      </c>
      <c r="DC173" s="64">
        <f>DC93*DC147*100/$B$8</f>
        <v>0</v>
      </c>
      <c r="DD173" s="64">
        <f>DD93*DD147*100/$B$8</f>
        <v>0</v>
      </c>
      <c r="DE173" s="64">
        <f>DE93*DE147*100/$B$8</f>
        <v>0</v>
      </c>
      <c r="DF173" s="64">
        <f>DF93*DF147*100/$B$8</f>
        <v>0</v>
      </c>
      <c r="DG173" s="64">
        <f>DG93*DG147*100/$B$8</f>
        <v>0</v>
      </c>
      <c r="DH173" s="64">
        <f>DH93*DH147*100/$B$8</f>
        <v>0</v>
      </c>
      <c r="DI173" s="64">
        <f>DI93*DI147*100/$B$8</f>
        <v>0</v>
      </c>
      <c r="DJ173" s="64">
        <f>DJ93*DJ147*100/$B$8</f>
        <v>0</v>
      </c>
      <c r="DK173" s="64">
        <f>DK93*DK147*100/$B$8</f>
        <v>0</v>
      </c>
      <c r="DL173" s="64">
        <f>DL93*DL147*100/$B$8</f>
        <v>0</v>
      </c>
      <c r="DM173" s="64">
        <f>DM93*DM147*100/$B$8</f>
        <v>0</v>
      </c>
      <c r="DN173" s="64">
        <f>DN93*DN147*100/$B$8</f>
        <v>0</v>
      </c>
      <c r="DO173" s="64">
        <f>DO93*DO147*100/$B$8</f>
        <v>0</v>
      </c>
      <c r="DP173" s="64">
        <f>DP93*DP147*100/$B$8</f>
        <v>0</v>
      </c>
      <c r="DQ173" s="64">
        <f>DQ93*DQ147*100/$B$8</f>
        <v>0</v>
      </c>
      <c r="DR173" s="64">
        <f>DR93*DR147*100/$B$8</f>
        <v>0</v>
      </c>
      <c r="DS173" s="64">
        <f>DS93*DS147*100/$B$8</f>
        <v>0</v>
      </c>
      <c r="DT173" s="64">
        <f>DT93*DT147*100/$B$8</f>
        <v>0</v>
      </c>
      <c r="DU173" s="64">
        <f>DU93*DU147*100/$B$8</f>
        <v>0</v>
      </c>
      <c r="DV173" s="64">
        <f>DV93*DV147*100/$B$8</f>
        <v>0</v>
      </c>
      <c r="DW173" s="64">
        <f>DW93*DW147*100/$B$8</f>
        <v>0</v>
      </c>
      <c r="DX173" s="64">
        <f>DX93*DX147*100/$B$8</f>
        <v>0</v>
      </c>
      <c r="DY173" s="64">
        <f>DY93*DY147*100/$B$8</f>
        <v>0</v>
      </c>
      <c r="DZ173" s="64">
        <f>DZ93*DZ147*100/$B$8</f>
        <v>0</v>
      </c>
      <c r="EA173" s="64">
        <f>EA93*EA147*100/$B$8</f>
        <v>0</v>
      </c>
      <c r="EB173" s="64">
        <f>EB93*EB147*100/$B$8</f>
        <v>0</v>
      </c>
      <c r="EC173" s="64">
        <f>EC93*EC147*100/$B$8</f>
        <v>0</v>
      </c>
      <c r="ED173" s="64">
        <f>ED93*ED147*100/$B$8</f>
        <v>0</v>
      </c>
      <c r="EE173" s="64">
        <f>EE93*EE147*100/$B$8</f>
        <v>0</v>
      </c>
      <c r="EF173" s="64">
        <f>EF93*EF147*100/$B$8</f>
        <v>0</v>
      </c>
      <c r="EG173" s="64">
        <f>EG93*EG147*100/$B$8</f>
        <v>0</v>
      </c>
      <c r="EH173" s="64">
        <f>EH93*EH147*100/$B$8</f>
        <v>0</v>
      </c>
      <c r="EI173" s="64">
        <f>EI93*EI147*100/$B$8</f>
        <v>0</v>
      </c>
      <c r="EJ173" s="64">
        <f>EJ93*EJ147*100/$B$8</f>
        <v>0</v>
      </c>
      <c r="EK173" s="64">
        <f>EK93*EK147*100/$B$8</f>
        <v>0</v>
      </c>
      <c r="EL173" s="64">
        <f>EL93*EL147*100/$B$8</f>
        <v>0</v>
      </c>
      <c r="EM173" s="64">
        <f>EM93*EM147*100/$B$8</f>
        <v>0</v>
      </c>
      <c r="EN173" s="64">
        <f>EN93*EN147*100/$B$8</f>
        <v>0</v>
      </c>
      <c r="EO173" s="64">
        <f>EO93*EO147*100/$B$8</f>
        <v>0</v>
      </c>
      <c r="EP173" s="64">
        <f>EP93*EP147*100/$B$8</f>
        <v>0</v>
      </c>
      <c r="EQ173" s="64">
        <f>EQ93*EQ147*100/$B$8</f>
        <v>0</v>
      </c>
      <c r="ER173" s="64">
        <f>ER93*ER147*100/$B$8</f>
        <v>0</v>
      </c>
      <c r="ES173" s="64">
        <f>ES93*ES147*100/$B$8</f>
        <v>0</v>
      </c>
    </row>
    <row r="174" spans="1:149" x14ac:dyDescent="0.3">
      <c r="A174" s="37" t="s">
        <v>22</v>
      </c>
      <c r="B174" s="64">
        <f>B94*B148*100/$B$8</f>
        <v>0</v>
      </c>
      <c r="C174" s="64">
        <f>C94*C148*100/$B$8</f>
        <v>0</v>
      </c>
      <c r="D174" s="64">
        <f>D94*D148*100/$B$8</f>
        <v>0</v>
      </c>
      <c r="E174" s="64">
        <f>E94*E148*100/$B$8</f>
        <v>0</v>
      </c>
      <c r="F174" s="64">
        <f>F94*F148*100/$B$8</f>
        <v>0</v>
      </c>
      <c r="G174" s="64">
        <f>G94*G148*100/$B$8</f>
        <v>0</v>
      </c>
      <c r="H174" s="64">
        <f>H94*H148*100/$B$8</f>
        <v>0</v>
      </c>
      <c r="I174" s="64">
        <f>I94*I148*100/$B$8</f>
        <v>0</v>
      </c>
      <c r="J174" s="64">
        <f>J94*J148*100/$B$8</f>
        <v>0</v>
      </c>
      <c r="K174" s="64">
        <f>K94*K148*100/$B$8</f>
        <v>0</v>
      </c>
      <c r="L174" s="64">
        <f>L94*L148*100/$B$8</f>
        <v>0</v>
      </c>
      <c r="M174" s="64">
        <f>M94*M148*100/$B$8</f>
        <v>0</v>
      </c>
      <c r="N174" s="64">
        <f>N94*N148*100/$B$8</f>
        <v>0</v>
      </c>
      <c r="O174" s="64">
        <f>O94*O148*100/$B$8</f>
        <v>0</v>
      </c>
      <c r="P174" s="64">
        <f>P94*P148*100/$B$8</f>
        <v>0</v>
      </c>
      <c r="Q174" s="64">
        <f>Q94*Q148*100/$B$8</f>
        <v>0</v>
      </c>
      <c r="R174" s="64">
        <f>R94*R148*100/$B$8</f>
        <v>0</v>
      </c>
      <c r="S174" s="64">
        <f>S94*S148*100/$B$8</f>
        <v>0</v>
      </c>
      <c r="T174" s="64">
        <f>T94*T148*100/$B$8</f>
        <v>0</v>
      </c>
      <c r="U174" s="64">
        <f>U94*U148*100/$B$8</f>
        <v>0</v>
      </c>
      <c r="V174" s="64">
        <f>V94*V148*100/$B$8</f>
        <v>0</v>
      </c>
      <c r="W174" s="64">
        <f>W94*W148*100/$B$8</f>
        <v>0</v>
      </c>
      <c r="X174" s="64">
        <f>X94*X148*100/$B$8</f>
        <v>0</v>
      </c>
      <c r="Y174" s="64">
        <f>Y94*Y148*100/$B$8</f>
        <v>0</v>
      </c>
      <c r="Z174" s="64">
        <f>Z94*Z148*100/$B$8</f>
        <v>0</v>
      </c>
      <c r="AA174" s="64">
        <f>AA94*AA148*100/$B$8</f>
        <v>0</v>
      </c>
      <c r="AB174" s="64">
        <f>AB94*AB148*100/$B$8</f>
        <v>0</v>
      </c>
      <c r="AC174" s="64">
        <f>AC94*AC148*100/$B$8</f>
        <v>0</v>
      </c>
      <c r="AD174" s="64">
        <f>AD94*AD148*100/$B$8</f>
        <v>0</v>
      </c>
      <c r="AE174" s="64">
        <f>AE94*AE148*100/$B$8</f>
        <v>0</v>
      </c>
      <c r="AF174" s="64">
        <f>AF94*AF148*100/$B$8</f>
        <v>0</v>
      </c>
      <c r="AG174" s="64">
        <f>AG94*AG148*100/$B$8</f>
        <v>0</v>
      </c>
      <c r="AH174" s="64">
        <f>AH94*AH148*100/$B$8</f>
        <v>0</v>
      </c>
      <c r="AI174" s="64">
        <f>AI94*AI148*100/$B$8</f>
        <v>0</v>
      </c>
      <c r="AJ174" s="64">
        <f>AJ94*AJ148*100/$B$8</f>
        <v>0</v>
      </c>
      <c r="AK174" s="64">
        <f>AK94*AK148*100/$B$8</f>
        <v>0</v>
      </c>
      <c r="AL174" s="64">
        <f>AL94*AL148*100/$B$8</f>
        <v>0</v>
      </c>
      <c r="AM174" s="64">
        <f>AM94*AM148*100/$B$8</f>
        <v>0</v>
      </c>
      <c r="AN174" s="64">
        <f>AN94*AN148*100/$B$8</f>
        <v>0</v>
      </c>
      <c r="AO174" s="64">
        <f>AO94*AO148*100/$B$8</f>
        <v>0</v>
      </c>
      <c r="AP174" s="64">
        <f>AP94*AP148*100/$B$8</f>
        <v>0</v>
      </c>
      <c r="AQ174" s="64">
        <f>AQ94*AQ148*100/$B$8</f>
        <v>0</v>
      </c>
      <c r="AR174" s="64">
        <f>AR94*AR148*100/$B$8</f>
        <v>0</v>
      </c>
      <c r="AS174" s="64">
        <f>AS94*AS148*100/$B$8</f>
        <v>0</v>
      </c>
      <c r="AT174" s="64">
        <f>AT94*AT148*100/$B$8</f>
        <v>0</v>
      </c>
      <c r="AU174" s="64">
        <f>AU94*AU148*100/$B$8</f>
        <v>0</v>
      </c>
      <c r="AV174" s="64">
        <f>AV94*AV148*100/$B$8</f>
        <v>0</v>
      </c>
      <c r="AW174" s="64">
        <f>AW94*AW148*100/$B$8</f>
        <v>0</v>
      </c>
      <c r="AX174" s="64">
        <f>AX94*AX148*100/$B$8</f>
        <v>0</v>
      </c>
      <c r="AY174" s="64">
        <f>AY94*AY148*100/$B$8</f>
        <v>0</v>
      </c>
      <c r="AZ174" s="64">
        <f>AZ94*AZ148*100/$B$8</f>
        <v>1.3062908215881746</v>
      </c>
      <c r="BA174" s="64">
        <f>BA94*BA148*100/$B$8</f>
        <v>0</v>
      </c>
      <c r="BB174" s="64">
        <f>BB94*BB148*100/$B$8</f>
        <v>6.8752148504640773E-2</v>
      </c>
      <c r="BC174" s="64">
        <f>BC94*BC148*100/$B$8</f>
        <v>2.0281883808869026</v>
      </c>
      <c r="BD174" s="64">
        <f>BD94*BD148*100/$B$8</f>
        <v>0</v>
      </c>
      <c r="BE174" s="64">
        <f>BE94*BE148*100/$B$8</f>
        <v>0</v>
      </c>
      <c r="BF174" s="64">
        <f>BF94*BF148*100/$B$8</f>
        <v>0</v>
      </c>
      <c r="BG174" s="64">
        <f>BG94*BG148*100/$B$8</f>
        <v>0</v>
      </c>
      <c r="BH174" s="64">
        <f>BH94*BH148*100/$B$8</f>
        <v>0</v>
      </c>
      <c r="BI174" s="64">
        <f>BI94*BI148*100/$B$8</f>
        <v>0</v>
      </c>
      <c r="BJ174" s="64">
        <f>BJ94*BJ148*100/$B$8</f>
        <v>0</v>
      </c>
      <c r="BK174" s="64">
        <f>BK94*BK148*100/$B$8</f>
        <v>0</v>
      </c>
      <c r="BL174" s="64">
        <f>BL94*BL148*100/$B$8</f>
        <v>0</v>
      </c>
      <c r="BM174" s="64">
        <f>BM94*BM148*100/$B$8</f>
        <v>0</v>
      </c>
      <c r="BN174" s="64">
        <f>BN94*BN148*100/$B$8</f>
        <v>12.375386730835338</v>
      </c>
      <c r="BO174" s="64">
        <f>BO94*BO148*100/$B$8</f>
        <v>0</v>
      </c>
      <c r="BP174" s="64">
        <f>BP94*BP148*100/$B$8</f>
        <v>0</v>
      </c>
      <c r="BQ174" s="64">
        <f>BQ94*BQ148*100/$B$8</f>
        <v>0</v>
      </c>
      <c r="BR174" s="64">
        <f>BR94*BR148*100/$B$8</f>
        <v>0</v>
      </c>
      <c r="BS174" s="64">
        <f>BS94*BS148*100/$B$8</f>
        <v>0</v>
      </c>
      <c r="BT174" s="64">
        <f>BT94*BT148*100/$B$8</f>
        <v>0</v>
      </c>
      <c r="BU174" s="64">
        <f>BU94*BU148*100/$B$8</f>
        <v>0</v>
      </c>
      <c r="BV174" s="64">
        <f>BV94*BV148*100/$B$8</f>
        <v>0</v>
      </c>
      <c r="BW174" s="64">
        <f>BW94*BW148*100/$B$8</f>
        <v>0</v>
      </c>
      <c r="BX174" s="64">
        <f>BX94*BX148*100/$B$8</f>
        <v>0</v>
      </c>
      <c r="BY174" s="64">
        <f>BY94*BY148*100/$B$8</f>
        <v>0</v>
      </c>
      <c r="BZ174" s="64">
        <f>BZ94*BZ148*100/$B$8</f>
        <v>0</v>
      </c>
      <c r="CA174" s="64">
        <f>CA94*CA148*100/$B$8</f>
        <v>0</v>
      </c>
      <c r="CB174" s="64">
        <f>CB94*CB148*100/$B$8</f>
        <v>0.92815400481265042</v>
      </c>
      <c r="CC174" s="64">
        <f>CC94*CC148*100/$B$8</f>
        <v>0</v>
      </c>
      <c r="CD174" s="64">
        <f>CD94*CD148*100/$B$8</f>
        <v>0</v>
      </c>
      <c r="CE174" s="64">
        <f>CE94*CE148*100/$B$8</f>
        <v>0</v>
      </c>
      <c r="CF174" s="64">
        <f>CF94*CF148*100/$B$8</f>
        <v>0</v>
      </c>
      <c r="CG174" s="64">
        <f>CG94*CG148*100/$B$8</f>
        <v>0</v>
      </c>
      <c r="CH174" s="64">
        <f>CH94*CH148*100/$B$8</f>
        <v>0</v>
      </c>
      <c r="CI174" s="64">
        <f>CI94*CI148*100/$B$8</f>
        <v>0</v>
      </c>
      <c r="CJ174" s="64">
        <f>CJ94*CJ148*100/$B$8</f>
        <v>0</v>
      </c>
      <c r="CK174" s="64">
        <f>CK94*CK148*100/$B$8</f>
        <v>0</v>
      </c>
      <c r="CL174" s="64">
        <f>CL94*CL148*100/$B$8</f>
        <v>0</v>
      </c>
      <c r="CM174" s="64">
        <f>CM94*CM148*100/$B$8</f>
        <v>0</v>
      </c>
      <c r="CN174" s="64">
        <f>CN94*CN148*100/$B$8</f>
        <v>0</v>
      </c>
      <c r="CO174" s="64">
        <f>CO94*CO148*100/$B$8</f>
        <v>0</v>
      </c>
      <c r="CP174" s="64">
        <f>CP94*CP148*100/$B$8</f>
        <v>0</v>
      </c>
      <c r="CQ174" s="64">
        <f>CQ94*CQ148*100/$B$8</f>
        <v>0</v>
      </c>
      <c r="CR174" s="64">
        <f>CR94*CR148*100/$B$8</f>
        <v>0</v>
      </c>
      <c r="CS174" s="64">
        <f>CS94*CS148*100/$B$8</f>
        <v>0</v>
      </c>
      <c r="CT174" s="64">
        <f>CT94*CT148*100/$B$8</f>
        <v>0</v>
      </c>
      <c r="CU174" s="64">
        <f>CU94*CU148*100/$B$8</f>
        <v>0</v>
      </c>
      <c r="CV174" s="64">
        <f>CV94*CV148*100/$B$8</f>
        <v>0</v>
      </c>
      <c r="CW174" s="64">
        <f>CW94*CW148*100/$B$8</f>
        <v>0</v>
      </c>
      <c r="CX174" s="64">
        <f>CX94*CX148*100/$B$8</f>
        <v>0</v>
      </c>
      <c r="CY174" s="64">
        <f>CY94*CY148*100/$B$8</f>
        <v>0</v>
      </c>
      <c r="CZ174" s="64">
        <f>CZ94*CZ148*100/$B$8</f>
        <v>0</v>
      </c>
      <c r="DA174" s="64">
        <f>DA94*DA148*100/$B$8</f>
        <v>0</v>
      </c>
      <c r="DB174" s="64">
        <f>DB94*DB148*100/$B$8</f>
        <v>0</v>
      </c>
      <c r="DC174" s="64">
        <f>DC94*DC148*100/$B$8</f>
        <v>0</v>
      </c>
      <c r="DD174" s="64">
        <f>DD94*DD148*100/$B$8</f>
        <v>0</v>
      </c>
      <c r="DE174" s="64">
        <f>DE94*DE148*100/$B$8</f>
        <v>0</v>
      </c>
      <c r="DF174" s="64">
        <f>DF94*DF148*100/$B$8</f>
        <v>0</v>
      </c>
      <c r="DG174" s="64">
        <f>DG94*DG148*100/$B$8</f>
        <v>0</v>
      </c>
      <c r="DH174" s="64">
        <f>DH94*DH148*100/$B$8</f>
        <v>0</v>
      </c>
      <c r="DI174" s="64">
        <f>DI94*DI148*100/$B$8</f>
        <v>0</v>
      </c>
      <c r="DJ174" s="64">
        <f>DJ94*DJ148*100/$B$8</f>
        <v>0</v>
      </c>
      <c r="DK174" s="64">
        <f>DK94*DK148*100/$B$8</f>
        <v>0</v>
      </c>
      <c r="DL174" s="64">
        <f>DL94*DL148*100/$B$8</f>
        <v>0</v>
      </c>
      <c r="DM174" s="64">
        <f>DM94*DM148*100/$B$8</f>
        <v>0</v>
      </c>
      <c r="DN174" s="64">
        <f>DN94*DN148*100/$B$8</f>
        <v>0</v>
      </c>
      <c r="DO174" s="64">
        <f>DO94*DO148*100/$B$8</f>
        <v>0</v>
      </c>
      <c r="DP174" s="64">
        <f>DP94*DP148*100/$B$8</f>
        <v>0</v>
      </c>
      <c r="DQ174" s="64">
        <f>DQ94*DQ148*100/$B$8</f>
        <v>0</v>
      </c>
      <c r="DR174" s="64">
        <f>DR94*DR148*100/$B$8</f>
        <v>0</v>
      </c>
      <c r="DS174" s="64">
        <f>DS94*DS148*100/$B$8</f>
        <v>0</v>
      </c>
      <c r="DT174" s="64">
        <f>DT94*DT148*100/$B$8</f>
        <v>0</v>
      </c>
      <c r="DU174" s="64">
        <f>DU94*DU148*100/$B$8</f>
        <v>0</v>
      </c>
      <c r="DV174" s="64">
        <f>DV94*DV148*100/$B$8</f>
        <v>0</v>
      </c>
      <c r="DW174" s="64">
        <f>DW94*DW148*100/$B$8</f>
        <v>0</v>
      </c>
      <c r="DX174" s="64">
        <f>DX94*DX148*100/$B$8</f>
        <v>0</v>
      </c>
      <c r="DY174" s="64">
        <f>DY94*DY148*100/$B$8</f>
        <v>0</v>
      </c>
      <c r="DZ174" s="64">
        <f>DZ94*DZ148*100/$B$8</f>
        <v>0</v>
      </c>
      <c r="EA174" s="64">
        <f>EA94*EA148*100/$B$8</f>
        <v>0</v>
      </c>
      <c r="EB174" s="64">
        <f>EB94*EB148*100/$B$8</f>
        <v>0</v>
      </c>
      <c r="EC174" s="64">
        <f>EC94*EC148*100/$B$8</f>
        <v>0</v>
      </c>
      <c r="ED174" s="64">
        <f>ED94*ED148*100/$B$8</f>
        <v>0</v>
      </c>
      <c r="EE174" s="64">
        <f>EE94*EE148*100/$B$8</f>
        <v>0</v>
      </c>
      <c r="EF174" s="64">
        <f>EF94*EF148*100/$B$8</f>
        <v>0</v>
      </c>
      <c r="EG174" s="64">
        <f>EG94*EG148*100/$B$8</f>
        <v>0</v>
      </c>
      <c r="EH174" s="64">
        <f>EH94*EH148*100/$B$8</f>
        <v>0</v>
      </c>
      <c r="EI174" s="64">
        <f>EI94*EI148*100/$B$8</f>
        <v>0</v>
      </c>
      <c r="EJ174" s="64">
        <f>EJ94*EJ148*100/$B$8</f>
        <v>1.2719147473358543</v>
      </c>
      <c r="EK174" s="64">
        <f>EK94*EK148*100/$B$8</f>
        <v>0</v>
      </c>
      <c r="EL174" s="64">
        <f>EL94*EL148*100/$B$8</f>
        <v>0</v>
      </c>
      <c r="EM174" s="64">
        <f>EM94*EM148*100/$B$8</f>
        <v>0</v>
      </c>
      <c r="EN174" s="64">
        <f>EN94*EN148*100/$B$8</f>
        <v>0</v>
      </c>
      <c r="EO174" s="64">
        <f>EO94*EO148*100/$B$8</f>
        <v>0</v>
      </c>
      <c r="EP174" s="64">
        <f>EP94*EP148*100/$B$8</f>
        <v>0</v>
      </c>
      <c r="EQ174" s="64">
        <f>EQ94*EQ148*100/$B$8</f>
        <v>0</v>
      </c>
      <c r="ER174" s="64">
        <f>ER94*ER148*100/$B$8</f>
        <v>0.55001718803712618</v>
      </c>
      <c r="ES174" s="64">
        <f>ES94*ES148*100/$B$8</f>
        <v>0</v>
      </c>
    </row>
    <row r="175" spans="1:149" x14ac:dyDescent="0.3">
      <c r="A175" s="37" t="s">
        <v>7</v>
      </c>
      <c r="B175" s="64">
        <f>B95*B149*100/$B$8</f>
        <v>0</v>
      </c>
      <c r="C175" s="64">
        <f>C95*C149*100/$B$8</f>
        <v>0</v>
      </c>
      <c r="D175" s="64">
        <f>D95*D149*100/$B$8</f>
        <v>0</v>
      </c>
      <c r="E175" s="64">
        <f>E95*E149*100/$B$8</f>
        <v>0</v>
      </c>
      <c r="F175" s="64">
        <f>F95*F149*100/$B$8</f>
        <v>0</v>
      </c>
      <c r="G175" s="64">
        <f>G95*G149*100/$B$8</f>
        <v>0</v>
      </c>
      <c r="H175" s="64">
        <f>H95*H149*100/$B$8</f>
        <v>0</v>
      </c>
      <c r="I175" s="64">
        <f>I95*I149*100/$B$8</f>
        <v>0</v>
      </c>
      <c r="J175" s="64">
        <f>J95*J149*100/$B$8</f>
        <v>0</v>
      </c>
      <c r="K175" s="64">
        <f>K95*K149*100/$B$8</f>
        <v>0</v>
      </c>
      <c r="L175" s="64">
        <f>L95*L149*100/$B$8</f>
        <v>0</v>
      </c>
      <c r="M175" s="64">
        <f>M95*M149*100/$B$8</f>
        <v>0</v>
      </c>
      <c r="N175" s="64">
        <f>N95*N149*100/$B$8</f>
        <v>0</v>
      </c>
      <c r="O175" s="64">
        <f>O95*O149*100/$B$8</f>
        <v>0</v>
      </c>
      <c r="P175" s="64">
        <f>P95*P149*100/$B$8</f>
        <v>0</v>
      </c>
      <c r="Q175" s="64">
        <f>Q95*Q149*100/$B$8</f>
        <v>0</v>
      </c>
      <c r="R175" s="64">
        <f>R95*R149*100/$B$8</f>
        <v>0</v>
      </c>
      <c r="S175" s="64">
        <f>S95*S149*100/$B$8</f>
        <v>0</v>
      </c>
      <c r="T175" s="64">
        <f>T95*T149*100/$B$8</f>
        <v>0</v>
      </c>
      <c r="U175" s="64">
        <f>U95*U149*100/$B$8</f>
        <v>0</v>
      </c>
      <c r="V175" s="64">
        <f>V95*V149*100/$B$8</f>
        <v>0</v>
      </c>
      <c r="W175" s="64">
        <f>W95*W149*100/$B$8</f>
        <v>0</v>
      </c>
      <c r="X175" s="64">
        <f>X95*X149*100/$B$8</f>
        <v>0</v>
      </c>
      <c r="Y175" s="64">
        <f>Y95*Y149*100/$B$8</f>
        <v>0</v>
      </c>
      <c r="Z175" s="64">
        <f>Z95*Z149*100/$B$8</f>
        <v>0</v>
      </c>
      <c r="AA175" s="64">
        <f>AA95*AA149*100/$B$8</f>
        <v>0</v>
      </c>
      <c r="AB175" s="64">
        <f>AB95*AB149*100/$B$8</f>
        <v>0</v>
      </c>
      <c r="AC175" s="64">
        <f>AC95*AC149*100/$B$8</f>
        <v>0</v>
      </c>
      <c r="AD175" s="64">
        <f>AD95*AD149*100/$B$8</f>
        <v>0</v>
      </c>
      <c r="AE175" s="64">
        <f>AE95*AE149*100/$B$8</f>
        <v>0</v>
      </c>
      <c r="AF175" s="64">
        <f>AF95*AF149*100/$B$8</f>
        <v>0</v>
      </c>
      <c r="AG175" s="64">
        <f>AG95*AG149*100/$B$8</f>
        <v>0</v>
      </c>
      <c r="AH175" s="64">
        <f>AH95*AH149*100/$B$8</f>
        <v>0</v>
      </c>
      <c r="AI175" s="64">
        <f>AI95*AI149*100/$B$8</f>
        <v>0</v>
      </c>
      <c r="AJ175" s="64">
        <f>AJ95*AJ149*100/$B$8</f>
        <v>0</v>
      </c>
      <c r="AK175" s="64">
        <f>AK95*AK149*100/$B$8</f>
        <v>0</v>
      </c>
      <c r="AL175" s="64">
        <f>AL95*AL149*100/$B$8</f>
        <v>0</v>
      </c>
      <c r="AM175" s="64">
        <f>AM95*AM149*100/$B$8</f>
        <v>0</v>
      </c>
      <c r="AN175" s="64">
        <f>AN95*AN149*100/$B$8</f>
        <v>0</v>
      </c>
      <c r="AO175" s="64">
        <f>AO95*AO149*100/$B$8</f>
        <v>0</v>
      </c>
      <c r="AP175" s="64">
        <f>AP95*AP149*100/$B$8</f>
        <v>0</v>
      </c>
      <c r="AQ175" s="64">
        <f>AQ95*AQ149*100/$B$8</f>
        <v>0</v>
      </c>
      <c r="AR175" s="64">
        <f>AR95*AR149*100/$B$8</f>
        <v>0</v>
      </c>
      <c r="AS175" s="64">
        <f>AS95*AS149*100/$B$8</f>
        <v>0</v>
      </c>
      <c r="AT175" s="64">
        <f>AT95*AT149*100/$B$8</f>
        <v>0</v>
      </c>
      <c r="AU175" s="64">
        <f>AU95*AU149*100/$B$8</f>
        <v>0</v>
      </c>
      <c r="AV175" s="64">
        <f>AV95*AV149*100/$B$8</f>
        <v>0</v>
      </c>
      <c r="AW175" s="64">
        <f>AW95*AW149*100/$B$8</f>
        <v>0</v>
      </c>
      <c r="AX175" s="64">
        <f>AX95*AX149*100/$B$8</f>
        <v>0</v>
      </c>
      <c r="AY175" s="64">
        <f>AY95*AY149*100/$B$8</f>
        <v>0</v>
      </c>
      <c r="AZ175" s="64">
        <f>AZ95*AZ149*100/$B$8</f>
        <v>0</v>
      </c>
      <c r="BA175" s="64">
        <f>BA95*BA149*100/$B$8</f>
        <v>0</v>
      </c>
      <c r="BB175" s="64">
        <f>BB95*BB149*100/$B$8</f>
        <v>0</v>
      </c>
      <c r="BC175" s="64">
        <f>BC95*BC149*100/$B$8</f>
        <v>0</v>
      </c>
      <c r="BD175" s="64">
        <f>BD95*BD149*100/$B$8</f>
        <v>0</v>
      </c>
      <c r="BE175" s="64">
        <f>BE95*BE149*100/$B$8</f>
        <v>0</v>
      </c>
      <c r="BF175" s="64">
        <f>BF95*BF149*100/$B$8</f>
        <v>0</v>
      </c>
      <c r="BG175" s="64">
        <f>BG95*BG149*100/$B$8</f>
        <v>0</v>
      </c>
      <c r="BH175" s="64">
        <f>BH95*BH149*100/$B$8</f>
        <v>0</v>
      </c>
      <c r="BI175" s="64">
        <f>BI95*BI149*100/$B$8</f>
        <v>0</v>
      </c>
      <c r="BJ175" s="64">
        <f>BJ95*BJ149*100/$B$8</f>
        <v>0</v>
      </c>
      <c r="BK175" s="64">
        <f>BK95*BK149*100/$B$8</f>
        <v>0</v>
      </c>
      <c r="BL175" s="64">
        <f>BL95*BL149*100/$B$8</f>
        <v>0</v>
      </c>
      <c r="BM175" s="64">
        <f>BM95*BM149*100/$B$8</f>
        <v>0</v>
      </c>
      <c r="BN175" s="64">
        <f>BN95*BN149*100/$B$8</f>
        <v>0</v>
      </c>
      <c r="BO175" s="64">
        <f>BO95*BO149*100/$B$8</f>
        <v>0</v>
      </c>
      <c r="BP175" s="64">
        <f>BP95*BP149*100/$B$8</f>
        <v>0</v>
      </c>
      <c r="BQ175" s="64">
        <f>BQ95*BQ149*100/$B$8</f>
        <v>0</v>
      </c>
      <c r="BR175" s="64">
        <f>BR95*BR149*100/$B$8</f>
        <v>0</v>
      </c>
      <c r="BS175" s="64">
        <f>BS95*BS149*100/$B$8</f>
        <v>0</v>
      </c>
      <c r="BT175" s="64">
        <f>BT95*BT149*100/$B$8</f>
        <v>0</v>
      </c>
      <c r="BU175" s="64">
        <f>BU95*BU149*100/$B$8</f>
        <v>0</v>
      </c>
      <c r="BV175" s="64">
        <f>BV95*BV149*100/$B$8</f>
        <v>0</v>
      </c>
      <c r="BW175" s="64">
        <f>BW95*BW149*100/$B$8</f>
        <v>0</v>
      </c>
      <c r="BX175" s="64">
        <f>BX95*BX149*100/$B$8</f>
        <v>0</v>
      </c>
      <c r="BY175" s="64">
        <f>BY95*BY149*100/$B$8</f>
        <v>0</v>
      </c>
      <c r="BZ175" s="64">
        <f>BZ95*BZ149*100/$B$8</f>
        <v>0</v>
      </c>
      <c r="CA175" s="64">
        <f>CA95*CA149*100/$B$8</f>
        <v>0</v>
      </c>
      <c r="CB175" s="64">
        <f>CB95*CB149*100/$B$8</f>
        <v>0</v>
      </c>
      <c r="CC175" s="64">
        <f>CC95*CC149*100/$B$8</f>
        <v>0</v>
      </c>
      <c r="CD175" s="64">
        <f>CD95*CD149*100/$B$8</f>
        <v>0</v>
      </c>
      <c r="CE175" s="64">
        <f>CE95*CE149*100/$B$8</f>
        <v>0</v>
      </c>
      <c r="CF175" s="64">
        <f>CF95*CF149*100/$B$8</f>
        <v>0</v>
      </c>
      <c r="CG175" s="64">
        <f>CG95*CG149*100/$B$8</f>
        <v>0</v>
      </c>
      <c r="CH175" s="64">
        <f>CH95*CH149*100/$B$8</f>
        <v>0</v>
      </c>
      <c r="CI175" s="64">
        <f>CI95*CI149*100/$B$8</f>
        <v>0</v>
      </c>
      <c r="CJ175" s="64">
        <f>CJ95*CJ149*100/$B$8</f>
        <v>0</v>
      </c>
      <c r="CK175" s="64">
        <f>CK95*CK149*100/$B$8</f>
        <v>0</v>
      </c>
      <c r="CL175" s="64">
        <f>CL95*CL149*100/$B$8</f>
        <v>0</v>
      </c>
      <c r="CM175" s="64">
        <f>CM95*CM149*100/$B$8</f>
        <v>0</v>
      </c>
      <c r="CN175" s="64">
        <f>CN95*CN149*100/$B$8</f>
        <v>0</v>
      </c>
      <c r="CO175" s="64">
        <f>CO95*CO149*100/$B$8</f>
        <v>0</v>
      </c>
      <c r="CP175" s="64">
        <f>CP95*CP149*100/$B$8</f>
        <v>0</v>
      </c>
      <c r="CQ175" s="64">
        <f>CQ95*CQ149*100/$B$8</f>
        <v>0</v>
      </c>
      <c r="CR175" s="64">
        <f>CR95*CR149*100/$B$8</f>
        <v>0</v>
      </c>
      <c r="CS175" s="64">
        <f>CS95*CS149*100/$B$8</f>
        <v>0</v>
      </c>
      <c r="CT175" s="64">
        <f>CT95*CT149*100/$B$8</f>
        <v>0</v>
      </c>
      <c r="CU175" s="64">
        <f>CU95*CU149*100/$B$8</f>
        <v>0</v>
      </c>
      <c r="CV175" s="64">
        <f>CV95*CV149*100/$B$8</f>
        <v>0</v>
      </c>
      <c r="CW175" s="64">
        <f>CW95*CW149*100/$B$8</f>
        <v>0</v>
      </c>
      <c r="CX175" s="64">
        <f>CX95*CX149*100/$B$8</f>
        <v>0</v>
      </c>
      <c r="CY175" s="64">
        <f>CY95*CY149*100/$B$8</f>
        <v>0</v>
      </c>
      <c r="CZ175" s="64">
        <f>CZ95*CZ149*100/$B$8</f>
        <v>0</v>
      </c>
      <c r="DA175" s="64">
        <f>DA95*DA149*100/$B$8</f>
        <v>0</v>
      </c>
      <c r="DB175" s="64">
        <f>DB95*DB149*100/$B$8</f>
        <v>0</v>
      </c>
      <c r="DC175" s="64">
        <f>DC95*DC149*100/$B$8</f>
        <v>0</v>
      </c>
      <c r="DD175" s="64">
        <f>DD95*DD149*100/$B$8</f>
        <v>0</v>
      </c>
      <c r="DE175" s="64">
        <f>DE95*DE149*100/$B$8</f>
        <v>0</v>
      </c>
      <c r="DF175" s="64">
        <f>DF95*DF149*100/$B$8</f>
        <v>0</v>
      </c>
      <c r="DG175" s="64">
        <f>DG95*DG149*100/$B$8</f>
        <v>0</v>
      </c>
      <c r="DH175" s="64">
        <f>DH95*DH149*100/$B$8</f>
        <v>0</v>
      </c>
      <c r="DI175" s="64">
        <f>DI95*DI149*100/$B$8</f>
        <v>0</v>
      </c>
      <c r="DJ175" s="64">
        <f>DJ95*DJ149*100/$B$8</f>
        <v>0</v>
      </c>
      <c r="DK175" s="64">
        <f>DK95*DK149*100/$B$8</f>
        <v>0</v>
      </c>
      <c r="DL175" s="64">
        <f>DL95*DL149*100/$B$8</f>
        <v>0</v>
      </c>
      <c r="DM175" s="64">
        <f>DM95*DM149*100/$B$8</f>
        <v>0</v>
      </c>
      <c r="DN175" s="64">
        <f>DN95*DN149*100/$B$8</f>
        <v>0</v>
      </c>
      <c r="DO175" s="64">
        <f>DO95*DO149*100/$B$8</f>
        <v>0</v>
      </c>
      <c r="DP175" s="64">
        <f>DP95*DP149*100/$B$8</f>
        <v>0</v>
      </c>
      <c r="DQ175" s="64">
        <f>DQ95*DQ149*100/$B$8</f>
        <v>0</v>
      </c>
      <c r="DR175" s="64">
        <f>DR95*DR149*100/$B$8</f>
        <v>0</v>
      </c>
      <c r="DS175" s="64">
        <f>DS95*DS149*100/$B$8</f>
        <v>0</v>
      </c>
      <c r="DT175" s="64">
        <f>DT95*DT149*100/$B$8</f>
        <v>0</v>
      </c>
      <c r="DU175" s="64">
        <f>DU95*DU149*100/$B$8</f>
        <v>0</v>
      </c>
      <c r="DV175" s="64">
        <f>DV95*DV149*100/$B$8</f>
        <v>0</v>
      </c>
      <c r="DW175" s="64">
        <f>DW95*DW149*100/$B$8</f>
        <v>0</v>
      </c>
      <c r="DX175" s="64">
        <f>DX95*DX149*100/$B$8</f>
        <v>0</v>
      </c>
      <c r="DY175" s="64">
        <f>DY95*DY149*100/$B$8</f>
        <v>0</v>
      </c>
      <c r="DZ175" s="64">
        <f>DZ95*DZ149*100/$B$8</f>
        <v>0</v>
      </c>
      <c r="EA175" s="64">
        <f>EA95*EA149*100/$B$8</f>
        <v>0</v>
      </c>
      <c r="EB175" s="64">
        <f>EB95*EB149*100/$B$8</f>
        <v>0</v>
      </c>
      <c r="EC175" s="64">
        <f>EC95*EC149*100/$B$8</f>
        <v>0</v>
      </c>
      <c r="ED175" s="64">
        <f>ED95*ED149*100/$B$8</f>
        <v>0</v>
      </c>
      <c r="EE175" s="64">
        <f>EE95*EE149*100/$B$8</f>
        <v>0</v>
      </c>
      <c r="EF175" s="64">
        <f>EF95*EF149*100/$B$8</f>
        <v>0</v>
      </c>
      <c r="EG175" s="64">
        <f>EG95*EG149*100/$B$8</f>
        <v>0</v>
      </c>
      <c r="EH175" s="64">
        <f>EH95*EH149*100/$B$8</f>
        <v>0</v>
      </c>
      <c r="EI175" s="64">
        <f>EI95*EI149*100/$B$8</f>
        <v>0</v>
      </c>
      <c r="EJ175" s="64">
        <f>EJ95*EJ149*100/$B$8</f>
        <v>0</v>
      </c>
      <c r="EK175" s="64">
        <f>EK95*EK149*100/$B$8</f>
        <v>0</v>
      </c>
      <c r="EL175" s="64">
        <f>EL95*EL149*100/$B$8</f>
        <v>0</v>
      </c>
      <c r="EM175" s="64">
        <f>EM95*EM149*100/$B$8</f>
        <v>0</v>
      </c>
      <c r="EN175" s="64">
        <f>EN95*EN149*100/$B$8</f>
        <v>0</v>
      </c>
      <c r="EO175" s="64">
        <f>EO95*EO149*100/$B$8</f>
        <v>0</v>
      </c>
      <c r="EP175" s="64">
        <f>EP95*EP149*100/$B$8</f>
        <v>0</v>
      </c>
      <c r="EQ175" s="64">
        <f>EQ95*EQ149*100/$B$8</f>
        <v>0</v>
      </c>
      <c r="ER175" s="64">
        <f>ER95*ER149*100/$B$8</f>
        <v>0</v>
      </c>
      <c r="ES175" s="64">
        <f>ES95*ES149*100/$B$8</f>
        <v>0</v>
      </c>
    </row>
    <row r="176" spans="1:149" x14ac:dyDescent="0.3">
      <c r="A176" s="37" t="s">
        <v>18</v>
      </c>
      <c r="B176" s="64">
        <f>B96*B150*100/$B$8</f>
        <v>0</v>
      </c>
      <c r="C176" s="64">
        <f>C96*C150*100/$B$8</f>
        <v>0</v>
      </c>
      <c r="D176" s="64">
        <f>D96*D150*100/$B$8</f>
        <v>0</v>
      </c>
      <c r="E176" s="64">
        <f>E96*E150*100/$B$8</f>
        <v>0</v>
      </c>
      <c r="F176" s="64">
        <f>F96*F150*100/$B$8</f>
        <v>0</v>
      </c>
      <c r="G176" s="64">
        <f>G96*G150*100/$B$8</f>
        <v>0</v>
      </c>
      <c r="H176" s="64">
        <f>H96*H150*100/$B$8</f>
        <v>0</v>
      </c>
      <c r="I176" s="64">
        <f>I96*I150*100/$B$8</f>
        <v>0</v>
      </c>
      <c r="J176" s="64">
        <f>J96*J150*100/$B$8</f>
        <v>0</v>
      </c>
      <c r="K176" s="64">
        <f>K96*K150*100/$B$8</f>
        <v>0</v>
      </c>
      <c r="L176" s="64">
        <f>L96*L150*100/$B$8</f>
        <v>0</v>
      </c>
      <c r="M176" s="64">
        <f>M96*M150*100/$B$8</f>
        <v>0</v>
      </c>
      <c r="N176" s="64">
        <f>N96*N150*100/$B$8</f>
        <v>0</v>
      </c>
      <c r="O176" s="64">
        <f>O96*O150*100/$B$8</f>
        <v>0</v>
      </c>
      <c r="P176" s="64">
        <f>P96*P150*100/$B$8</f>
        <v>0</v>
      </c>
      <c r="Q176" s="64">
        <f>Q96*Q150*100/$B$8</f>
        <v>0</v>
      </c>
      <c r="R176" s="64">
        <f>R96*R150*100/$B$8</f>
        <v>0</v>
      </c>
      <c r="S176" s="64">
        <f>S96*S150*100/$B$8</f>
        <v>0</v>
      </c>
      <c r="T176" s="64">
        <f>T96*T150*100/$B$8</f>
        <v>0</v>
      </c>
      <c r="U176" s="64">
        <f>U96*U150*100/$B$8</f>
        <v>0</v>
      </c>
      <c r="V176" s="64">
        <f>V96*V150*100/$B$8</f>
        <v>0</v>
      </c>
      <c r="W176" s="64">
        <f>W96*W150*100/$B$8</f>
        <v>0</v>
      </c>
      <c r="X176" s="64">
        <f>X96*X150*100/$B$8</f>
        <v>0</v>
      </c>
      <c r="Y176" s="64">
        <f>Y96*Y150*100/$B$8</f>
        <v>0</v>
      </c>
      <c r="Z176" s="64">
        <f>Z96*Z150*100/$B$8</f>
        <v>0</v>
      </c>
      <c r="AA176" s="64">
        <f>AA96*AA150*100/$B$8</f>
        <v>0.48126503953248539</v>
      </c>
      <c r="AB176" s="64">
        <f>AB96*AB150*100/$B$8</f>
        <v>0</v>
      </c>
      <c r="AC176" s="64">
        <f>AC96*AC150*100/$B$8</f>
        <v>0</v>
      </c>
      <c r="AD176" s="64">
        <f>AD96*AD150*100/$B$8</f>
        <v>0</v>
      </c>
      <c r="AE176" s="64">
        <f>AE96*AE150*100/$B$8</f>
        <v>0</v>
      </c>
      <c r="AF176" s="64">
        <f>AF96*AF150*100/$B$8</f>
        <v>0</v>
      </c>
      <c r="AG176" s="64">
        <f>AG96*AG150*100/$B$8</f>
        <v>0</v>
      </c>
      <c r="AH176" s="64">
        <f>AH96*AH150*100/$B$8</f>
        <v>0</v>
      </c>
      <c r="AI176" s="64">
        <f>AI96*AI150*100/$B$8</f>
        <v>0</v>
      </c>
      <c r="AJ176" s="64">
        <f>AJ96*AJ150*100/$B$8</f>
        <v>0</v>
      </c>
      <c r="AK176" s="64">
        <f>AK96*AK150*100/$B$8</f>
        <v>0</v>
      </c>
      <c r="AL176" s="64">
        <f>AL96*AL150*100/$B$8</f>
        <v>0</v>
      </c>
      <c r="AM176" s="64">
        <f>AM96*AM150*100/$B$8</f>
        <v>0</v>
      </c>
      <c r="AN176" s="64">
        <f>AN96*AN150*100/$B$8</f>
        <v>0</v>
      </c>
      <c r="AO176" s="64">
        <f>AO96*AO150*100/$B$8</f>
        <v>0</v>
      </c>
      <c r="AP176" s="64">
        <f>AP96*AP150*100/$B$8</f>
        <v>0</v>
      </c>
      <c r="AQ176" s="64">
        <f>AQ96*AQ150*100/$B$8</f>
        <v>0</v>
      </c>
      <c r="AR176" s="64">
        <f>AR96*AR150*100/$B$8</f>
        <v>0</v>
      </c>
      <c r="AS176" s="64">
        <f>AS96*AS150*100/$B$8</f>
        <v>0</v>
      </c>
      <c r="AT176" s="64">
        <f>AT96*AT150*100/$B$8</f>
        <v>0</v>
      </c>
      <c r="AU176" s="64">
        <f>AU96*AU150*100/$B$8</f>
        <v>0</v>
      </c>
      <c r="AV176" s="64">
        <f>AV96*AV150*100/$B$8</f>
        <v>0</v>
      </c>
      <c r="AW176" s="64">
        <f>AW96*AW150*100/$B$8</f>
        <v>0</v>
      </c>
      <c r="AX176" s="64">
        <f>AX96*AX150*100/$B$8</f>
        <v>0</v>
      </c>
      <c r="AY176" s="64">
        <f>AY96*AY150*100/$B$8</f>
        <v>0</v>
      </c>
      <c r="AZ176" s="64">
        <f>AZ96*AZ150*100/$B$8</f>
        <v>0</v>
      </c>
      <c r="BA176" s="64">
        <f>BA96*BA150*100/$B$8</f>
        <v>0</v>
      </c>
      <c r="BB176" s="64">
        <f>BB96*BB150*100/$B$8</f>
        <v>0</v>
      </c>
      <c r="BC176" s="64">
        <f>BC96*BC150*100/$B$8</f>
        <v>0</v>
      </c>
      <c r="BD176" s="64">
        <f>BD96*BD150*100/$B$8</f>
        <v>0</v>
      </c>
      <c r="BE176" s="64">
        <f>BE96*BE150*100/$B$8</f>
        <v>0</v>
      </c>
      <c r="BF176" s="64">
        <f>BF96*BF150*100/$B$8</f>
        <v>0</v>
      </c>
      <c r="BG176" s="64">
        <f>BG96*BG150*100/$B$8</f>
        <v>0</v>
      </c>
      <c r="BH176" s="64">
        <f>BH96*BH150*100/$B$8</f>
        <v>0</v>
      </c>
      <c r="BI176" s="64">
        <f>BI96*BI150*100/$B$8</f>
        <v>0</v>
      </c>
      <c r="BJ176" s="64">
        <f>BJ96*BJ150*100/$B$8</f>
        <v>0</v>
      </c>
      <c r="BK176" s="64">
        <f>BK96*BK150*100/$B$8</f>
        <v>0</v>
      </c>
      <c r="BL176" s="64">
        <f>BL96*BL150*100/$B$8</f>
        <v>0</v>
      </c>
      <c r="BM176" s="64">
        <f>BM96*BM150*100/$B$8</f>
        <v>0</v>
      </c>
      <c r="BN176" s="64">
        <f>BN96*BN150*100/$B$8</f>
        <v>0</v>
      </c>
      <c r="BO176" s="64">
        <f>BO96*BO150*100/$B$8</f>
        <v>0</v>
      </c>
      <c r="BP176" s="64">
        <f>BP96*BP150*100/$B$8</f>
        <v>0</v>
      </c>
      <c r="BQ176" s="64">
        <f>BQ96*BQ150*100/$B$8</f>
        <v>1.6156754898590582</v>
      </c>
      <c r="BR176" s="64">
        <f>BR96*BR150*100/$B$8</f>
        <v>0</v>
      </c>
      <c r="BS176" s="64">
        <f>BS96*BS150*100/$B$8</f>
        <v>0</v>
      </c>
      <c r="BT176" s="64">
        <f>BT96*BT150*100/$B$8</f>
        <v>0</v>
      </c>
      <c r="BU176" s="64">
        <f>BU96*BU150*100/$B$8</f>
        <v>0</v>
      </c>
      <c r="BV176" s="64">
        <f>BV96*BV150*100/$B$8</f>
        <v>1.4437951185974562</v>
      </c>
      <c r="BW176" s="64">
        <f>BW96*BW150*100/$B$8</f>
        <v>0</v>
      </c>
      <c r="BX176" s="64">
        <f>BX96*BX150*100/$B$8</f>
        <v>0</v>
      </c>
      <c r="BY176" s="64">
        <f>BY96*BY150*100/$B$8</f>
        <v>0</v>
      </c>
      <c r="BZ176" s="64">
        <f>BZ96*BZ150*100/$B$8</f>
        <v>0</v>
      </c>
      <c r="CA176" s="64">
        <f>CA96*CA150*100/$B$8</f>
        <v>0</v>
      </c>
      <c r="CB176" s="64">
        <f>CB96*CB150*100/$B$8</f>
        <v>0</v>
      </c>
      <c r="CC176" s="64">
        <f>CC96*CC150*100/$B$8</f>
        <v>0</v>
      </c>
      <c r="CD176" s="64">
        <f>CD96*CD150*100/$B$8</f>
        <v>0</v>
      </c>
      <c r="CE176" s="64">
        <f>CE96*CE150*100/$B$8</f>
        <v>0</v>
      </c>
      <c r="CF176" s="64">
        <f>CF96*CF150*100/$B$8</f>
        <v>0</v>
      </c>
      <c r="CG176" s="64">
        <f>CG96*CG150*100/$B$8</f>
        <v>0.17188037126160194</v>
      </c>
      <c r="CH176" s="64">
        <f>CH96*CH150*100/$B$8</f>
        <v>0</v>
      </c>
      <c r="CI176" s="64">
        <f>CI96*CI150*100/$B$8</f>
        <v>0</v>
      </c>
      <c r="CJ176" s="64">
        <f>CJ96*CJ150*100/$B$8</f>
        <v>0</v>
      </c>
      <c r="CK176" s="64">
        <f>CK96*CK150*100/$B$8</f>
        <v>0.30938466827088346</v>
      </c>
      <c r="CL176" s="64">
        <f>CL96*CL150*100/$B$8</f>
        <v>0</v>
      </c>
      <c r="CM176" s="64">
        <f>CM96*CM150*100/$B$8</f>
        <v>0</v>
      </c>
      <c r="CN176" s="64">
        <f>CN96*CN150*100/$B$8</f>
        <v>0</v>
      </c>
      <c r="CO176" s="64">
        <f>CO96*CO150*100/$B$8</f>
        <v>0</v>
      </c>
      <c r="CP176" s="64">
        <f>CP96*CP150*100/$B$8</f>
        <v>0</v>
      </c>
      <c r="CQ176" s="64">
        <f>CQ96*CQ150*100/$B$8</f>
        <v>0</v>
      </c>
      <c r="CR176" s="64">
        <f>CR96*CR150*100/$B$8</f>
        <v>0</v>
      </c>
      <c r="CS176" s="64">
        <f>CS96*CS150*100/$B$8</f>
        <v>0</v>
      </c>
      <c r="CT176" s="64">
        <f>CT96*CT150*100/$B$8</f>
        <v>0</v>
      </c>
      <c r="CU176" s="64">
        <f>CU96*CU150*100/$B$8</f>
        <v>0</v>
      </c>
      <c r="CV176" s="64">
        <f>CV96*CV150*100/$B$8</f>
        <v>0</v>
      </c>
      <c r="CW176" s="64">
        <f>CW96*CW150*100/$B$8</f>
        <v>0</v>
      </c>
      <c r="CX176" s="64">
        <f>CX96*CX150*100/$B$8</f>
        <v>0</v>
      </c>
      <c r="CY176" s="64">
        <f>CY96*CY150*100/$B$8</f>
        <v>0</v>
      </c>
      <c r="CZ176" s="64">
        <f>CZ96*CZ150*100/$B$8</f>
        <v>0</v>
      </c>
      <c r="DA176" s="64">
        <f>DA96*DA150*100/$B$8</f>
        <v>0</v>
      </c>
      <c r="DB176" s="64">
        <f>DB96*DB150*100/$B$8</f>
        <v>0</v>
      </c>
      <c r="DC176" s="64">
        <f>DC96*DC150*100/$B$8</f>
        <v>0</v>
      </c>
      <c r="DD176" s="64">
        <f>DD96*DD150*100/$B$8</f>
        <v>0</v>
      </c>
      <c r="DE176" s="64">
        <f>DE96*DE150*100/$B$8</f>
        <v>0</v>
      </c>
      <c r="DF176" s="64">
        <f>DF96*DF150*100/$B$8</f>
        <v>0</v>
      </c>
      <c r="DG176" s="64">
        <f>DG96*DG150*100/$B$8</f>
        <v>0</v>
      </c>
      <c r="DH176" s="64">
        <f>DH96*DH150*100/$B$8</f>
        <v>0</v>
      </c>
      <c r="DI176" s="64">
        <f>DI96*DI150*100/$B$8</f>
        <v>0</v>
      </c>
      <c r="DJ176" s="64">
        <f>DJ96*DJ150*100/$B$8</f>
        <v>0</v>
      </c>
      <c r="DK176" s="64">
        <f>DK96*DK150*100/$B$8</f>
        <v>0</v>
      </c>
      <c r="DL176" s="64">
        <f>DL96*DL150*100/$B$8</f>
        <v>0</v>
      </c>
      <c r="DM176" s="64">
        <f>DM96*DM150*100/$B$8</f>
        <v>0</v>
      </c>
      <c r="DN176" s="64">
        <f>DN96*DN150*100/$B$8</f>
        <v>0</v>
      </c>
      <c r="DO176" s="64">
        <f>DO96*DO150*100/$B$8</f>
        <v>0</v>
      </c>
      <c r="DP176" s="64">
        <f>DP96*DP150*100/$B$8</f>
        <v>0</v>
      </c>
      <c r="DQ176" s="64">
        <f>DQ96*DQ150*100/$B$8</f>
        <v>0</v>
      </c>
      <c r="DR176" s="64">
        <f>DR96*DR150*100/$B$8</f>
        <v>0</v>
      </c>
      <c r="DS176" s="64">
        <f>DS96*DS150*100/$B$8</f>
        <v>0</v>
      </c>
      <c r="DT176" s="64">
        <f>DT96*DT150*100/$B$8</f>
        <v>0</v>
      </c>
      <c r="DU176" s="64">
        <f>DU96*DU150*100/$B$8</f>
        <v>0</v>
      </c>
      <c r="DV176" s="64">
        <f>DV96*DV150*100/$B$8</f>
        <v>0</v>
      </c>
      <c r="DW176" s="64">
        <f>DW96*DW150*100/$B$8</f>
        <v>0</v>
      </c>
      <c r="DX176" s="64">
        <f>DX96*DX150*100/$B$8</f>
        <v>0</v>
      </c>
      <c r="DY176" s="64">
        <f>DY96*DY150*100/$B$8</f>
        <v>0</v>
      </c>
      <c r="DZ176" s="64">
        <f>DZ96*DZ150*100/$B$8</f>
        <v>0</v>
      </c>
      <c r="EA176" s="64">
        <f>EA96*EA150*100/$B$8</f>
        <v>0</v>
      </c>
      <c r="EB176" s="64">
        <f>EB96*EB150*100/$B$8</f>
        <v>0</v>
      </c>
      <c r="EC176" s="64">
        <f>EC96*EC150*100/$B$8</f>
        <v>0</v>
      </c>
      <c r="ED176" s="64">
        <f>ED96*ED150*100/$B$8</f>
        <v>0</v>
      </c>
      <c r="EE176" s="64">
        <f>EE96*EE150*100/$B$8</f>
        <v>0</v>
      </c>
      <c r="EF176" s="64">
        <f>EF96*EF150*100/$B$8</f>
        <v>0</v>
      </c>
      <c r="EG176" s="64">
        <f>EG96*EG150*100/$B$8</f>
        <v>0</v>
      </c>
      <c r="EH176" s="64">
        <f>EH96*EH150*100/$B$8</f>
        <v>0</v>
      </c>
      <c r="EI176" s="64">
        <f>EI96*EI150*100/$B$8</f>
        <v>0</v>
      </c>
      <c r="EJ176" s="64">
        <f>EJ96*EJ150*100/$B$8</f>
        <v>0</v>
      </c>
      <c r="EK176" s="64">
        <f>EK96*EK150*100/$B$8</f>
        <v>0</v>
      </c>
      <c r="EL176" s="64">
        <f>EL96*EL150*100/$B$8</f>
        <v>0</v>
      </c>
      <c r="EM176" s="64">
        <f>EM96*EM150*100/$B$8</f>
        <v>0</v>
      </c>
      <c r="EN176" s="64">
        <f>EN96*EN150*100/$B$8</f>
        <v>0.27500859401856309</v>
      </c>
      <c r="EO176" s="64">
        <f>EO96*EO150*100/$B$8</f>
        <v>0</v>
      </c>
      <c r="EP176" s="64">
        <f>EP96*EP150*100/$B$8</f>
        <v>0</v>
      </c>
      <c r="EQ176" s="64">
        <f>EQ96*EQ150*100/$B$8</f>
        <v>0</v>
      </c>
      <c r="ER176" s="64">
        <f>ER96*ER150*100/$B$8</f>
        <v>0</v>
      </c>
      <c r="ES176" s="64">
        <f>ES96*ES150*100/$B$8</f>
        <v>0</v>
      </c>
    </row>
    <row r="177" spans="1:150" x14ac:dyDescent="0.3">
      <c r="A177" s="37" t="s">
        <v>26</v>
      </c>
      <c r="B177" s="64">
        <f>B97*B151*100/$B$8</f>
        <v>0</v>
      </c>
      <c r="C177" s="64">
        <f>C97*C151*100/$B$8</f>
        <v>0</v>
      </c>
      <c r="D177" s="64">
        <f>D97*D151*100/$B$8</f>
        <v>0</v>
      </c>
      <c r="E177" s="64">
        <f>E97*E151*100/$B$8</f>
        <v>0</v>
      </c>
      <c r="F177" s="64">
        <f>F97*F151*100/$B$8</f>
        <v>0</v>
      </c>
      <c r="G177" s="64">
        <f>G97*G151*100/$B$8</f>
        <v>0</v>
      </c>
      <c r="H177" s="64">
        <f>H97*H151*100/$B$8</f>
        <v>0</v>
      </c>
      <c r="I177" s="64">
        <f>I97*I151*100/$B$8</f>
        <v>0</v>
      </c>
      <c r="J177" s="64">
        <f>J97*J151*100/$B$8</f>
        <v>0</v>
      </c>
      <c r="K177" s="64">
        <f>K97*K151*100/$B$8</f>
        <v>0</v>
      </c>
      <c r="L177" s="64">
        <f>L97*L151*100/$B$8</f>
        <v>0</v>
      </c>
      <c r="M177" s="64">
        <f>M97*M151*100/$B$8</f>
        <v>0</v>
      </c>
      <c r="N177" s="64">
        <f>N97*N151*100/$B$8</f>
        <v>0</v>
      </c>
      <c r="O177" s="64">
        <f>O97*O151*100/$B$8</f>
        <v>0</v>
      </c>
      <c r="P177" s="64">
        <f>P97*P151*100/$B$8</f>
        <v>0</v>
      </c>
      <c r="Q177" s="64">
        <f>Q97*Q151*100/$B$8</f>
        <v>0</v>
      </c>
      <c r="R177" s="64">
        <f>R97*R151*100/$B$8</f>
        <v>0</v>
      </c>
      <c r="S177" s="64">
        <f>S97*S151*100/$B$8</f>
        <v>0</v>
      </c>
      <c r="T177" s="64">
        <f>T97*T151*100/$B$8</f>
        <v>0</v>
      </c>
      <c r="U177" s="64">
        <f>U97*U151*100/$B$8</f>
        <v>0</v>
      </c>
      <c r="V177" s="64">
        <f>V97*V151*100/$B$8</f>
        <v>0</v>
      </c>
      <c r="W177" s="64">
        <f>W97*W151*100/$B$8</f>
        <v>0</v>
      </c>
      <c r="X177" s="64">
        <f>X97*X151*100/$B$8</f>
        <v>0</v>
      </c>
      <c r="Y177" s="64">
        <f>Y97*Y151*100/$B$8</f>
        <v>0</v>
      </c>
      <c r="Z177" s="64">
        <f>Z97*Z151*100/$B$8</f>
        <v>0</v>
      </c>
      <c r="AA177" s="64">
        <f>AA97*AA151*100/$B$8</f>
        <v>0</v>
      </c>
      <c r="AB177" s="64">
        <f>AB97*AB151*100/$B$8</f>
        <v>0</v>
      </c>
      <c r="AC177" s="64">
        <f>AC97*AC151*100/$B$8</f>
        <v>0</v>
      </c>
      <c r="AD177" s="64">
        <f>AD97*AD151*100/$B$8</f>
        <v>0</v>
      </c>
      <c r="AE177" s="64">
        <f>AE97*AE151*100/$B$8</f>
        <v>0</v>
      </c>
      <c r="AF177" s="64">
        <f>AF97*AF151*100/$B$8</f>
        <v>0</v>
      </c>
      <c r="AG177" s="64">
        <f>AG97*AG151*100/$B$8</f>
        <v>0</v>
      </c>
      <c r="AH177" s="64">
        <f>AH97*AH151*100/$B$8</f>
        <v>0</v>
      </c>
      <c r="AI177" s="64">
        <f>AI97*AI151*100/$B$8</f>
        <v>0</v>
      </c>
      <c r="AJ177" s="64">
        <f>AJ97*AJ151*100/$B$8</f>
        <v>0</v>
      </c>
      <c r="AK177" s="64">
        <f>AK97*AK151*100/$B$8</f>
        <v>0</v>
      </c>
      <c r="AL177" s="64">
        <f>AL97*AL151*100/$B$8</f>
        <v>0</v>
      </c>
      <c r="AM177" s="64">
        <f>AM97*AM151*100/$B$8</f>
        <v>0</v>
      </c>
      <c r="AN177" s="64">
        <f>AN97*AN151*100/$B$8</f>
        <v>0</v>
      </c>
      <c r="AO177" s="64">
        <f>AO97*AO151*100/$B$8</f>
        <v>0</v>
      </c>
      <c r="AP177" s="64">
        <f>AP97*AP151*100/$B$8</f>
        <v>0</v>
      </c>
      <c r="AQ177" s="64">
        <f>AQ97*AQ151*100/$B$8</f>
        <v>0</v>
      </c>
      <c r="AR177" s="64">
        <f>AR97*AR151*100/$B$8</f>
        <v>0</v>
      </c>
      <c r="AS177" s="64">
        <f>AS97*AS151*100/$B$8</f>
        <v>0</v>
      </c>
      <c r="AT177" s="64">
        <f>AT97*AT151*100/$B$8</f>
        <v>0</v>
      </c>
      <c r="AU177" s="64">
        <f>AU97*AU151*100/$B$8</f>
        <v>0</v>
      </c>
      <c r="AV177" s="64">
        <f>AV97*AV151*100/$B$8</f>
        <v>0</v>
      </c>
      <c r="AW177" s="64">
        <f>AW97*AW151*100/$B$8</f>
        <v>0</v>
      </c>
      <c r="AX177" s="64">
        <f>AX97*AX151*100/$B$8</f>
        <v>0</v>
      </c>
      <c r="AY177" s="64">
        <f>AY97*AY151*100/$B$8</f>
        <v>0</v>
      </c>
      <c r="AZ177" s="64">
        <f>AZ97*AZ151*100/$B$8</f>
        <v>0</v>
      </c>
      <c r="BA177" s="64">
        <f>BA97*BA151*100/$B$8</f>
        <v>0</v>
      </c>
      <c r="BB177" s="64">
        <f>BB97*BB151*100/$B$8</f>
        <v>0</v>
      </c>
      <c r="BC177" s="64">
        <f>BC97*BC151*100/$B$8</f>
        <v>0</v>
      </c>
      <c r="BD177" s="64">
        <f>BD97*BD151*100/$B$8</f>
        <v>0</v>
      </c>
      <c r="BE177" s="64">
        <f>BE97*BE151*100/$B$8</f>
        <v>0</v>
      </c>
      <c r="BF177" s="64">
        <f>BF97*BF151*100/$B$8</f>
        <v>0</v>
      </c>
      <c r="BG177" s="64">
        <f>BG97*BG151*100/$B$8</f>
        <v>0</v>
      </c>
      <c r="BH177" s="64">
        <f>BH97*BH151*100/$B$8</f>
        <v>0</v>
      </c>
      <c r="BI177" s="64">
        <f>BI97*BI151*100/$B$8</f>
        <v>0</v>
      </c>
      <c r="BJ177" s="64">
        <f>BJ97*BJ151*100/$B$8</f>
        <v>0</v>
      </c>
      <c r="BK177" s="64">
        <f>BK97*BK151*100/$B$8</f>
        <v>0</v>
      </c>
      <c r="BL177" s="64">
        <f>BL97*BL151*100/$B$8</f>
        <v>0</v>
      </c>
      <c r="BM177" s="64">
        <f>BM97*BM151*100/$B$8</f>
        <v>0</v>
      </c>
      <c r="BN177" s="64">
        <f>BN97*BN151*100/$B$8</f>
        <v>0</v>
      </c>
      <c r="BO177" s="64">
        <f>BO97*BO151*100/$B$8</f>
        <v>0</v>
      </c>
      <c r="BP177" s="64">
        <f>BP97*BP151*100/$B$8</f>
        <v>0</v>
      </c>
      <c r="BQ177" s="64">
        <f>BQ97*BQ151*100/$B$8</f>
        <v>0</v>
      </c>
      <c r="BR177" s="64">
        <f>BR97*BR151*100/$B$8</f>
        <v>0</v>
      </c>
      <c r="BS177" s="64">
        <f>BS97*BS151*100/$B$8</f>
        <v>0</v>
      </c>
      <c r="BT177" s="64">
        <f>BT97*BT151*100/$B$8</f>
        <v>0</v>
      </c>
      <c r="BU177" s="64">
        <f>BU97*BU151*100/$B$8</f>
        <v>0</v>
      </c>
      <c r="BV177" s="64">
        <f>BV97*BV151*100/$B$8</f>
        <v>0</v>
      </c>
      <c r="BW177" s="64">
        <f>BW97*BW151*100/$B$8</f>
        <v>0</v>
      </c>
      <c r="BX177" s="64">
        <f>BX97*BX151*100/$B$8</f>
        <v>0</v>
      </c>
      <c r="BY177" s="64">
        <f>BY97*BY151*100/$B$8</f>
        <v>0</v>
      </c>
      <c r="BZ177" s="64">
        <f>BZ97*BZ151*100/$B$8</f>
        <v>0</v>
      </c>
      <c r="CA177" s="64">
        <f>CA97*CA151*100/$B$8</f>
        <v>0</v>
      </c>
      <c r="CB177" s="64">
        <f>CB97*CB151*100/$B$8</f>
        <v>0</v>
      </c>
      <c r="CC177" s="64">
        <f>CC97*CC151*100/$B$8</f>
        <v>0</v>
      </c>
      <c r="CD177" s="64">
        <f>CD97*CD151*100/$B$8</f>
        <v>0</v>
      </c>
      <c r="CE177" s="64">
        <f>CE97*CE151*100/$B$8</f>
        <v>0</v>
      </c>
      <c r="CF177" s="64">
        <f>CF97*CF151*100/$B$8</f>
        <v>0</v>
      </c>
      <c r="CG177" s="64">
        <f>CG97*CG151*100/$B$8</f>
        <v>0</v>
      </c>
      <c r="CH177" s="64">
        <f>CH97*CH151*100/$B$8</f>
        <v>0</v>
      </c>
      <c r="CI177" s="64">
        <f>CI97*CI151*100/$B$8</f>
        <v>0</v>
      </c>
      <c r="CJ177" s="64">
        <f>CJ97*CJ151*100/$B$8</f>
        <v>0</v>
      </c>
      <c r="CK177" s="64">
        <f>CK97*CK151*100/$B$8</f>
        <v>0</v>
      </c>
      <c r="CL177" s="64">
        <f>CL97*CL151*100/$B$8</f>
        <v>0</v>
      </c>
      <c r="CM177" s="64">
        <f>CM97*CM151*100/$B$8</f>
        <v>0</v>
      </c>
      <c r="CN177" s="64">
        <f>CN97*CN151*100/$B$8</f>
        <v>0</v>
      </c>
      <c r="CO177" s="64">
        <f>CO97*CO151*100/$B$8</f>
        <v>0</v>
      </c>
      <c r="CP177" s="64">
        <f>CP97*CP151*100/$B$8</f>
        <v>0</v>
      </c>
      <c r="CQ177" s="64">
        <f>CQ97*CQ151*100/$B$8</f>
        <v>0</v>
      </c>
      <c r="CR177" s="64">
        <f>CR97*CR151*100/$B$8</f>
        <v>0</v>
      </c>
      <c r="CS177" s="64">
        <f>CS97*CS151*100/$B$8</f>
        <v>0</v>
      </c>
      <c r="CT177" s="64">
        <f>CT97*CT151*100/$B$8</f>
        <v>0</v>
      </c>
      <c r="CU177" s="64">
        <f>CU97*CU151*100/$B$8</f>
        <v>0</v>
      </c>
      <c r="CV177" s="64">
        <f>CV97*CV151*100/$B$8</f>
        <v>0</v>
      </c>
      <c r="CW177" s="64">
        <f>CW97*CW151*100/$B$8</f>
        <v>0</v>
      </c>
      <c r="CX177" s="64">
        <f>CX97*CX151*100/$B$8</f>
        <v>0</v>
      </c>
      <c r="CY177" s="64">
        <f>CY97*CY151*100/$B$8</f>
        <v>0</v>
      </c>
      <c r="CZ177" s="64">
        <f>CZ97*CZ151*100/$B$8</f>
        <v>0</v>
      </c>
      <c r="DA177" s="64">
        <f>DA97*DA151*100/$B$8</f>
        <v>0</v>
      </c>
      <c r="DB177" s="64">
        <f>DB97*DB151*100/$B$8</f>
        <v>0</v>
      </c>
      <c r="DC177" s="64">
        <f>DC97*DC151*100/$B$8</f>
        <v>0</v>
      </c>
      <c r="DD177" s="64">
        <f>DD97*DD151*100/$B$8</f>
        <v>0</v>
      </c>
      <c r="DE177" s="64">
        <f>DE97*DE151*100/$B$8</f>
        <v>0</v>
      </c>
      <c r="DF177" s="64">
        <f>DF97*DF151*100/$B$8</f>
        <v>0</v>
      </c>
      <c r="DG177" s="64">
        <f>DG97*DG151*100/$B$8</f>
        <v>0</v>
      </c>
      <c r="DH177" s="64">
        <f>DH97*DH151*100/$B$8</f>
        <v>0</v>
      </c>
      <c r="DI177" s="64">
        <f>DI97*DI151*100/$B$8</f>
        <v>0</v>
      </c>
      <c r="DJ177" s="64">
        <f>DJ97*DJ151*100/$B$8</f>
        <v>0</v>
      </c>
      <c r="DK177" s="64">
        <f>DK97*DK151*100/$B$8</f>
        <v>0</v>
      </c>
      <c r="DL177" s="64">
        <f>DL97*DL151*100/$B$8</f>
        <v>0</v>
      </c>
      <c r="DM177" s="64">
        <f>DM97*DM151*100/$B$8</f>
        <v>0</v>
      </c>
      <c r="DN177" s="64">
        <f>DN97*DN151*100/$B$8</f>
        <v>0</v>
      </c>
      <c r="DO177" s="64">
        <f>DO97*DO151*100/$B$8</f>
        <v>0</v>
      </c>
      <c r="DP177" s="64">
        <f>DP97*DP151*100/$B$8</f>
        <v>0</v>
      </c>
      <c r="DQ177" s="64">
        <f>DQ97*DQ151*100/$B$8</f>
        <v>0</v>
      </c>
      <c r="DR177" s="64">
        <f>DR97*DR151*100/$B$8</f>
        <v>0</v>
      </c>
      <c r="DS177" s="64">
        <f>DS97*DS151*100/$B$8</f>
        <v>0</v>
      </c>
      <c r="DT177" s="64">
        <f>DT97*DT151*100/$B$8</f>
        <v>0</v>
      </c>
      <c r="DU177" s="64">
        <f>DU97*DU151*100/$B$8</f>
        <v>0</v>
      </c>
      <c r="DV177" s="64">
        <f>DV97*DV151*100/$B$8</f>
        <v>0</v>
      </c>
      <c r="DW177" s="64">
        <f>DW97*DW151*100/$B$8</f>
        <v>0</v>
      </c>
      <c r="DX177" s="64">
        <f>DX97*DX151*100/$B$8</f>
        <v>0</v>
      </c>
      <c r="DY177" s="64">
        <f>DY97*DY151*100/$B$8</f>
        <v>0</v>
      </c>
      <c r="DZ177" s="64">
        <f>DZ97*DZ151*100/$B$8</f>
        <v>0</v>
      </c>
      <c r="EA177" s="64">
        <f>EA97*EA151*100/$B$8</f>
        <v>0</v>
      </c>
      <c r="EB177" s="64">
        <f>EB97*EB151*100/$B$8</f>
        <v>0</v>
      </c>
      <c r="EC177" s="64">
        <f>EC97*EC151*100/$B$8</f>
        <v>0</v>
      </c>
      <c r="ED177" s="64">
        <f>ED97*ED151*100/$B$8</f>
        <v>0</v>
      </c>
      <c r="EE177" s="64">
        <f>EE97*EE151*100/$B$8</f>
        <v>0</v>
      </c>
      <c r="EF177" s="64">
        <f>EF97*EF151*100/$B$8</f>
        <v>0</v>
      </c>
      <c r="EG177" s="64">
        <f>EG97*EG151*100/$B$8</f>
        <v>0</v>
      </c>
      <c r="EH177" s="64">
        <f>EH97*EH151*100/$B$8</f>
        <v>0</v>
      </c>
      <c r="EI177" s="64">
        <f>EI97*EI151*100/$B$8</f>
        <v>0</v>
      </c>
      <c r="EJ177" s="64">
        <f>EJ97*EJ151*100/$B$8</f>
        <v>0</v>
      </c>
      <c r="EK177" s="64">
        <f>EK97*EK151*100/$B$8</f>
        <v>0</v>
      </c>
      <c r="EL177" s="64">
        <f>EL97*EL151*100/$B$8</f>
        <v>0</v>
      </c>
      <c r="EM177" s="64">
        <f>EM97*EM151*100/$B$8</f>
        <v>0</v>
      </c>
      <c r="EN177" s="64">
        <f>EN97*EN151*100/$B$8</f>
        <v>0</v>
      </c>
      <c r="EO177" s="64">
        <f>EO97*EO151*100/$B$8</f>
        <v>0</v>
      </c>
      <c r="EP177" s="64">
        <f>EP97*EP151*100/$B$8</f>
        <v>0</v>
      </c>
      <c r="EQ177" s="64">
        <f>EQ97*EQ151*100/$B$8</f>
        <v>0</v>
      </c>
      <c r="ER177" s="64">
        <f>ER97*ER151*100/$B$8</f>
        <v>0</v>
      </c>
      <c r="ES177" s="64">
        <f>ES97*ES151*100/$B$8</f>
        <v>0</v>
      </c>
    </row>
    <row r="178" spans="1:150" x14ac:dyDescent="0.3">
      <c r="A178" s="37" t="s">
        <v>19</v>
      </c>
      <c r="B178" s="64">
        <f>B98*B152*100/$B$8</f>
        <v>0</v>
      </c>
      <c r="C178" s="64">
        <f>C98*C152*100/$B$8</f>
        <v>0</v>
      </c>
      <c r="D178" s="64">
        <f>D98*D152*100/$B$8</f>
        <v>0</v>
      </c>
      <c r="E178" s="64">
        <f>E98*E152*100/$B$8</f>
        <v>0</v>
      </c>
      <c r="F178" s="64">
        <f>F98*F152*100/$B$8</f>
        <v>0</v>
      </c>
      <c r="G178" s="64">
        <f>G98*G152*100/$B$8</f>
        <v>0</v>
      </c>
      <c r="H178" s="64">
        <f>H98*H152*100/$B$8</f>
        <v>0</v>
      </c>
      <c r="I178" s="64">
        <f>I98*I152*100/$B$8</f>
        <v>0</v>
      </c>
      <c r="J178" s="64">
        <f>J98*J152*100/$B$8</f>
        <v>0</v>
      </c>
      <c r="K178" s="64">
        <f>K98*K152*100/$B$8</f>
        <v>0</v>
      </c>
      <c r="L178" s="64">
        <f>L98*L152*100/$B$8</f>
        <v>0</v>
      </c>
      <c r="M178" s="64">
        <f>M98*M152*100/$B$8</f>
        <v>0.79064970780336885</v>
      </c>
      <c r="N178" s="64">
        <f>N98*N152*100/$B$8</f>
        <v>0</v>
      </c>
      <c r="O178" s="64">
        <f>O98*O152*100/$B$8</f>
        <v>0</v>
      </c>
      <c r="P178" s="64">
        <f>P98*P152*100/$B$8</f>
        <v>0</v>
      </c>
      <c r="Q178" s="64">
        <f>Q98*Q152*100/$B$8</f>
        <v>0</v>
      </c>
      <c r="R178" s="64">
        <f>R98*R152*100/$B$8</f>
        <v>0.27500859401856309</v>
      </c>
      <c r="S178" s="64">
        <f>S98*S152*100/$B$8</f>
        <v>0</v>
      </c>
      <c r="T178" s="64">
        <f>T98*T152*100/$B$8</f>
        <v>0</v>
      </c>
      <c r="U178" s="64">
        <f>U98*U152*100/$B$8</f>
        <v>0</v>
      </c>
      <c r="V178" s="64">
        <f>V98*V152*100/$B$8</f>
        <v>0</v>
      </c>
      <c r="W178" s="64">
        <f>W98*W152*100/$B$8</f>
        <v>0</v>
      </c>
      <c r="X178" s="64">
        <f>X98*X152*100/$B$8</f>
        <v>0</v>
      </c>
      <c r="Y178" s="64">
        <f>Y98*Y152*100/$B$8</f>
        <v>0</v>
      </c>
      <c r="Z178" s="64">
        <f>Z98*Z152*100/$B$8</f>
        <v>0</v>
      </c>
      <c r="AA178" s="64">
        <f>AA98*AA152*100/$B$8</f>
        <v>0</v>
      </c>
      <c r="AB178" s="64">
        <f>AB98*AB152*100/$B$8</f>
        <v>0</v>
      </c>
      <c r="AC178" s="64">
        <f>AC98*AC152*100/$B$8</f>
        <v>0</v>
      </c>
      <c r="AD178" s="64">
        <f>AD98*AD152*100/$B$8</f>
        <v>0</v>
      </c>
      <c r="AE178" s="64">
        <f>AE98*AE152*100/$B$8</f>
        <v>0</v>
      </c>
      <c r="AF178" s="64">
        <f>AF98*AF152*100/$B$8</f>
        <v>0</v>
      </c>
      <c r="AG178" s="64">
        <f>AG98*AG152*100/$B$8</f>
        <v>0</v>
      </c>
      <c r="AH178" s="64">
        <f>AH98*AH152*100/$B$8</f>
        <v>0</v>
      </c>
      <c r="AI178" s="64">
        <f>AI98*AI152*100/$B$8</f>
        <v>0</v>
      </c>
      <c r="AJ178" s="64">
        <f>AJ98*AJ152*100/$B$8</f>
        <v>0</v>
      </c>
      <c r="AK178" s="64">
        <f>AK98*AK152*100/$B$8</f>
        <v>0</v>
      </c>
      <c r="AL178" s="64">
        <f>AL98*AL152*100/$B$8</f>
        <v>0</v>
      </c>
      <c r="AM178" s="64">
        <f>AM98*AM152*100/$B$8</f>
        <v>0</v>
      </c>
      <c r="AN178" s="64">
        <f>AN98*AN152*100/$B$8</f>
        <v>0</v>
      </c>
      <c r="AO178" s="64">
        <f>AO98*AO152*100/$B$8</f>
        <v>0</v>
      </c>
      <c r="AP178" s="64">
        <f>AP98*AP152*100/$B$8</f>
        <v>0</v>
      </c>
      <c r="AQ178" s="64">
        <f>AQ98*AQ152*100/$B$8</f>
        <v>0.55001718803712618</v>
      </c>
      <c r="AR178" s="64">
        <f>AR98*AR152*100/$B$8</f>
        <v>0</v>
      </c>
      <c r="AS178" s="64">
        <f>AS98*AS152*100/$B$8</f>
        <v>0</v>
      </c>
      <c r="AT178" s="64">
        <f>AT98*AT152*100/$B$8</f>
        <v>0</v>
      </c>
      <c r="AU178" s="64">
        <f>AU98*AU152*100/$B$8</f>
        <v>0</v>
      </c>
      <c r="AV178" s="64">
        <f>AV98*AV152*100/$B$8</f>
        <v>0.30938466827088346</v>
      </c>
      <c r="AW178" s="64">
        <f>AW98*AW152*100/$B$8</f>
        <v>0</v>
      </c>
      <c r="AX178" s="64">
        <f>AX98*AX152*100/$B$8</f>
        <v>0</v>
      </c>
      <c r="AY178" s="64">
        <f>AY98*AY152*100/$B$8</f>
        <v>0</v>
      </c>
      <c r="AZ178" s="64">
        <f>AZ98*AZ152*100/$B$8</f>
        <v>0</v>
      </c>
      <c r="BA178" s="64">
        <f>BA98*BA152*100/$B$8</f>
        <v>0</v>
      </c>
      <c r="BB178" s="64">
        <f>BB98*BB152*100/$B$8</f>
        <v>0</v>
      </c>
      <c r="BC178" s="64">
        <f>BC98*BC152*100/$B$8</f>
        <v>0</v>
      </c>
      <c r="BD178" s="64">
        <f>BD98*BD152*100/$B$8</f>
        <v>0</v>
      </c>
      <c r="BE178" s="64">
        <f>BE98*BE152*100/$B$8</f>
        <v>0</v>
      </c>
      <c r="BF178" s="64">
        <f>BF98*BF152*100/$B$8</f>
        <v>0</v>
      </c>
      <c r="BG178" s="64">
        <f>BG98*BG152*100/$B$8</f>
        <v>0</v>
      </c>
      <c r="BH178" s="64">
        <f>BH98*BH152*100/$B$8</f>
        <v>0</v>
      </c>
      <c r="BI178" s="64">
        <f>BI98*BI152*100/$B$8</f>
        <v>0</v>
      </c>
      <c r="BJ178" s="64">
        <f>BJ98*BJ152*100/$B$8</f>
        <v>0</v>
      </c>
      <c r="BK178" s="64">
        <f>BK98*BK152*100/$B$8</f>
        <v>0</v>
      </c>
      <c r="BL178" s="64">
        <f>BL98*BL152*100/$B$8</f>
        <v>0</v>
      </c>
      <c r="BM178" s="64">
        <f>BM98*BM152*100/$B$8</f>
        <v>0</v>
      </c>
      <c r="BN178" s="64">
        <f>BN98*BN152*100/$B$8</f>
        <v>0</v>
      </c>
      <c r="BO178" s="64">
        <f>BO98*BO152*100/$B$8</f>
        <v>0</v>
      </c>
      <c r="BP178" s="64">
        <f>BP98*BP152*100/$B$8</f>
        <v>0</v>
      </c>
      <c r="BQ178" s="64">
        <f>BQ98*BQ152*100/$B$8</f>
        <v>0</v>
      </c>
      <c r="BR178" s="64">
        <f>BR98*BR152*100/$B$8</f>
        <v>0</v>
      </c>
      <c r="BS178" s="64">
        <f>BS98*BS152*100/$B$8</f>
        <v>0</v>
      </c>
      <c r="BT178" s="64">
        <f>BT98*BT152*100/$B$8</f>
        <v>0</v>
      </c>
      <c r="BU178" s="64">
        <f>BU98*BU152*100/$B$8</f>
        <v>0</v>
      </c>
      <c r="BV178" s="64">
        <f>BV98*BV152*100/$B$8</f>
        <v>0</v>
      </c>
      <c r="BW178" s="64">
        <f>BW98*BW152*100/$B$8</f>
        <v>0</v>
      </c>
      <c r="BX178" s="64">
        <f>BX98*BX152*100/$B$8</f>
        <v>0</v>
      </c>
      <c r="BY178" s="64">
        <f>BY98*BY152*100/$B$8</f>
        <v>0</v>
      </c>
      <c r="BZ178" s="64">
        <f>BZ98*BZ152*100/$B$8</f>
        <v>0</v>
      </c>
      <c r="CA178" s="64">
        <f>CA98*CA152*100/$B$8</f>
        <v>0</v>
      </c>
      <c r="CB178" s="64">
        <f>CB98*CB152*100/$B$8</f>
        <v>0</v>
      </c>
      <c r="CC178" s="64">
        <f>CC98*CC152*100/$B$8</f>
        <v>0</v>
      </c>
      <c r="CD178" s="64">
        <f>CD98*CD152*100/$B$8</f>
        <v>0</v>
      </c>
      <c r="CE178" s="64">
        <f>CE98*CE152*100/$B$8</f>
        <v>0</v>
      </c>
      <c r="CF178" s="64">
        <f>CF98*CF152*100/$B$8</f>
        <v>0</v>
      </c>
      <c r="CG178" s="64">
        <f>CG98*CG152*100/$B$8</f>
        <v>0</v>
      </c>
      <c r="CH178" s="64">
        <f>CH98*CH152*100/$B$8</f>
        <v>0</v>
      </c>
      <c r="CI178" s="64">
        <f>CI98*CI152*100/$B$8</f>
        <v>0</v>
      </c>
      <c r="CJ178" s="64">
        <f>CJ98*CJ152*100/$B$8</f>
        <v>0</v>
      </c>
      <c r="CK178" s="64">
        <f>CK98*CK152*100/$B$8</f>
        <v>0</v>
      </c>
      <c r="CL178" s="64">
        <f>CL98*CL152*100/$B$8</f>
        <v>0</v>
      </c>
      <c r="CM178" s="64">
        <f>CM98*CM152*100/$B$8</f>
        <v>0.41251289102784461</v>
      </c>
      <c r="CN178" s="64">
        <f>CN98*CN152*100/$B$8</f>
        <v>0</v>
      </c>
      <c r="CO178" s="64">
        <f>CO98*CO152*100/$B$8</f>
        <v>0</v>
      </c>
      <c r="CP178" s="64">
        <f>CP98*CP152*100/$B$8</f>
        <v>0</v>
      </c>
      <c r="CQ178" s="64">
        <f>CQ98*CQ152*100/$B$8</f>
        <v>0</v>
      </c>
      <c r="CR178" s="64">
        <f>CR98*CR152*100/$B$8</f>
        <v>0</v>
      </c>
      <c r="CS178" s="64">
        <f>CS98*CS152*100/$B$8</f>
        <v>0</v>
      </c>
      <c r="CT178" s="64">
        <f>CT98*CT152*100/$B$8</f>
        <v>0</v>
      </c>
      <c r="CU178" s="64">
        <f>CU98*CU152*100/$B$8</f>
        <v>0</v>
      </c>
      <c r="CV178" s="64">
        <f>CV98*CV152*100/$B$8</f>
        <v>0</v>
      </c>
      <c r="CW178" s="64">
        <f>CW98*CW152*100/$B$8</f>
        <v>0</v>
      </c>
      <c r="CX178" s="64">
        <f>CX98*CX152*100/$B$8</f>
        <v>0</v>
      </c>
      <c r="CY178" s="64">
        <f>CY98*CY152*100/$B$8</f>
        <v>0</v>
      </c>
      <c r="CZ178" s="64">
        <f>CZ98*CZ152*100/$B$8</f>
        <v>0</v>
      </c>
      <c r="DA178" s="64">
        <f>DA98*DA152*100/$B$8</f>
        <v>0</v>
      </c>
      <c r="DB178" s="64">
        <f>DB98*DB152*100/$B$8</f>
        <v>0</v>
      </c>
      <c r="DC178" s="64">
        <f>DC98*DC152*100/$B$8</f>
        <v>0</v>
      </c>
      <c r="DD178" s="64">
        <f>DD98*DD152*100/$B$8</f>
        <v>0</v>
      </c>
      <c r="DE178" s="64">
        <f>DE98*DE152*100/$B$8</f>
        <v>0</v>
      </c>
      <c r="DF178" s="64">
        <f>DF98*DF152*100/$B$8</f>
        <v>0</v>
      </c>
      <c r="DG178" s="64">
        <f>DG98*DG152*100/$B$8</f>
        <v>0</v>
      </c>
      <c r="DH178" s="64">
        <f>DH98*DH152*100/$B$8</f>
        <v>0</v>
      </c>
      <c r="DI178" s="64">
        <f>DI98*DI152*100/$B$8</f>
        <v>0</v>
      </c>
      <c r="DJ178" s="64">
        <f>DJ98*DJ152*100/$B$8</f>
        <v>0</v>
      </c>
      <c r="DK178" s="64">
        <f>DK98*DK152*100/$B$8</f>
        <v>0</v>
      </c>
      <c r="DL178" s="64">
        <f>DL98*DL152*100/$B$8</f>
        <v>0</v>
      </c>
      <c r="DM178" s="64">
        <f>DM98*DM152*100/$B$8</f>
        <v>0</v>
      </c>
      <c r="DN178" s="64">
        <f>DN98*DN152*100/$B$8</f>
        <v>0</v>
      </c>
      <c r="DO178" s="64">
        <f>DO98*DO152*100/$B$8</f>
        <v>0</v>
      </c>
      <c r="DP178" s="64">
        <f>DP98*DP152*100/$B$8</f>
        <v>0</v>
      </c>
      <c r="DQ178" s="64">
        <f>DQ98*DQ152*100/$B$8</f>
        <v>0</v>
      </c>
      <c r="DR178" s="64">
        <f>DR98*DR152*100/$B$8</f>
        <v>0</v>
      </c>
      <c r="DS178" s="64">
        <f>DS98*DS152*100/$B$8</f>
        <v>0</v>
      </c>
      <c r="DT178" s="64">
        <f>DT98*DT152*100/$B$8</f>
        <v>0</v>
      </c>
      <c r="DU178" s="64">
        <f>DU98*DU152*100/$B$8</f>
        <v>0</v>
      </c>
      <c r="DV178" s="64">
        <f>DV98*DV152*100/$B$8</f>
        <v>0</v>
      </c>
      <c r="DW178" s="64">
        <f>DW98*DW152*100/$B$8</f>
        <v>0</v>
      </c>
      <c r="DX178" s="64">
        <f>DX98*DX152*100/$B$8</f>
        <v>0</v>
      </c>
      <c r="DY178" s="64">
        <f>DY98*DY152*100/$B$8</f>
        <v>0</v>
      </c>
      <c r="DZ178" s="64">
        <f>DZ98*DZ152*100/$B$8</f>
        <v>0</v>
      </c>
      <c r="EA178" s="64">
        <f>EA98*EA152*100/$B$8</f>
        <v>0</v>
      </c>
      <c r="EB178" s="64">
        <f>EB98*EB152*100/$B$8</f>
        <v>0</v>
      </c>
      <c r="EC178" s="64">
        <f>EC98*EC152*100/$B$8</f>
        <v>0</v>
      </c>
      <c r="ED178" s="64">
        <f>ED98*ED152*100/$B$8</f>
        <v>0.68752148504640775</v>
      </c>
      <c r="EE178" s="64">
        <f>EE98*EE152*100/$B$8</f>
        <v>0</v>
      </c>
      <c r="EF178" s="64">
        <f>EF98*EF152*100/$B$8</f>
        <v>0</v>
      </c>
      <c r="EG178" s="64">
        <f>EG98*EG152*100/$B$8</f>
        <v>0</v>
      </c>
      <c r="EH178" s="64">
        <f>EH98*EH152*100/$B$8</f>
        <v>0</v>
      </c>
      <c r="EI178" s="64">
        <f>EI98*EI152*100/$B$8</f>
        <v>0</v>
      </c>
      <c r="EJ178" s="64">
        <f>EJ98*EJ152*100/$B$8</f>
        <v>0</v>
      </c>
      <c r="EK178" s="64">
        <f>EK98*EK152*100/$B$8</f>
        <v>0</v>
      </c>
      <c r="EL178" s="64">
        <f>EL98*EL152*100/$B$8</f>
        <v>0</v>
      </c>
      <c r="EM178" s="64">
        <f>EM98*EM152*100/$B$8</f>
        <v>0</v>
      </c>
      <c r="EN178" s="64">
        <f>EN98*EN152*100/$B$8</f>
        <v>0</v>
      </c>
      <c r="EO178" s="64">
        <f>EO98*EO152*100/$B$8</f>
        <v>0</v>
      </c>
      <c r="EP178" s="64">
        <f>EP98*EP152*100/$B$8</f>
        <v>0</v>
      </c>
      <c r="EQ178" s="64">
        <f>EQ98*EQ152*100/$B$8</f>
        <v>0</v>
      </c>
      <c r="ER178" s="64">
        <f>ER98*ER152*100/$B$8</f>
        <v>0</v>
      </c>
      <c r="ES178" s="64">
        <f>ES98*ES152*100/$B$8</f>
        <v>0</v>
      </c>
    </row>
    <row r="179" spans="1:150" x14ac:dyDescent="0.3">
      <c r="A179" s="37" t="s">
        <v>12</v>
      </c>
      <c r="B179" s="64">
        <f>B99*B153*100/$B$8</f>
        <v>0</v>
      </c>
      <c r="C179" s="64">
        <f>C99*C153*100/$B$8</f>
        <v>0</v>
      </c>
      <c r="D179" s="64">
        <f>D99*D153*100/$B$8</f>
        <v>0</v>
      </c>
      <c r="E179" s="64">
        <f>E99*E153*100/$B$8</f>
        <v>0</v>
      </c>
      <c r="F179" s="64">
        <f>F99*F153*100/$B$8</f>
        <v>0</v>
      </c>
      <c r="G179" s="64">
        <f>G99*G153*100/$B$8</f>
        <v>0</v>
      </c>
      <c r="H179" s="64">
        <f>H99*H153*100/$B$8</f>
        <v>0</v>
      </c>
      <c r="I179" s="64">
        <f>I99*I153*100/$B$8</f>
        <v>0</v>
      </c>
      <c r="J179" s="64">
        <f>J99*J153*100/$B$8</f>
        <v>0</v>
      </c>
      <c r="K179" s="64">
        <f>K99*K153*100/$B$8</f>
        <v>0</v>
      </c>
      <c r="L179" s="64">
        <f>L99*L153*100/$B$8</f>
        <v>0</v>
      </c>
      <c r="M179" s="64">
        <f>M99*M153*100/$B$8</f>
        <v>0</v>
      </c>
      <c r="N179" s="64">
        <f>N99*N153*100/$B$8</f>
        <v>0</v>
      </c>
      <c r="O179" s="64">
        <f>O99*O153*100/$B$8</f>
        <v>0</v>
      </c>
      <c r="P179" s="64">
        <f>P99*P153*100/$B$8</f>
        <v>0</v>
      </c>
      <c r="Q179" s="64">
        <f>Q99*Q153*100/$B$8</f>
        <v>0</v>
      </c>
      <c r="R179" s="64">
        <f>R99*R153*100/$B$8</f>
        <v>0</v>
      </c>
      <c r="S179" s="64">
        <f>S99*S153*100/$B$8</f>
        <v>0</v>
      </c>
      <c r="T179" s="64">
        <f>T99*T153*100/$B$8</f>
        <v>0</v>
      </c>
      <c r="U179" s="64">
        <f>U99*U153*100/$B$8</f>
        <v>0</v>
      </c>
      <c r="V179" s="64">
        <f>V99*V153*100/$B$8</f>
        <v>0</v>
      </c>
      <c r="W179" s="64">
        <f>W99*W153*100/$B$8</f>
        <v>0</v>
      </c>
      <c r="X179" s="64">
        <f>X99*X153*100/$B$8</f>
        <v>0</v>
      </c>
      <c r="Y179" s="64">
        <f>Y99*Y153*100/$B$8</f>
        <v>0</v>
      </c>
      <c r="Z179" s="64">
        <f>Z99*Z153*100/$B$8</f>
        <v>0</v>
      </c>
      <c r="AA179" s="64">
        <f>AA99*AA153*100/$B$8</f>
        <v>0</v>
      </c>
      <c r="AB179" s="64">
        <f>AB99*AB153*100/$B$8</f>
        <v>0</v>
      </c>
      <c r="AC179" s="64">
        <f>AC99*AC153*100/$B$8</f>
        <v>0</v>
      </c>
      <c r="AD179" s="64">
        <f>AD99*AD153*100/$B$8</f>
        <v>0</v>
      </c>
      <c r="AE179" s="64">
        <f>AE99*AE153*100/$B$8</f>
        <v>0</v>
      </c>
      <c r="AF179" s="64">
        <f>AF99*AF153*100/$B$8</f>
        <v>0</v>
      </c>
      <c r="AG179" s="64">
        <f>AG99*AG153*100/$B$8</f>
        <v>0</v>
      </c>
      <c r="AH179" s="64">
        <f>AH99*AH153*100/$B$8</f>
        <v>0</v>
      </c>
      <c r="AI179" s="64">
        <f>AI99*AI153*100/$B$8</f>
        <v>0</v>
      </c>
      <c r="AJ179" s="64">
        <f>AJ99*AJ153*100/$B$8</f>
        <v>0</v>
      </c>
      <c r="AK179" s="64">
        <f>AK99*AK153*100/$B$8</f>
        <v>0</v>
      </c>
      <c r="AL179" s="64">
        <f>AL99*AL153*100/$B$8</f>
        <v>0</v>
      </c>
      <c r="AM179" s="64">
        <f>AM99*AM153*100/$B$8</f>
        <v>0</v>
      </c>
      <c r="AN179" s="64">
        <f>AN99*AN153*100/$B$8</f>
        <v>0</v>
      </c>
      <c r="AO179" s="64">
        <f>AO99*AO153*100/$B$8</f>
        <v>0</v>
      </c>
      <c r="AP179" s="64">
        <f>AP99*AP153*100/$B$8</f>
        <v>0</v>
      </c>
      <c r="AQ179" s="64">
        <f>AQ99*AQ153*100/$B$8</f>
        <v>0</v>
      </c>
      <c r="AR179" s="64">
        <f>AR99*AR153*100/$B$8</f>
        <v>0</v>
      </c>
      <c r="AS179" s="64">
        <f>AS99*AS153*100/$B$8</f>
        <v>0</v>
      </c>
      <c r="AT179" s="64">
        <f>AT99*AT153*100/$B$8</f>
        <v>0</v>
      </c>
      <c r="AU179" s="64">
        <f>AU99*AU153*100/$B$8</f>
        <v>0</v>
      </c>
      <c r="AV179" s="64">
        <f>AV99*AV153*100/$B$8</f>
        <v>0</v>
      </c>
      <c r="AW179" s="64">
        <f>AW99*AW153*100/$B$8</f>
        <v>0</v>
      </c>
      <c r="AX179" s="64">
        <f>AX99*AX153*100/$B$8</f>
        <v>0</v>
      </c>
      <c r="AY179" s="64">
        <f>AY99*AY153*100/$B$8</f>
        <v>0</v>
      </c>
      <c r="AZ179" s="64">
        <f>AZ99*AZ153*100/$B$8</f>
        <v>0</v>
      </c>
      <c r="BA179" s="64">
        <f>BA99*BA153*100/$B$8</f>
        <v>0</v>
      </c>
      <c r="BB179" s="64">
        <f>BB99*BB153*100/$B$8</f>
        <v>0</v>
      </c>
      <c r="BC179" s="64">
        <f>BC99*BC153*100/$B$8</f>
        <v>0</v>
      </c>
      <c r="BD179" s="64">
        <f>BD99*BD153*100/$B$8</f>
        <v>0</v>
      </c>
      <c r="BE179" s="64">
        <f>BE99*BE153*100/$B$8</f>
        <v>0</v>
      </c>
      <c r="BF179" s="64">
        <f>BF99*BF153*100/$B$8</f>
        <v>0</v>
      </c>
      <c r="BG179" s="64">
        <f>BG99*BG153*100/$B$8</f>
        <v>0</v>
      </c>
      <c r="BH179" s="64">
        <f>BH99*BH153*100/$B$8</f>
        <v>0</v>
      </c>
      <c r="BI179" s="64">
        <f>BI99*BI153*100/$B$8</f>
        <v>0</v>
      </c>
      <c r="BJ179" s="64">
        <f>BJ99*BJ153*100/$B$8</f>
        <v>0</v>
      </c>
      <c r="BK179" s="64">
        <f>BK99*BK153*100/$B$8</f>
        <v>0</v>
      </c>
      <c r="BL179" s="64">
        <f>BL99*BL153*100/$B$8</f>
        <v>0</v>
      </c>
      <c r="BM179" s="64">
        <f>BM99*BM153*100/$B$8</f>
        <v>0</v>
      </c>
      <c r="BN179" s="64">
        <f>BN99*BN153*100/$B$8</f>
        <v>0</v>
      </c>
      <c r="BO179" s="64">
        <f>BO99*BO153*100/$B$8</f>
        <v>0</v>
      </c>
      <c r="BP179" s="64">
        <f>BP99*BP153*100/$B$8</f>
        <v>0</v>
      </c>
      <c r="BQ179" s="64">
        <f>BQ99*BQ153*100/$B$8</f>
        <v>0</v>
      </c>
      <c r="BR179" s="64">
        <f>BR99*BR153*100/$B$8</f>
        <v>0</v>
      </c>
      <c r="BS179" s="64">
        <f>BS99*BS153*100/$B$8</f>
        <v>0</v>
      </c>
      <c r="BT179" s="64">
        <f>BT99*BT153*100/$B$8</f>
        <v>0</v>
      </c>
      <c r="BU179" s="64">
        <f>BU99*BU153*100/$B$8</f>
        <v>0</v>
      </c>
      <c r="BV179" s="64">
        <f>BV99*BV153*100/$B$8</f>
        <v>0</v>
      </c>
      <c r="BW179" s="64">
        <f>BW99*BW153*100/$B$8</f>
        <v>0</v>
      </c>
      <c r="BX179" s="64">
        <f>BX99*BX153*100/$B$8</f>
        <v>0</v>
      </c>
      <c r="BY179" s="64">
        <f>BY99*BY153*100/$B$8</f>
        <v>0</v>
      </c>
      <c r="BZ179" s="64">
        <f>BZ99*BZ153*100/$B$8</f>
        <v>0</v>
      </c>
      <c r="CA179" s="64">
        <f>CA99*CA153*100/$B$8</f>
        <v>0</v>
      </c>
      <c r="CB179" s="64">
        <f>CB99*CB153*100/$B$8</f>
        <v>0</v>
      </c>
      <c r="CC179" s="64">
        <f>CC99*CC153*100/$B$8</f>
        <v>0</v>
      </c>
      <c r="CD179" s="64">
        <f>CD99*CD153*100/$B$8</f>
        <v>0</v>
      </c>
      <c r="CE179" s="64">
        <f>CE99*CE153*100/$B$8</f>
        <v>0</v>
      </c>
      <c r="CF179" s="64">
        <f>CF99*CF153*100/$B$8</f>
        <v>0</v>
      </c>
      <c r="CG179" s="64">
        <f>CG99*CG153*100/$B$8</f>
        <v>0</v>
      </c>
      <c r="CH179" s="64">
        <f>CH99*CH153*100/$B$8</f>
        <v>0</v>
      </c>
      <c r="CI179" s="64">
        <f>CI99*CI153*100/$B$8</f>
        <v>0</v>
      </c>
      <c r="CJ179" s="64">
        <f>CJ99*CJ153*100/$B$8</f>
        <v>0</v>
      </c>
      <c r="CK179" s="64">
        <f>CK99*CK153*100/$B$8</f>
        <v>0</v>
      </c>
      <c r="CL179" s="64">
        <f>CL99*CL153*100/$B$8</f>
        <v>0</v>
      </c>
      <c r="CM179" s="64">
        <f>CM99*CM153*100/$B$8</f>
        <v>0</v>
      </c>
      <c r="CN179" s="64">
        <f>CN99*CN153*100/$B$8</f>
        <v>0</v>
      </c>
      <c r="CO179" s="64">
        <f>CO99*CO153*100/$B$8</f>
        <v>0</v>
      </c>
      <c r="CP179" s="64">
        <f>CP99*CP153*100/$B$8</f>
        <v>0</v>
      </c>
      <c r="CQ179" s="64">
        <f>CQ99*CQ153*100/$B$8</f>
        <v>0</v>
      </c>
      <c r="CR179" s="64">
        <f>CR99*CR153*100/$B$8</f>
        <v>0</v>
      </c>
      <c r="CS179" s="64">
        <f>CS99*CS153*100/$B$8</f>
        <v>0</v>
      </c>
      <c r="CT179" s="64">
        <f>CT99*CT153*100/$B$8</f>
        <v>0</v>
      </c>
      <c r="CU179" s="64">
        <f>CU99*CU153*100/$B$8</f>
        <v>0</v>
      </c>
      <c r="CV179" s="64">
        <f>CV99*CV153*100/$B$8</f>
        <v>0</v>
      </c>
      <c r="CW179" s="64">
        <f>CW99*CW153*100/$B$8</f>
        <v>0</v>
      </c>
      <c r="CX179" s="64">
        <f>CX99*CX153*100/$B$8</f>
        <v>0</v>
      </c>
      <c r="CY179" s="64">
        <f>CY99*CY153*100/$B$8</f>
        <v>0</v>
      </c>
      <c r="CZ179" s="64">
        <f>CZ99*CZ153*100/$B$8</f>
        <v>0</v>
      </c>
      <c r="DA179" s="64">
        <f>DA99*DA153*100/$B$8</f>
        <v>0</v>
      </c>
      <c r="DB179" s="64">
        <f>DB99*DB153*100/$B$8</f>
        <v>0</v>
      </c>
      <c r="DC179" s="64">
        <f>DC99*DC153*100/$B$8</f>
        <v>0</v>
      </c>
      <c r="DD179" s="64">
        <f>DD99*DD153*100/$B$8</f>
        <v>0</v>
      </c>
      <c r="DE179" s="64">
        <f>DE99*DE153*100/$B$8</f>
        <v>0</v>
      </c>
      <c r="DF179" s="64">
        <f>DF99*DF153*100/$B$8</f>
        <v>0</v>
      </c>
      <c r="DG179" s="64">
        <f>DG99*DG153*100/$B$8</f>
        <v>0</v>
      </c>
      <c r="DH179" s="64">
        <f>DH99*DH153*100/$B$8</f>
        <v>0</v>
      </c>
      <c r="DI179" s="64">
        <f>DI99*DI153*100/$B$8</f>
        <v>0</v>
      </c>
      <c r="DJ179" s="64">
        <f>DJ99*DJ153*100/$B$8</f>
        <v>0</v>
      </c>
      <c r="DK179" s="64">
        <f>DK99*DK153*100/$B$8</f>
        <v>0</v>
      </c>
      <c r="DL179" s="64">
        <f>DL99*DL153*100/$B$8</f>
        <v>0</v>
      </c>
      <c r="DM179" s="64">
        <f>DM99*DM153*100/$B$8</f>
        <v>0</v>
      </c>
      <c r="DN179" s="64">
        <f>DN99*DN153*100/$B$8</f>
        <v>0</v>
      </c>
      <c r="DO179" s="64">
        <f>DO99*DO153*100/$B$8</f>
        <v>0</v>
      </c>
      <c r="DP179" s="64">
        <f>DP99*DP153*100/$B$8</f>
        <v>0</v>
      </c>
      <c r="DQ179" s="64">
        <f>DQ99*DQ153*100/$B$8</f>
        <v>0</v>
      </c>
      <c r="DR179" s="64">
        <f>DR99*DR153*100/$B$8</f>
        <v>0</v>
      </c>
      <c r="DS179" s="64">
        <f>DS99*DS153*100/$B$8</f>
        <v>0</v>
      </c>
      <c r="DT179" s="64">
        <f>DT99*DT153*100/$B$8</f>
        <v>0</v>
      </c>
      <c r="DU179" s="64">
        <f>DU99*DU153*100/$B$8</f>
        <v>0</v>
      </c>
      <c r="DV179" s="64">
        <f>DV99*DV153*100/$B$8</f>
        <v>0</v>
      </c>
      <c r="DW179" s="64">
        <f>DW99*DW153*100/$B$8</f>
        <v>0</v>
      </c>
      <c r="DX179" s="64">
        <f>DX99*DX153*100/$B$8</f>
        <v>0</v>
      </c>
      <c r="DY179" s="64">
        <f>DY99*DY153*100/$B$8</f>
        <v>0</v>
      </c>
      <c r="DZ179" s="64">
        <f>DZ99*DZ153*100/$B$8</f>
        <v>0</v>
      </c>
      <c r="EA179" s="64">
        <f>EA99*EA153*100/$B$8</f>
        <v>0</v>
      </c>
      <c r="EB179" s="64">
        <f>EB99*EB153*100/$B$8</f>
        <v>0</v>
      </c>
      <c r="EC179" s="64">
        <f>EC99*EC153*100/$B$8</f>
        <v>0</v>
      </c>
      <c r="ED179" s="64">
        <f>ED99*ED153*100/$B$8</f>
        <v>0</v>
      </c>
      <c r="EE179" s="64">
        <f>EE99*EE153*100/$B$8</f>
        <v>0</v>
      </c>
      <c r="EF179" s="64">
        <f>EF99*EF153*100/$B$8</f>
        <v>0</v>
      </c>
      <c r="EG179" s="64">
        <f>EG99*EG153*100/$B$8</f>
        <v>0</v>
      </c>
      <c r="EH179" s="64">
        <f>EH99*EH153*100/$B$8</f>
        <v>0</v>
      </c>
      <c r="EI179" s="64">
        <f>EI99*EI153*100/$B$8</f>
        <v>0</v>
      </c>
      <c r="EJ179" s="64">
        <f>EJ99*EJ153*100/$B$8</f>
        <v>0</v>
      </c>
      <c r="EK179" s="64">
        <f>EK99*EK153*100/$B$8</f>
        <v>0</v>
      </c>
      <c r="EL179" s="64">
        <f>EL99*EL153*100/$B$8</f>
        <v>0</v>
      </c>
      <c r="EM179" s="64">
        <f>EM99*EM153*100/$B$8</f>
        <v>0</v>
      </c>
      <c r="EN179" s="64">
        <f>EN99*EN153*100/$B$8</f>
        <v>0</v>
      </c>
      <c r="EO179" s="64">
        <f>EO99*EO153*100/$B$8</f>
        <v>0</v>
      </c>
      <c r="EP179" s="64">
        <f>EP99*EP153*100/$B$8</f>
        <v>0</v>
      </c>
      <c r="EQ179" s="64">
        <f>EQ99*EQ153*100/$B$8</f>
        <v>0</v>
      </c>
      <c r="ER179" s="64">
        <f>ER99*ER153*100/$B$8</f>
        <v>0</v>
      </c>
      <c r="ES179" s="64">
        <f>ES99*ES153*100/$B$8</f>
        <v>0</v>
      </c>
    </row>
    <row r="180" spans="1:150" x14ac:dyDescent="0.3">
      <c r="A180" s="37" t="s">
        <v>27</v>
      </c>
      <c r="B180" s="64">
        <f>B100*B154*100/$B$8</f>
        <v>0</v>
      </c>
      <c r="C180" s="64">
        <f>C100*C154*100/$B$8</f>
        <v>0</v>
      </c>
      <c r="D180" s="64">
        <f>D100*D154*100/$B$8</f>
        <v>0</v>
      </c>
      <c r="E180" s="64">
        <f>E100*E154*100/$B$8</f>
        <v>0</v>
      </c>
      <c r="F180" s="64">
        <f>F100*F154*100/$B$8</f>
        <v>0</v>
      </c>
      <c r="G180" s="64">
        <f>G100*G154*100/$B$8</f>
        <v>0</v>
      </c>
      <c r="H180" s="64">
        <f>H100*H154*100/$B$8</f>
        <v>0</v>
      </c>
      <c r="I180" s="64">
        <f>I100*I154*100/$B$8</f>
        <v>0</v>
      </c>
      <c r="J180" s="64">
        <f>J100*J154*100/$B$8</f>
        <v>0</v>
      </c>
      <c r="K180" s="64">
        <f>K100*K154*100/$B$8</f>
        <v>0</v>
      </c>
      <c r="L180" s="64">
        <f>L100*L154*100/$B$8</f>
        <v>0</v>
      </c>
      <c r="M180" s="64">
        <f>M100*M154*100/$B$8</f>
        <v>0</v>
      </c>
      <c r="N180" s="64">
        <f>N100*N154*100/$B$8</f>
        <v>0</v>
      </c>
      <c r="O180" s="64">
        <f>O100*O154*100/$B$8</f>
        <v>0</v>
      </c>
      <c r="P180" s="64">
        <f>P100*P154*100/$B$8</f>
        <v>0</v>
      </c>
      <c r="Q180" s="64">
        <f>Q100*Q154*100/$B$8</f>
        <v>0</v>
      </c>
      <c r="R180" s="64">
        <f>R100*R154*100/$B$8</f>
        <v>0</v>
      </c>
      <c r="S180" s="64">
        <f>S100*S154*100/$B$8</f>
        <v>1.0312822275696116</v>
      </c>
      <c r="T180" s="64">
        <f>T100*T154*100/$B$8</f>
        <v>0</v>
      </c>
      <c r="U180" s="64">
        <f>U100*U154*100/$B$8</f>
        <v>0</v>
      </c>
      <c r="V180" s="64">
        <f>V100*V154*100/$B$8</f>
        <v>0.72189755929872812</v>
      </c>
      <c r="W180" s="64">
        <f>W100*W154*100/$B$8</f>
        <v>0</v>
      </c>
      <c r="X180" s="64">
        <f>X100*X154*100/$B$8</f>
        <v>0</v>
      </c>
      <c r="Y180" s="64">
        <f>Y100*Y154*100/$B$8</f>
        <v>0</v>
      </c>
      <c r="Z180" s="64">
        <f>Z100*Z154*100/$B$8</f>
        <v>0</v>
      </c>
      <c r="AA180" s="64">
        <f>AA100*AA154*100/$B$8</f>
        <v>0</v>
      </c>
      <c r="AB180" s="64">
        <f>AB100*AB154*100/$B$8</f>
        <v>0</v>
      </c>
      <c r="AC180" s="64">
        <f>AC100*AC154*100/$B$8</f>
        <v>0.27500859401856309</v>
      </c>
      <c r="AD180" s="64">
        <f>AD100*AD154*100/$B$8</f>
        <v>0</v>
      </c>
      <c r="AE180" s="64">
        <f>AE100*AE154*100/$B$8</f>
        <v>0</v>
      </c>
      <c r="AF180" s="64">
        <f>AF100*AF154*100/$B$8</f>
        <v>0.79064970780336885</v>
      </c>
      <c r="AG180" s="64">
        <f>AG100*AG154*100/$B$8</f>
        <v>0</v>
      </c>
      <c r="AH180" s="64">
        <f>AH100*AH154*100/$B$8</f>
        <v>0</v>
      </c>
      <c r="AI180" s="64">
        <f>AI100*AI154*100/$B$8</f>
        <v>0</v>
      </c>
      <c r="AJ180" s="64">
        <f>AJ100*AJ154*100/$B$8</f>
        <v>0</v>
      </c>
      <c r="AK180" s="64">
        <f>AK100*AK154*100/$B$8</f>
        <v>0</v>
      </c>
      <c r="AL180" s="64">
        <f>AL100*AL154*100/$B$8</f>
        <v>0</v>
      </c>
      <c r="AM180" s="64">
        <f>AM100*AM154*100/$B$8</f>
        <v>0.58439326228944655</v>
      </c>
      <c r="AN180" s="64">
        <f>AN100*AN154*100/$B$8</f>
        <v>0</v>
      </c>
      <c r="AO180" s="64">
        <f>AO100*AO154*100/$B$8</f>
        <v>0</v>
      </c>
      <c r="AP180" s="64">
        <f>AP100*AP154*100/$B$8</f>
        <v>0.17188037126160194</v>
      </c>
      <c r="AQ180" s="64">
        <f>AQ100*AQ154*100/$B$8</f>
        <v>0</v>
      </c>
      <c r="AR180" s="64">
        <f>AR100*AR154*100/$B$8</f>
        <v>0.34376074252320388</v>
      </c>
      <c r="AS180" s="64">
        <f>AS100*AS154*100/$B$8</f>
        <v>0</v>
      </c>
      <c r="AT180" s="64">
        <f>AT100*AT154*100/$B$8</f>
        <v>0</v>
      </c>
      <c r="AU180" s="64">
        <f>AU100*AU154*100/$B$8</f>
        <v>0</v>
      </c>
      <c r="AV180" s="64">
        <f>AV100*AV154*100/$B$8</f>
        <v>0</v>
      </c>
      <c r="AW180" s="64">
        <f>AW100*AW154*100/$B$8</f>
        <v>0</v>
      </c>
      <c r="AX180" s="64">
        <f>AX100*AX154*100/$B$8</f>
        <v>0.44688896528016503</v>
      </c>
      <c r="AY180" s="64">
        <f>AY100*AY154*100/$B$8</f>
        <v>0</v>
      </c>
      <c r="AZ180" s="64">
        <f>AZ100*AZ154*100/$B$8</f>
        <v>0</v>
      </c>
      <c r="BA180" s="64">
        <f>BA100*BA154*100/$B$8</f>
        <v>0</v>
      </c>
      <c r="BB180" s="64">
        <f>BB100*BB154*100/$B$8</f>
        <v>0</v>
      </c>
      <c r="BC180" s="64">
        <f>BC100*BC154*100/$B$8</f>
        <v>0</v>
      </c>
      <c r="BD180" s="64">
        <f>BD100*BD154*100/$B$8</f>
        <v>0</v>
      </c>
      <c r="BE180" s="64">
        <f>BE100*BE154*100/$B$8</f>
        <v>0</v>
      </c>
      <c r="BF180" s="64">
        <f>BF100*BF154*100/$B$8</f>
        <v>0</v>
      </c>
      <c r="BG180" s="64">
        <f>BG100*BG154*100/$B$8</f>
        <v>0.30938466827088346</v>
      </c>
      <c r="BH180" s="64">
        <f>BH100*BH154*100/$B$8</f>
        <v>0</v>
      </c>
      <c r="BI180" s="64">
        <f>BI100*BI154*100/$B$8</f>
        <v>0</v>
      </c>
      <c r="BJ180" s="64">
        <f>BJ100*BJ154*100/$B$8</f>
        <v>0</v>
      </c>
      <c r="BK180" s="64">
        <f>BK100*BK154*100/$B$8</f>
        <v>0</v>
      </c>
      <c r="BL180" s="64">
        <f>BL100*BL154*100/$B$8</f>
        <v>0</v>
      </c>
      <c r="BM180" s="64">
        <f>BM100*BM154*100/$B$8</f>
        <v>0</v>
      </c>
      <c r="BN180" s="64">
        <f>BN100*BN154*100/$B$8</f>
        <v>0</v>
      </c>
      <c r="BO180" s="64">
        <f>BO100*BO154*100/$B$8</f>
        <v>0</v>
      </c>
      <c r="BP180" s="64">
        <f>BP100*BP154*100/$B$8</f>
        <v>0</v>
      </c>
      <c r="BQ180" s="64">
        <f>BQ100*BQ154*100/$B$8</f>
        <v>0</v>
      </c>
      <c r="BR180" s="64">
        <f>BR100*BR154*100/$B$8</f>
        <v>0</v>
      </c>
      <c r="BS180" s="64">
        <f>BS100*BS154*100/$B$8</f>
        <v>0</v>
      </c>
      <c r="BT180" s="64">
        <f>BT100*BT154*100/$B$8</f>
        <v>0</v>
      </c>
      <c r="BU180" s="64">
        <f>BU100*BU154*100/$B$8</f>
        <v>0</v>
      </c>
      <c r="BV180" s="64">
        <f>BV100*BV154*100/$B$8</f>
        <v>0</v>
      </c>
      <c r="BW180" s="64">
        <f>BW100*BW154*100/$B$8</f>
        <v>0</v>
      </c>
      <c r="BX180" s="64">
        <f>BX100*BX154*100/$B$8</f>
        <v>0</v>
      </c>
      <c r="BY180" s="64">
        <f>BY100*BY154*100/$B$8</f>
        <v>0</v>
      </c>
      <c r="BZ180" s="64">
        <f>BZ100*BZ154*100/$B$8</f>
        <v>0</v>
      </c>
      <c r="CA180" s="64">
        <f>CA100*CA154*100/$B$8</f>
        <v>0</v>
      </c>
      <c r="CB180" s="64">
        <f>CB100*CB154*100/$B$8</f>
        <v>0</v>
      </c>
      <c r="CC180" s="64">
        <f>CC100*CC154*100/$B$8</f>
        <v>0</v>
      </c>
      <c r="CD180" s="64">
        <f>CD100*CD154*100/$B$8</f>
        <v>0</v>
      </c>
      <c r="CE180" s="64">
        <f>CE100*CE154*100/$B$8</f>
        <v>0</v>
      </c>
      <c r="CF180" s="64">
        <f>CF100*CF154*100/$B$8</f>
        <v>0</v>
      </c>
      <c r="CG180" s="64">
        <f>CG100*CG154*100/$B$8</f>
        <v>0</v>
      </c>
      <c r="CH180" s="64">
        <f>CH100*CH154*100/$B$8</f>
        <v>0</v>
      </c>
      <c r="CI180" s="64">
        <f>CI100*CI154*100/$B$8</f>
        <v>0</v>
      </c>
      <c r="CJ180" s="64">
        <f>CJ100*CJ154*100/$B$8</f>
        <v>0</v>
      </c>
      <c r="CK180" s="64">
        <f>CK100*CK154*100/$B$8</f>
        <v>0</v>
      </c>
      <c r="CL180" s="64">
        <f>CL100*CL154*100/$B$8</f>
        <v>0</v>
      </c>
      <c r="CM180" s="64">
        <f>CM100*CM154*100/$B$8</f>
        <v>0</v>
      </c>
      <c r="CN180" s="64">
        <f>CN100*CN154*100/$B$8</f>
        <v>0</v>
      </c>
      <c r="CO180" s="64">
        <f>CO100*CO154*100/$B$8</f>
        <v>0</v>
      </c>
      <c r="CP180" s="64">
        <f>CP100*CP154*100/$B$8</f>
        <v>0</v>
      </c>
      <c r="CQ180" s="64">
        <f>CQ100*CQ154*100/$B$8</f>
        <v>0</v>
      </c>
      <c r="CR180" s="64">
        <f>CR100*CR154*100/$B$8</f>
        <v>0</v>
      </c>
      <c r="CS180" s="64">
        <f>CS100*CS154*100/$B$8</f>
        <v>0</v>
      </c>
      <c r="CT180" s="64">
        <f>CT100*CT154*100/$B$8</f>
        <v>0</v>
      </c>
      <c r="CU180" s="64">
        <f>CU100*CU154*100/$B$8</f>
        <v>0</v>
      </c>
      <c r="CV180" s="64">
        <f>CV100*CV154*100/$B$8</f>
        <v>0</v>
      </c>
      <c r="CW180" s="64">
        <f>CW100*CW154*100/$B$8</f>
        <v>0.55001718803712618</v>
      </c>
      <c r="CX180" s="64">
        <f>CX100*CX154*100/$B$8</f>
        <v>0</v>
      </c>
      <c r="CY180" s="64">
        <f>CY100*CY154*100/$B$8</f>
        <v>0</v>
      </c>
      <c r="CZ180" s="64">
        <f>CZ100*CZ154*100/$B$8</f>
        <v>1.512547267102097</v>
      </c>
      <c r="DA180" s="64">
        <f>DA100*DA154*100/$B$8</f>
        <v>0</v>
      </c>
      <c r="DB180" s="64">
        <f>DB100*DB154*100/$B$8</f>
        <v>0</v>
      </c>
      <c r="DC180" s="64">
        <f>DC100*DC154*100/$B$8</f>
        <v>0</v>
      </c>
      <c r="DD180" s="64">
        <f>DD100*DD154*100/$B$8</f>
        <v>0</v>
      </c>
      <c r="DE180" s="64">
        <f>DE100*DE154*100/$B$8</f>
        <v>0</v>
      </c>
      <c r="DF180" s="64">
        <f>DF100*DF154*100/$B$8</f>
        <v>0</v>
      </c>
      <c r="DG180" s="64">
        <f>DG100*DG154*100/$B$8</f>
        <v>0</v>
      </c>
      <c r="DH180" s="64">
        <f>DH100*DH154*100/$B$8</f>
        <v>0</v>
      </c>
      <c r="DI180" s="64">
        <f>DI100*DI154*100/$B$8</f>
        <v>0</v>
      </c>
      <c r="DJ180" s="64">
        <f>DJ100*DJ154*100/$B$8</f>
        <v>1.8563080096253008</v>
      </c>
      <c r="DK180" s="64">
        <f>DK100*DK154*100/$B$8</f>
        <v>0</v>
      </c>
      <c r="DL180" s="64">
        <f>DL100*DL154*100/$B$8</f>
        <v>0.51564111378480582</v>
      </c>
      <c r="DM180" s="64">
        <f>DM100*DM154*100/$B$8</f>
        <v>0.10312822275696115</v>
      </c>
      <c r="DN180" s="64">
        <f>DN100*DN154*100/$B$8</f>
        <v>0</v>
      </c>
      <c r="DO180" s="64">
        <f>DO100*DO154*100/$B$8</f>
        <v>0</v>
      </c>
      <c r="DP180" s="64">
        <f>DP100*DP154*100/$B$8</f>
        <v>0.41251289102784461</v>
      </c>
      <c r="DQ180" s="64">
        <f>DQ100*DQ154*100/$B$8</f>
        <v>0</v>
      </c>
      <c r="DR180" s="64">
        <f>DR100*DR154*100/$B$8</f>
        <v>0</v>
      </c>
      <c r="DS180" s="64">
        <f>DS100*DS154*100/$B$8</f>
        <v>0</v>
      </c>
      <c r="DT180" s="64">
        <f>DT100*DT154*100/$B$8</f>
        <v>0.30938466827088346</v>
      </c>
      <c r="DU180" s="64">
        <f>DU100*DU154*100/$B$8</f>
        <v>0</v>
      </c>
      <c r="DV180" s="64">
        <f>DV100*DV154*100/$B$8</f>
        <v>1.7188037126160192</v>
      </c>
      <c r="DW180" s="64">
        <f>DW100*DW154*100/$B$8</f>
        <v>0</v>
      </c>
      <c r="DX180" s="64">
        <f>DX100*DX154*100/$B$8</f>
        <v>0</v>
      </c>
      <c r="DY180" s="64">
        <f>DY100*DY154*100/$B$8</f>
        <v>0</v>
      </c>
      <c r="DZ180" s="64">
        <f>DZ100*DZ154*100/$B$8</f>
        <v>0</v>
      </c>
      <c r="EA180" s="64">
        <f>EA100*EA154*100/$B$8</f>
        <v>0</v>
      </c>
      <c r="EB180" s="64">
        <f>EB100*EB154*100/$B$8</f>
        <v>0</v>
      </c>
      <c r="EC180" s="64">
        <f>EC100*EC154*100/$B$8</f>
        <v>0.48126503953248539</v>
      </c>
      <c r="ED180" s="64">
        <f>ED100*ED154*100/$B$8</f>
        <v>0</v>
      </c>
      <c r="EE180" s="64">
        <f>EE100*EE154*100/$B$8</f>
        <v>0</v>
      </c>
      <c r="EF180" s="64">
        <f>EF100*EF154*100/$B$8</f>
        <v>0</v>
      </c>
      <c r="EG180" s="64">
        <f>EG100*EG154*100/$B$8</f>
        <v>0</v>
      </c>
      <c r="EH180" s="64">
        <f>EH100*EH154*100/$B$8</f>
        <v>0</v>
      </c>
      <c r="EI180" s="64">
        <f>EI100*EI154*100/$B$8</f>
        <v>0</v>
      </c>
      <c r="EJ180" s="64">
        <f>EJ100*EJ154*100/$B$8</f>
        <v>0</v>
      </c>
      <c r="EK180" s="64">
        <f>EK100*EK154*100/$B$8</f>
        <v>0</v>
      </c>
      <c r="EL180" s="64">
        <f>EL100*EL154*100/$B$8</f>
        <v>0</v>
      </c>
      <c r="EM180" s="64">
        <f>EM100*EM154*100/$B$8</f>
        <v>0</v>
      </c>
      <c r="EN180" s="64">
        <f>EN100*EN154*100/$B$8</f>
        <v>0</v>
      </c>
      <c r="EO180" s="64">
        <f>EO100*EO154*100/$B$8</f>
        <v>0</v>
      </c>
      <c r="EP180" s="64">
        <f>EP100*EP154*100/$B$8</f>
        <v>0</v>
      </c>
      <c r="EQ180" s="64">
        <f>EQ100*EQ154*100/$B$8</f>
        <v>0</v>
      </c>
      <c r="ER180" s="64">
        <f>ER100*ER154*100/$B$8</f>
        <v>0</v>
      </c>
      <c r="ES180" s="64">
        <f>ES100*ES154*100/$B$8</f>
        <v>0</v>
      </c>
    </row>
    <row r="181" spans="1:150" x14ac:dyDescent="0.3">
      <c r="A181" s="37" t="s">
        <v>25</v>
      </c>
      <c r="B181" s="64">
        <f>B101*B155*100/$B$8</f>
        <v>0</v>
      </c>
      <c r="C181" s="64">
        <f>C101*C155*100/$B$8</f>
        <v>0</v>
      </c>
      <c r="D181" s="64">
        <f>D101*D155*100/$B$8</f>
        <v>0.2406325197662427</v>
      </c>
      <c r="E181" s="64">
        <f>E101*E155*100/$B$8</f>
        <v>0</v>
      </c>
      <c r="F181" s="64">
        <f>F101*F155*100/$B$8</f>
        <v>0</v>
      </c>
      <c r="G181" s="64">
        <f>G101*G155*100/$B$8</f>
        <v>0</v>
      </c>
      <c r="H181" s="64">
        <f>H101*H155*100/$B$8</f>
        <v>0</v>
      </c>
      <c r="I181" s="64">
        <f>I101*I155*100/$B$8</f>
        <v>0</v>
      </c>
      <c r="J181" s="64">
        <f>J101*J155*100/$B$8</f>
        <v>0</v>
      </c>
      <c r="K181" s="64">
        <f>K101*K155*100/$B$8</f>
        <v>0.2062564455139223</v>
      </c>
      <c r="L181" s="64">
        <f>L101*L155*100/$B$8</f>
        <v>0</v>
      </c>
      <c r="M181" s="64">
        <f>M101*M155*100/$B$8</f>
        <v>0</v>
      </c>
      <c r="N181" s="64">
        <f>N101*N155*100/$B$8</f>
        <v>0</v>
      </c>
      <c r="O181" s="64">
        <f>O101*O155*100/$B$8</f>
        <v>0.82502578205568922</v>
      </c>
      <c r="P181" s="64">
        <f>P101*P155*100/$B$8</f>
        <v>0</v>
      </c>
      <c r="Q181" s="64">
        <f>Q101*Q155*100/$B$8</f>
        <v>0</v>
      </c>
      <c r="R181" s="64">
        <f>R101*R155*100/$B$8</f>
        <v>0</v>
      </c>
      <c r="S181" s="64">
        <f>S101*S155*100/$B$8</f>
        <v>0</v>
      </c>
      <c r="T181" s="64">
        <f>T101*T155*100/$B$8</f>
        <v>0</v>
      </c>
      <c r="U181" s="64">
        <f>U101*U155*100/$B$8</f>
        <v>0</v>
      </c>
      <c r="V181" s="64">
        <f>V101*V155*100/$B$8</f>
        <v>0</v>
      </c>
      <c r="W181" s="64">
        <f>W101*W155*100/$B$8</f>
        <v>0</v>
      </c>
      <c r="X181" s="64">
        <f>X101*X155*100/$B$8</f>
        <v>0</v>
      </c>
      <c r="Y181" s="64">
        <f>Y101*Y155*100/$B$8</f>
        <v>0</v>
      </c>
      <c r="Z181" s="64">
        <f>Z101*Z155*100/$B$8</f>
        <v>0</v>
      </c>
      <c r="AA181" s="64">
        <f>AA101*AA155*100/$B$8</f>
        <v>0</v>
      </c>
      <c r="AB181" s="64">
        <f>AB101*AB155*100/$B$8</f>
        <v>0</v>
      </c>
      <c r="AC181" s="64">
        <f>AC101*AC155*100/$B$8</f>
        <v>0</v>
      </c>
      <c r="AD181" s="64">
        <f>AD101*AD155*100/$B$8</f>
        <v>0</v>
      </c>
      <c r="AE181" s="64">
        <f>AE101*AE155*100/$B$8</f>
        <v>0</v>
      </c>
      <c r="AF181" s="64">
        <f>AF101*AF155*100/$B$8</f>
        <v>0</v>
      </c>
      <c r="AG181" s="64">
        <f>AG101*AG155*100/$B$8</f>
        <v>0</v>
      </c>
      <c r="AH181" s="64">
        <f>AH101*AH155*100/$B$8</f>
        <v>0</v>
      </c>
      <c r="AI181" s="64">
        <f>AI101*AI155*100/$B$8</f>
        <v>0</v>
      </c>
      <c r="AJ181" s="64">
        <f>AJ101*AJ155*100/$B$8</f>
        <v>0</v>
      </c>
      <c r="AK181" s="64">
        <f>AK101*AK155*100/$B$8</f>
        <v>0</v>
      </c>
      <c r="AL181" s="64">
        <f>AL101*AL155*100/$B$8</f>
        <v>0</v>
      </c>
      <c r="AM181" s="64">
        <f>AM101*AM155*100/$B$8</f>
        <v>0</v>
      </c>
      <c r="AN181" s="64">
        <f>AN101*AN155*100/$B$8</f>
        <v>0</v>
      </c>
      <c r="AO181" s="64">
        <f>AO101*AO155*100/$B$8</f>
        <v>0</v>
      </c>
      <c r="AP181" s="64">
        <f>AP101*AP155*100/$B$8</f>
        <v>0</v>
      </c>
      <c r="AQ181" s="64">
        <f>AQ101*AQ155*100/$B$8</f>
        <v>0</v>
      </c>
      <c r="AR181" s="64">
        <f>AR101*AR155*100/$B$8</f>
        <v>0</v>
      </c>
      <c r="AS181" s="64">
        <f>AS101*AS155*100/$B$8</f>
        <v>0</v>
      </c>
      <c r="AT181" s="64">
        <f>AT101*AT155*100/$B$8</f>
        <v>0</v>
      </c>
      <c r="AU181" s="64">
        <f>AU101*AU155*100/$B$8</f>
        <v>0</v>
      </c>
      <c r="AV181" s="64">
        <f>AV101*AV155*100/$B$8</f>
        <v>0</v>
      </c>
      <c r="AW181" s="64">
        <f>AW101*AW155*100/$B$8</f>
        <v>0</v>
      </c>
      <c r="AX181" s="64">
        <f>AX101*AX155*100/$B$8</f>
        <v>0</v>
      </c>
      <c r="AY181" s="64">
        <f>AY101*AY155*100/$B$8</f>
        <v>0</v>
      </c>
      <c r="AZ181" s="64">
        <f>AZ101*AZ155*100/$B$8</f>
        <v>0</v>
      </c>
      <c r="BA181" s="64">
        <f>BA101*BA155*100/$B$8</f>
        <v>0</v>
      </c>
      <c r="BB181" s="64">
        <f>BB101*BB155*100/$B$8</f>
        <v>0</v>
      </c>
      <c r="BC181" s="64">
        <f>BC101*BC155*100/$B$8</f>
        <v>0</v>
      </c>
      <c r="BD181" s="64">
        <f>BD101*BD155*100/$B$8</f>
        <v>0</v>
      </c>
      <c r="BE181" s="64">
        <f>BE101*BE155*100/$B$8</f>
        <v>0</v>
      </c>
      <c r="BF181" s="64">
        <f>BF101*BF155*100/$B$8</f>
        <v>0</v>
      </c>
      <c r="BG181" s="64">
        <f>BG101*BG155*100/$B$8</f>
        <v>0</v>
      </c>
      <c r="BH181" s="64">
        <f>BH101*BH155*100/$B$8</f>
        <v>0</v>
      </c>
      <c r="BI181" s="64">
        <f>BI101*BI155*100/$B$8</f>
        <v>0</v>
      </c>
      <c r="BJ181" s="64">
        <f>BJ101*BJ155*100/$B$8</f>
        <v>0</v>
      </c>
      <c r="BK181" s="64">
        <f>BK101*BK155*100/$B$8</f>
        <v>0</v>
      </c>
      <c r="BL181" s="64">
        <f>BL101*BL155*100/$B$8</f>
        <v>0</v>
      </c>
      <c r="BM181" s="64">
        <f>BM101*BM155*100/$B$8</f>
        <v>0</v>
      </c>
      <c r="BN181" s="64">
        <f>BN101*BN155*100/$B$8</f>
        <v>0</v>
      </c>
      <c r="BO181" s="64">
        <f>BO101*BO155*100/$B$8</f>
        <v>0</v>
      </c>
      <c r="BP181" s="64">
        <f>BP101*BP155*100/$B$8</f>
        <v>0</v>
      </c>
      <c r="BQ181" s="64">
        <f>BQ101*BQ155*100/$B$8</f>
        <v>0</v>
      </c>
      <c r="BR181" s="64">
        <f>BR101*BR155*100/$B$8</f>
        <v>0</v>
      </c>
      <c r="BS181" s="64">
        <f>BS101*BS155*100/$B$8</f>
        <v>0.10656583018219319</v>
      </c>
      <c r="BT181" s="64">
        <f>BT101*BT155*100/$B$8</f>
        <v>0</v>
      </c>
      <c r="BU181" s="64">
        <f>BU101*BU155*100/$B$8</f>
        <v>0</v>
      </c>
      <c r="BV181" s="64">
        <f>BV101*BV155*100/$B$8</f>
        <v>0</v>
      </c>
      <c r="BW181" s="64">
        <f>BW101*BW155*100/$B$8</f>
        <v>0</v>
      </c>
      <c r="BX181" s="64">
        <f>BX101*BX155*100/$B$8</f>
        <v>0</v>
      </c>
      <c r="BY181" s="64">
        <f>BY101*BY155*100/$B$8</f>
        <v>0</v>
      </c>
      <c r="BZ181" s="64">
        <f>BZ101*BZ155*100/$B$8</f>
        <v>0</v>
      </c>
      <c r="CA181" s="64">
        <f>CA101*CA155*100/$B$8</f>
        <v>0</v>
      </c>
      <c r="CB181" s="64">
        <f>CB101*CB155*100/$B$8</f>
        <v>0</v>
      </c>
      <c r="CC181" s="64">
        <f>CC101*CC155*100/$B$8</f>
        <v>0</v>
      </c>
      <c r="CD181" s="64">
        <f>CD101*CD155*100/$B$8</f>
        <v>0</v>
      </c>
      <c r="CE181" s="64">
        <f>CE101*CE155*100/$B$8</f>
        <v>0.48126503953248539</v>
      </c>
      <c r="CF181" s="64">
        <f>CF101*CF155*100/$B$8</f>
        <v>0</v>
      </c>
      <c r="CG181" s="64">
        <f>CG101*CG155*100/$B$8</f>
        <v>0</v>
      </c>
      <c r="CH181" s="64">
        <f>CH101*CH155*100/$B$8</f>
        <v>0</v>
      </c>
      <c r="CI181" s="64">
        <f>CI101*CI155*100/$B$8</f>
        <v>0</v>
      </c>
      <c r="CJ181" s="64">
        <f>CJ101*CJ155*100/$B$8</f>
        <v>0</v>
      </c>
      <c r="CK181" s="64">
        <f>CK101*CK155*100/$B$8</f>
        <v>0</v>
      </c>
      <c r="CL181" s="64">
        <f>CL101*CL155*100/$B$8</f>
        <v>0</v>
      </c>
      <c r="CM181" s="64">
        <f>CM101*CM155*100/$B$8</f>
        <v>0</v>
      </c>
      <c r="CN181" s="64">
        <f>CN101*CN155*100/$B$8</f>
        <v>0</v>
      </c>
      <c r="CO181" s="64">
        <f>CO101*CO155*100/$B$8</f>
        <v>0</v>
      </c>
      <c r="CP181" s="64">
        <f>CP101*CP155*100/$B$8</f>
        <v>0</v>
      </c>
      <c r="CQ181" s="64">
        <f>CQ101*CQ155*100/$B$8</f>
        <v>3.4376074252320386E-2</v>
      </c>
      <c r="CR181" s="64">
        <f>CR101*CR155*100/$B$8</f>
        <v>0</v>
      </c>
      <c r="CS181" s="64">
        <f>CS101*CS155*100/$B$8</f>
        <v>0</v>
      </c>
      <c r="CT181" s="64">
        <f>CT101*CT155*100/$B$8</f>
        <v>0</v>
      </c>
      <c r="CU181" s="64">
        <f>CU101*CU155*100/$B$8</f>
        <v>0</v>
      </c>
      <c r="CV181" s="64">
        <f>CV101*CV155*100/$B$8</f>
        <v>0</v>
      </c>
      <c r="CW181" s="64">
        <f>CW101*CW155*100/$B$8</f>
        <v>0</v>
      </c>
      <c r="CX181" s="64">
        <f>CX101*CX155*100/$B$8</f>
        <v>0.92815400481265042</v>
      </c>
      <c r="CY181" s="64">
        <f>CY101*CY155*100/$B$8</f>
        <v>0</v>
      </c>
      <c r="CZ181" s="64">
        <f>CZ101*CZ155*100/$B$8</f>
        <v>0</v>
      </c>
      <c r="DA181" s="64">
        <f>DA101*DA155*100/$B$8</f>
        <v>0</v>
      </c>
      <c r="DB181" s="64">
        <f>DB101*DB155*100/$B$8</f>
        <v>0</v>
      </c>
      <c r="DC181" s="64">
        <f>DC101*DC155*100/$B$8</f>
        <v>0</v>
      </c>
      <c r="DD181" s="64">
        <f>DD101*DD155*100/$B$8</f>
        <v>0.30938466827088346</v>
      </c>
      <c r="DE181" s="64">
        <f>DE101*DE155*100/$B$8</f>
        <v>0.13750429700928155</v>
      </c>
      <c r="DF181" s="64">
        <f>DF101*DF155*100/$B$8</f>
        <v>0.55001718803712618</v>
      </c>
      <c r="DG181" s="64">
        <f>DG101*DG155*100/$B$8</f>
        <v>0</v>
      </c>
      <c r="DH181" s="64">
        <f>DH101*DH155*100/$B$8</f>
        <v>0</v>
      </c>
      <c r="DI181" s="64">
        <f>DI101*DI155*100/$B$8</f>
        <v>0</v>
      </c>
      <c r="DJ181" s="64">
        <f>DJ101*DJ155*100/$B$8</f>
        <v>0</v>
      </c>
      <c r="DK181" s="64">
        <f>DK101*DK155*100/$B$8</f>
        <v>1.3750429700928155</v>
      </c>
      <c r="DL181" s="64">
        <f>DL101*DL155*100/$B$8</f>
        <v>0</v>
      </c>
      <c r="DM181" s="64">
        <f>DM101*DM155*100/$B$8</f>
        <v>0</v>
      </c>
      <c r="DN181" s="64">
        <f>DN101*DN155*100/$B$8</f>
        <v>0</v>
      </c>
      <c r="DO181" s="64">
        <f>DO101*DO155*100/$B$8</f>
        <v>0</v>
      </c>
      <c r="DP181" s="64">
        <f>DP101*DP155*100/$B$8</f>
        <v>0</v>
      </c>
      <c r="DQ181" s="64">
        <f>DQ101*DQ155*100/$B$8</f>
        <v>0</v>
      </c>
      <c r="DR181" s="64">
        <f>DR101*DR155*100/$B$8</f>
        <v>0</v>
      </c>
      <c r="DS181" s="64">
        <f>DS101*DS155*100/$B$8</f>
        <v>0</v>
      </c>
      <c r="DT181" s="64">
        <f>DT101*DT155*100/$B$8</f>
        <v>0</v>
      </c>
      <c r="DU181" s="64">
        <f>DU101*DU155*100/$B$8</f>
        <v>0</v>
      </c>
      <c r="DV181" s="64">
        <f>DV101*DV155*100/$B$8</f>
        <v>0</v>
      </c>
      <c r="DW181" s="64">
        <f>DW101*DW155*100/$B$8</f>
        <v>0.72189755929872812</v>
      </c>
      <c r="DX181" s="64">
        <f>DX101*DX155*100/$B$8</f>
        <v>0.92815400481265042</v>
      </c>
      <c r="DY181" s="64">
        <f>DY101*DY155*100/$B$8</f>
        <v>0</v>
      </c>
      <c r="DZ181" s="64">
        <f>DZ101*DZ155*100/$B$8</f>
        <v>0.13750429700928155</v>
      </c>
      <c r="EA181" s="64">
        <f>EA101*EA155*100/$B$8</f>
        <v>0</v>
      </c>
      <c r="EB181" s="64">
        <f>EB101*EB155*100/$B$8</f>
        <v>0</v>
      </c>
      <c r="EC181" s="64">
        <f>EC101*EC155*100/$B$8</f>
        <v>0</v>
      </c>
      <c r="ED181" s="64">
        <f>ED101*ED155*100/$B$8</f>
        <v>0</v>
      </c>
      <c r="EE181" s="64">
        <f>EE101*EE155*100/$B$8</f>
        <v>0.27500859401856309</v>
      </c>
      <c r="EF181" s="64">
        <f>EF101*EF155*100/$B$8</f>
        <v>0</v>
      </c>
      <c r="EG181" s="64">
        <f>EG101*EG155*100/$B$8</f>
        <v>0</v>
      </c>
      <c r="EH181" s="64">
        <f>EH101*EH155*100/$B$8</f>
        <v>0</v>
      </c>
      <c r="EI181" s="64">
        <f>EI101*EI155*100/$B$8</f>
        <v>0</v>
      </c>
      <c r="EJ181" s="64">
        <f>EJ101*EJ155*100/$B$8</f>
        <v>0</v>
      </c>
      <c r="EK181" s="64">
        <f>EK101*EK155*100/$B$8</f>
        <v>0</v>
      </c>
      <c r="EL181" s="64">
        <f>EL101*EL155*100/$B$8</f>
        <v>0</v>
      </c>
      <c r="EM181" s="64">
        <f>EM101*EM155*100/$B$8</f>
        <v>0</v>
      </c>
      <c r="EN181" s="64">
        <f>EN101*EN155*100/$B$8</f>
        <v>0</v>
      </c>
      <c r="EO181" s="64">
        <f>EO101*EO155*100/$B$8</f>
        <v>0</v>
      </c>
      <c r="EP181" s="64">
        <f>EP101*EP155*100/$B$8</f>
        <v>0</v>
      </c>
      <c r="EQ181" s="64">
        <f>EQ101*EQ155*100/$B$8</f>
        <v>0</v>
      </c>
      <c r="ER181" s="64">
        <f>ER101*ER155*100/$B$8</f>
        <v>0</v>
      </c>
      <c r="ES181" s="64">
        <f>ES101*ES155*100/$B$8</f>
        <v>0</v>
      </c>
    </row>
    <row r="182" spans="1:150" x14ac:dyDescent="0.3">
      <c r="A182" s="37" t="s">
        <v>8</v>
      </c>
      <c r="B182" s="64">
        <f>B102*B156*100/$B$8</f>
        <v>0</v>
      </c>
      <c r="C182" s="64">
        <f>C102*C156*100/$B$8</f>
        <v>0</v>
      </c>
      <c r="D182" s="64">
        <f>D102*D156*100/$B$8</f>
        <v>0</v>
      </c>
      <c r="E182" s="64">
        <f>E102*E156*100/$B$8</f>
        <v>0</v>
      </c>
      <c r="F182" s="64">
        <f>F102*F156*100/$B$8</f>
        <v>0</v>
      </c>
      <c r="G182" s="64">
        <f>G102*G156*100/$B$8</f>
        <v>0</v>
      </c>
      <c r="H182" s="64">
        <f>H102*H156*100/$B$8</f>
        <v>0</v>
      </c>
      <c r="I182" s="64">
        <f>I102*I156*100/$B$8</f>
        <v>0</v>
      </c>
      <c r="J182" s="64">
        <f>J102*J156*100/$B$8</f>
        <v>0</v>
      </c>
      <c r="K182" s="64">
        <f>K102*K156*100/$B$8</f>
        <v>0</v>
      </c>
      <c r="L182" s="64">
        <f>L102*L156*100/$B$8</f>
        <v>0</v>
      </c>
      <c r="M182" s="64">
        <f>M102*M156*100/$B$8</f>
        <v>0</v>
      </c>
      <c r="N182" s="64">
        <f>N102*N156*100/$B$8</f>
        <v>0</v>
      </c>
      <c r="O182" s="64">
        <f>O102*O156*100/$B$8</f>
        <v>0</v>
      </c>
      <c r="P182" s="64">
        <f>P102*P156*100/$B$8</f>
        <v>0</v>
      </c>
      <c r="Q182" s="64">
        <f>Q102*Q156*100/$B$8</f>
        <v>0</v>
      </c>
      <c r="R182" s="64">
        <f>R102*R156*100/$B$8</f>
        <v>0</v>
      </c>
      <c r="S182" s="64">
        <f>S102*S156*100/$B$8</f>
        <v>0</v>
      </c>
      <c r="T182" s="64">
        <f>T102*T156*100/$B$8</f>
        <v>0</v>
      </c>
      <c r="U182" s="64">
        <f>U102*U156*100/$B$8</f>
        <v>0</v>
      </c>
      <c r="V182" s="64">
        <f>V102*V156*100/$B$8</f>
        <v>0</v>
      </c>
      <c r="W182" s="64">
        <f>W102*W156*100/$B$8</f>
        <v>0</v>
      </c>
      <c r="X182" s="64">
        <f>X102*X156*100/$B$8</f>
        <v>0</v>
      </c>
      <c r="Y182" s="64">
        <f>Y102*Y156*100/$B$8</f>
        <v>0</v>
      </c>
      <c r="Z182" s="64">
        <f>Z102*Z156*100/$B$8</f>
        <v>0</v>
      </c>
      <c r="AA182" s="64">
        <f>AA102*AA156*100/$B$8</f>
        <v>0</v>
      </c>
      <c r="AB182" s="64">
        <f>AB102*AB156*100/$B$8</f>
        <v>0</v>
      </c>
      <c r="AC182" s="64">
        <f>AC102*AC156*100/$B$8</f>
        <v>0</v>
      </c>
      <c r="AD182" s="64">
        <f>AD102*AD156*100/$B$8</f>
        <v>0</v>
      </c>
      <c r="AE182" s="64">
        <f>AE102*AE156*100/$B$8</f>
        <v>0</v>
      </c>
      <c r="AF182" s="64">
        <f>AF102*AF156*100/$B$8</f>
        <v>0</v>
      </c>
      <c r="AG182" s="64">
        <f>AG102*AG156*100/$B$8</f>
        <v>0</v>
      </c>
      <c r="AH182" s="64">
        <f>AH102*AH156*100/$B$8</f>
        <v>0</v>
      </c>
      <c r="AI182" s="64">
        <f>AI102*AI156*100/$B$8</f>
        <v>0</v>
      </c>
      <c r="AJ182" s="64">
        <f>AJ102*AJ156*100/$B$8</f>
        <v>0</v>
      </c>
      <c r="AK182" s="64">
        <f>AK102*AK156*100/$B$8</f>
        <v>0</v>
      </c>
      <c r="AL182" s="64">
        <f>AL102*AL156*100/$B$8</f>
        <v>0</v>
      </c>
      <c r="AM182" s="64">
        <f>AM102*AM156*100/$B$8</f>
        <v>0</v>
      </c>
      <c r="AN182" s="64">
        <f>AN102*AN156*100/$B$8</f>
        <v>0</v>
      </c>
      <c r="AO182" s="64">
        <f>AO102*AO156*100/$B$8</f>
        <v>0</v>
      </c>
      <c r="AP182" s="64">
        <f>AP102*AP156*100/$B$8</f>
        <v>0</v>
      </c>
      <c r="AQ182" s="64">
        <f>AQ102*AQ156*100/$B$8</f>
        <v>0</v>
      </c>
      <c r="AR182" s="64">
        <f>AR102*AR156*100/$B$8</f>
        <v>0</v>
      </c>
      <c r="AS182" s="64">
        <f>AS102*AS156*100/$B$8</f>
        <v>0</v>
      </c>
      <c r="AT182" s="64">
        <f>AT102*AT156*100/$B$8</f>
        <v>0</v>
      </c>
      <c r="AU182" s="64">
        <f>AU102*AU156*100/$B$8</f>
        <v>0</v>
      </c>
      <c r="AV182" s="64">
        <f>AV102*AV156*100/$B$8</f>
        <v>0</v>
      </c>
      <c r="AW182" s="64">
        <f>AW102*AW156*100/$B$8</f>
        <v>0</v>
      </c>
      <c r="AX182" s="64">
        <f>AX102*AX156*100/$B$8</f>
        <v>0</v>
      </c>
      <c r="AY182" s="64">
        <f>AY102*AY156*100/$B$8</f>
        <v>0</v>
      </c>
      <c r="AZ182" s="64">
        <f>AZ102*AZ156*100/$B$8</f>
        <v>0</v>
      </c>
      <c r="BA182" s="64">
        <f>BA102*BA156*100/$B$8</f>
        <v>0</v>
      </c>
      <c r="BB182" s="64">
        <f>BB102*BB156*100/$B$8</f>
        <v>0</v>
      </c>
      <c r="BC182" s="64">
        <f>BC102*BC156*100/$B$8</f>
        <v>0</v>
      </c>
      <c r="BD182" s="64">
        <f>BD102*BD156*100/$B$8</f>
        <v>0</v>
      </c>
      <c r="BE182" s="64">
        <f>BE102*BE156*100/$B$8</f>
        <v>0</v>
      </c>
      <c r="BF182" s="64">
        <f>BF102*BF156*100/$B$8</f>
        <v>0</v>
      </c>
      <c r="BG182" s="64">
        <f>BG102*BG156*100/$B$8</f>
        <v>0</v>
      </c>
      <c r="BH182" s="64">
        <f>BH102*BH156*100/$B$8</f>
        <v>0</v>
      </c>
      <c r="BI182" s="64">
        <f>BI102*BI156*100/$B$8</f>
        <v>0</v>
      </c>
      <c r="BJ182" s="64">
        <f>BJ102*BJ156*100/$B$8</f>
        <v>0</v>
      </c>
      <c r="BK182" s="64">
        <f>BK102*BK156*100/$B$8</f>
        <v>0</v>
      </c>
      <c r="BL182" s="64">
        <f>BL102*BL156*100/$B$8</f>
        <v>0</v>
      </c>
      <c r="BM182" s="64">
        <f>BM102*BM156*100/$B$8</f>
        <v>0</v>
      </c>
      <c r="BN182" s="64">
        <f>BN102*BN156*100/$B$8</f>
        <v>0</v>
      </c>
      <c r="BO182" s="64">
        <f>BO102*BO156*100/$B$8</f>
        <v>0</v>
      </c>
      <c r="BP182" s="64">
        <f>BP102*BP156*100/$B$8</f>
        <v>0</v>
      </c>
      <c r="BQ182" s="64">
        <f>BQ102*BQ156*100/$B$8</f>
        <v>0</v>
      </c>
      <c r="BR182" s="64">
        <f>BR102*BR156*100/$B$8</f>
        <v>0</v>
      </c>
      <c r="BS182" s="64">
        <f>BS102*BS156*100/$B$8</f>
        <v>0</v>
      </c>
      <c r="BT182" s="64">
        <f>BT102*BT156*100/$B$8</f>
        <v>0</v>
      </c>
      <c r="BU182" s="64">
        <f>BU102*BU156*100/$B$8</f>
        <v>0</v>
      </c>
      <c r="BV182" s="64">
        <f>BV102*BV156*100/$B$8</f>
        <v>0</v>
      </c>
      <c r="BW182" s="64">
        <f>BW102*BW156*100/$B$8</f>
        <v>0</v>
      </c>
      <c r="BX182" s="64">
        <f>BX102*BX156*100/$B$8</f>
        <v>0</v>
      </c>
      <c r="BY182" s="64">
        <f>BY102*BY156*100/$B$8</f>
        <v>0</v>
      </c>
      <c r="BZ182" s="64">
        <f>BZ102*BZ156*100/$B$8</f>
        <v>0</v>
      </c>
      <c r="CA182" s="64">
        <f>CA102*CA156*100/$B$8</f>
        <v>0</v>
      </c>
      <c r="CB182" s="64">
        <f>CB102*CB156*100/$B$8</f>
        <v>0</v>
      </c>
      <c r="CC182" s="64">
        <f>CC102*CC156*100/$B$8</f>
        <v>0</v>
      </c>
      <c r="CD182" s="64">
        <f>CD102*CD156*100/$B$8</f>
        <v>0</v>
      </c>
      <c r="CE182" s="64">
        <f>CE102*CE156*100/$B$8</f>
        <v>0</v>
      </c>
      <c r="CF182" s="64">
        <f>CF102*CF156*100/$B$8</f>
        <v>0</v>
      </c>
      <c r="CG182" s="64">
        <f>CG102*CG156*100/$B$8</f>
        <v>0</v>
      </c>
      <c r="CH182" s="64">
        <f>CH102*CH156*100/$B$8</f>
        <v>0</v>
      </c>
      <c r="CI182" s="64">
        <f>CI102*CI156*100/$B$8</f>
        <v>0</v>
      </c>
      <c r="CJ182" s="64">
        <f>CJ102*CJ156*100/$B$8</f>
        <v>0</v>
      </c>
      <c r="CK182" s="64">
        <f>CK102*CK156*100/$B$8</f>
        <v>0</v>
      </c>
      <c r="CL182" s="64">
        <f>CL102*CL156*100/$B$8</f>
        <v>0</v>
      </c>
      <c r="CM182" s="64">
        <f>CM102*CM156*100/$B$8</f>
        <v>0</v>
      </c>
      <c r="CN182" s="64">
        <f>CN102*CN156*100/$B$8</f>
        <v>0</v>
      </c>
      <c r="CO182" s="64">
        <f>CO102*CO156*100/$B$8</f>
        <v>0</v>
      </c>
      <c r="CP182" s="64">
        <f>CP102*CP156*100/$B$8</f>
        <v>0</v>
      </c>
      <c r="CQ182" s="64">
        <f>CQ102*CQ156*100/$B$8</f>
        <v>0</v>
      </c>
      <c r="CR182" s="64">
        <f>CR102*CR156*100/$B$8</f>
        <v>0</v>
      </c>
      <c r="CS182" s="64">
        <f>CS102*CS156*100/$B$8</f>
        <v>0</v>
      </c>
      <c r="CT182" s="64">
        <f>CT102*CT156*100/$B$8</f>
        <v>0</v>
      </c>
      <c r="CU182" s="64">
        <f>CU102*CU156*100/$B$8</f>
        <v>0</v>
      </c>
      <c r="CV182" s="64">
        <f>CV102*CV156*100/$B$8</f>
        <v>0</v>
      </c>
      <c r="CW182" s="64">
        <f>CW102*CW156*100/$B$8</f>
        <v>0</v>
      </c>
      <c r="CX182" s="64">
        <f>CX102*CX156*100/$B$8</f>
        <v>0</v>
      </c>
      <c r="CY182" s="64">
        <f>CY102*CY156*100/$B$8</f>
        <v>0</v>
      </c>
      <c r="CZ182" s="64">
        <f>CZ102*CZ156*100/$B$8</f>
        <v>0</v>
      </c>
      <c r="DA182" s="64">
        <f>DA102*DA156*100/$B$8</f>
        <v>0</v>
      </c>
      <c r="DB182" s="64">
        <f>DB102*DB156*100/$B$8</f>
        <v>0</v>
      </c>
      <c r="DC182" s="64">
        <f>DC102*DC156*100/$B$8</f>
        <v>0</v>
      </c>
      <c r="DD182" s="64">
        <f>DD102*DD156*100/$B$8</f>
        <v>0</v>
      </c>
      <c r="DE182" s="64">
        <f>DE102*DE156*100/$B$8</f>
        <v>0</v>
      </c>
      <c r="DF182" s="64">
        <f>DF102*DF156*100/$B$8</f>
        <v>0</v>
      </c>
      <c r="DG182" s="64">
        <f>DG102*DG156*100/$B$8</f>
        <v>0</v>
      </c>
      <c r="DH182" s="64">
        <f>DH102*DH156*100/$B$8</f>
        <v>0</v>
      </c>
      <c r="DI182" s="64">
        <f>DI102*DI156*100/$B$8</f>
        <v>0</v>
      </c>
      <c r="DJ182" s="64">
        <f>DJ102*DJ156*100/$B$8</f>
        <v>0</v>
      </c>
      <c r="DK182" s="64">
        <f>DK102*DK156*100/$B$8</f>
        <v>0</v>
      </c>
      <c r="DL182" s="64">
        <f>DL102*DL156*100/$B$8</f>
        <v>0</v>
      </c>
      <c r="DM182" s="64">
        <f>DM102*DM156*100/$B$8</f>
        <v>0</v>
      </c>
      <c r="DN182" s="64">
        <f>DN102*DN156*100/$B$8</f>
        <v>0</v>
      </c>
      <c r="DO182" s="64">
        <f>DO102*DO156*100/$B$8</f>
        <v>0</v>
      </c>
      <c r="DP182" s="64">
        <f>DP102*DP156*100/$B$8</f>
        <v>0</v>
      </c>
      <c r="DQ182" s="64">
        <f>DQ102*DQ156*100/$B$8</f>
        <v>0</v>
      </c>
      <c r="DR182" s="64">
        <f>DR102*DR156*100/$B$8</f>
        <v>0</v>
      </c>
      <c r="DS182" s="64">
        <f>DS102*DS156*100/$B$8</f>
        <v>0</v>
      </c>
      <c r="DT182" s="64">
        <f>DT102*DT156*100/$B$8</f>
        <v>0</v>
      </c>
      <c r="DU182" s="64">
        <f>DU102*DU156*100/$B$8</f>
        <v>0</v>
      </c>
      <c r="DV182" s="64">
        <f>DV102*DV156*100/$B$8</f>
        <v>0</v>
      </c>
      <c r="DW182" s="64">
        <f>DW102*DW156*100/$B$8</f>
        <v>0</v>
      </c>
      <c r="DX182" s="64">
        <f>DX102*DX156*100/$B$8</f>
        <v>0</v>
      </c>
      <c r="DY182" s="64">
        <f>DY102*DY156*100/$B$8</f>
        <v>0</v>
      </c>
      <c r="DZ182" s="64">
        <f>DZ102*DZ156*100/$B$8</f>
        <v>0</v>
      </c>
      <c r="EA182" s="64">
        <f>EA102*EA156*100/$B$8</f>
        <v>0</v>
      </c>
      <c r="EB182" s="64">
        <f>EB102*EB156*100/$B$8</f>
        <v>0</v>
      </c>
      <c r="EC182" s="64">
        <f>EC102*EC156*100/$B$8</f>
        <v>0</v>
      </c>
      <c r="ED182" s="64">
        <f>ED102*ED156*100/$B$8</f>
        <v>0</v>
      </c>
      <c r="EE182" s="64">
        <f>EE102*EE156*100/$B$8</f>
        <v>0</v>
      </c>
      <c r="EF182" s="64">
        <f>EF102*EF156*100/$B$8</f>
        <v>0</v>
      </c>
      <c r="EG182" s="64">
        <f>EG102*EG156*100/$B$8</f>
        <v>0</v>
      </c>
      <c r="EH182" s="64">
        <f>EH102*EH156*100/$B$8</f>
        <v>0</v>
      </c>
      <c r="EI182" s="64">
        <f>EI102*EI156*100/$B$8</f>
        <v>0</v>
      </c>
      <c r="EJ182" s="64">
        <f>EJ102*EJ156*100/$B$8</f>
        <v>0</v>
      </c>
      <c r="EK182" s="64">
        <f>EK102*EK156*100/$B$8</f>
        <v>0</v>
      </c>
      <c r="EL182" s="64">
        <f>EL102*EL156*100/$B$8</f>
        <v>0</v>
      </c>
      <c r="EM182" s="64">
        <f>EM102*EM156*100/$B$8</f>
        <v>0</v>
      </c>
      <c r="EN182" s="64">
        <f>EN102*EN156*100/$B$8</f>
        <v>0</v>
      </c>
      <c r="EO182" s="64">
        <f>EO102*EO156*100/$B$8</f>
        <v>0</v>
      </c>
      <c r="EP182" s="64">
        <f>EP102*EP156*100/$B$8</f>
        <v>0</v>
      </c>
      <c r="EQ182" s="64">
        <f>EQ102*EQ156*100/$B$8</f>
        <v>0</v>
      </c>
      <c r="ER182" s="64">
        <f>ER102*ER156*100/$B$8</f>
        <v>0</v>
      </c>
      <c r="ES182" s="64">
        <f>ES102*ES156*100/$B$8</f>
        <v>0</v>
      </c>
    </row>
    <row r="183" spans="1:150" x14ac:dyDescent="0.3">
      <c r="A183" s="37" t="s">
        <v>28</v>
      </c>
      <c r="B183" s="64">
        <f>B103*B157*100/$B$8</f>
        <v>0</v>
      </c>
      <c r="C183" s="64">
        <f>C103*C157*100/$B$8</f>
        <v>0</v>
      </c>
      <c r="D183" s="64">
        <f>D103*D157*100/$B$8</f>
        <v>0</v>
      </c>
      <c r="E183" s="64">
        <f>E103*E157*100/$B$8</f>
        <v>0</v>
      </c>
      <c r="F183" s="64">
        <f>F103*F157*100/$B$8</f>
        <v>0</v>
      </c>
      <c r="G183" s="64">
        <f>G103*G157*100/$B$8</f>
        <v>0</v>
      </c>
      <c r="H183" s="64">
        <f>H103*H157*100/$B$8</f>
        <v>0</v>
      </c>
      <c r="I183" s="64">
        <f>I103*I157*100/$B$8</f>
        <v>0</v>
      </c>
      <c r="J183" s="64">
        <f>J103*J157*100/$B$8</f>
        <v>0</v>
      </c>
      <c r="K183" s="64">
        <f>K103*K157*100/$B$8</f>
        <v>0</v>
      </c>
      <c r="L183" s="64">
        <f>L103*L157*100/$B$8</f>
        <v>0</v>
      </c>
      <c r="M183" s="64">
        <f>M103*M157*100/$B$8</f>
        <v>0</v>
      </c>
      <c r="N183" s="64">
        <f>N103*N157*100/$B$8</f>
        <v>0</v>
      </c>
      <c r="O183" s="64">
        <f>O103*O157*100/$B$8</f>
        <v>0</v>
      </c>
      <c r="P183" s="64">
        <f>P103*P157*100/$B$8</f>
        <v>0</v>
      </c>
      <c r="Q183" s="64">
        <f>Q103*Q157*100/$B$8</f>
        <v>0</v>
      </c>
      <c r="R183" s="64">
        <f>R103*R157*100/$B$8</f>
        <v>0</v>
      </c>
      <c r="S183" s="64">
        <f>S103*S157*100/$B$8</f>
        <v>0</v>
      </c>
      <c r="T183" s="64">
        <f>T103*T157*100/$B$8</f>
        <v>0</v>
      </c>
      <c r="U183" s="64">
        <f>U103*U157*100/$B$8</f>
        <v>0</v>
      </c>
      <c r="V183" s="64">
        <f>V103*V157*100/$B$8</f>
        <v>0</v>
      </c>
      <c r="W183" s="64">
        <f>W103*W157*100/$B$8</f>
        <v>0</v>
      </c>
      <c r="X183" s="64">
        <f>X103*X157*100/$B$8</f>
        <v>0</v>
      </c>
      <c r="Y183" s="64">
        <f>Y103*Y157*100/$B$8</f>
        <v>0</v>
      </c>
      <c r="Z183" s="64">
        <f>Z103*Z157*100/$B$8</f>
        <v>0</v>
      </c>
      <c r="AA183" s="64">
        <f>AA103*AA157*100/$B$8</f>
        <v>0</v>
      </c>
      <c r="AB183" s="64">
        <f>AB103*AB157*100/$B$8</f>
        <v>0</v>
      </c>
      <c r="AC183" s="64">
        <f>AC103*AC157*100/$B$8</f>
        <v>0</v>
      </c>
      <c r="AD183" s="64">
        <f>AD103*AD157*100/$B$8</f>
        <v>0</v>
      </c>
      <c r="AE183" s="64">
        <f>AE103*AE157*100/$B$8</f>
        <v>0</v>
      </c>
      <c r="AF183" s="64">
        <f>AF103*AF157*100/$B$8</f>
        <v>0</v>
      </c>
      <c r="AG183" s="64">
        <f>AG103*AG157*100/$B$8</f>
        <v>0</v>
      </c>
      <c r="AH183" s="64">
        <f>AH103*AH157*100/$B$8</f>
        <v>0</v>
      </c>
      <c r="AI183" s="64">
        <f>AI103*AI157*100/$B$8</f>
        <v>0</v>
      </c>
      <c r="AJ183" s="64">
        <f>AJ103*AJ157*100/$B$8</f>
        <v>0</v>
      </c>
      <c r="AK183" s="64">
        <f>AK103*AK157*100/$B$8</f>
        <v>0</v>
      </c>
      <c r="AL183" s="64">
        <f>AL103*AL157*100/$B$8</f>
        <v>0</v>
      </c>
      <c r="AM183" s="64">
        <f>AM103*AM157*100/$B$8</f>
        <v>0</v>
      </c>
      <c r="AN183" s="64">
        <f>AN103*AN157*100/$B$8</f>
        <v>0</v>
      </c>
      <c r="AO183" s="64">
        <f>AO103*AO157*100/$B$8</f>
        <v>0</v>
      </c>
      <c r="AP183" s="64">
        <f>AP103*AP157*100/$B$8</f>
        <v>0</v>
      </c>
      <c r="AQ183" s="64">
        <f>AQ103*AQ157*100/$B$8</f>
        <v>0</v>
      </c>
      <c r="AR183" s="64">
        <f>AR103*AR157*100/$B$8</f>
        <v>0</v>
      </c>
      <c r="AS183" s="64">
        <f>AS103*AS157*100/$B$8</f>
        <v>0</v>
      </c>
      <c r="AT183" s="64">
        <f>AT103*AT157*100/$B$8</f>
        <v>0</v>
      </c>
      <c r="AU183" s="64">
        <f>AU103*AU157*100/$B$8</f>
        <v>0</v>
      </c>
      <c r="AV183" s="64">
        <f>AV103*AV157*100/$B$8</f>
        <v>0</v>
      </c>
      <c r="AW183" s="64">
        <f>AW103*AW157*100/$B$8</f>
        <v>0</v>
      </c>
      <c r="AX183" s="64">
        <f>AX103*AX157*100/$B$8</f>
        <v>0</v>
      </c>
      <c r="AY183" s="64">
        <f>AY103*AY157*100/$B$8</f>
        <v>0</v>
      </c>
      <c r="AZ183" s="64">
        <f>AZ103*AZ157*100/$B$8</f>
        <v>0</v>
      </c>
      <c r="BA183" s="64">
        <f>BA103*BA157*100/$B$8</f>
        <v>0</v>
      </c>
      <c r="BB183" s="64">
        <f>BB103*BB157*100/$B$8</f>
        <v>0</v>
      </c>
      <c r="BC183" s="64">
        <f>BC103*BC157*100/$B$8</f>
        <v>0</v>
      </c>
      <c r="BD183" s="64">
        <f>BD103*BD157*100/$B$8</f>
        <v>0</v>
      </c>
      <c r="BE183" s="64">
        <f>BE103*BE157*100/$B$8</f>
        <v>0</v>
      </c>
      <c r="BF183" s="64">
        <f>BF103*BF157*100/$B$8</f>
        <v>0</v>
      </c>
      <c r="BG183" s="64">
        <f>BG103*BG157*100/$B$8</f>
        <v>0</v>
      </c>
      <c r="BH183" s="64">
        <f>BH103*BH157*100/$B$8</f>
        <v>0</v>
      </c>
      <c r="BI183" s="64">
        <f>BI103*BI157*100/$B$8</f>
        <v>0</v>
      </c>
      <c r="BJ183" s="64">
        <f>BJ103*BJ157*100/$B$8</f>
        <v>0</v>
      </c>
      <c r="BK183" s="64">
        <f>BK103*BK157*100/$B$8</f>
        <v>0</v>
      </c>
      <c r="BL183" s="64">
        <f>BL103*BL157*100/$B$8</f>
        <v>0</v>
      </c>
      <c r="BM183" s="64">
        <f>BM103*BM157*100/$B$8</f>
        <v>0</v>
      </c>
      <c r="BN183" s="64">
        <f>BN103*BN157*100/$B$8</f>
        <v>0</v>
      </c>
      <c r="BO183" s="64">
        <f>BO103*BO157*100/$B$8</f>
        <v>0</v>
      </c>
      <c r="BP183" s="64">
        <f>BP103*BP157*100/$B$8</f>
        <v>0</v>
      </c>
      <c r="BQ183" s="64">
        <f>BQ103*BQ157*100/$B$8</f>
        <v>0</v>
      </c>
      <c r="BR183" s="64">
        <f>BR103*BR157*100/$B$8</f>
        <v>0</v>
      </c>
      <c r="BS183" s="64">
        <f>BS103*BS157*100/$B$8</f>
        <v>0</v>
      </c>
      <c r="BT183" s="64">
        <f>BT103*BT157*100/$B$8</f>
        <v>0</v>
      </c>
      <c r="BU183" s="64">
        <f>BU103*BU157*100/$B$8</f>
        <v>0</v>
      </c>
      <c r="BV183" s="64">
        <f>BV103*BV157*100/$B$8</f>
        <v>0</v>
      </c>
      <c r="BW183" s="64">
        <f>BW103*BW157*100/$B$8</f>
        <v>0</v>
      </c>
      <c r="BX183" s="64">
        <f>BX103*BX157*100/$B$8</f>
        <v>0</v>
      </c>
      <c r="BY183" s="64">
        <f>BY103*BY157*100/$B$8</f>
        <v>0</v>
      </c>
      <c r="BZ183" s="64">
        <f>BZ103*BZ157*100/$B$8</f>
        <v>0</v>
      </c>
      <c r="CA183" s="64">
        <f>CA103*CA157*100/$B$8</f>
        <v>0</v>
      </c>
      <c r="CB183" s="64">
        <f>CB103*CB157*100/$B$8</f>
        <v>0</v>
      </c>
      <c r="CC183" s="64">
        <f>CC103*CC157*100/$B$8</f>
        <v>0</v>
      </c>
      <c r="CD183" s="64">
        <f>CD103*CD157*100/$B$8</f>
        <v>0</v>
      </c>
      <c r="CE183" s="64">
        <f>CE103*CE157*100/$B$8</f>
        <v>0</v>
      </c>
      <c r="CF183" s="64">
        <f>CF103*CF157*100/$B$8</f>
        <v>0</v>
      </c>
      <c r="CG183" s="64">
        <f>CG103*CG157*100/$B$8</f>
        <v>0</v>
      </c>
      <c r="CH183" s="64">
        <f>CH103*CH157*100/$B$8</f>
        <v>0</v>
      </c>
      <c r="CI183" s="64">
        <f>CI103*CI157*100/$B$8</f>
        <v>0</v>
      </c>
      <c r="CJ183" s="64">
        <f>CJ103*CJ157*100/$B$8</f>
        <v>0</v>
      </c>
      <c r="CK183" s="64">
        <f>CK103*CK157*100/$B$8</f>
        <v>0</v>
      </c>
      <c r="CL183" s="64">
        <f>CL103*CL157*100/$B$8</f>
        <v>0</v>
      </c>
      <c r="CM183" s="64">
        <f>CM103*CM157*100/$B$8</f>
        <v>0</v>
      </c>
      <c r="CN183" s="64">
        <f>CN103*CN157*100/$B$8</f>
        <v>0</v>
      </c>
      <c r="CO183" s="64">
        <f>CO103*CO157*100/$B$8</f>
        <v>0</v>
      </c>
      <c r="CP183" s="64">
        <f>CP103*CP157*100/$B$8</f>
        <v>0</v>
      </c>
      <c r="CQ183" s="64">
        <f>CQ103*CQ157*100/$B$8</f>
        <v>0</v>
      </c>
      <c r="CR183" s="64">
        <f>CR103*CR157*100/$B$8</f>
        <v>0</v>
      </c>
      <c r="CS183" s="64">
        <f>CS103*CS157*100/$B$8</f>
        <v>0</v>
      </c>
      <c r="CT183" s="64">
        <f>CT103*CT157*100/$B$8</f>
        <v>0</v>
      </c>
      <c r="CU183" s="64">
        <f>CU103*CU157*100/$B$8</f>
        <v>0</v>
      </c>
      <c r="CV183" s="64">
        <f>CV103*CV157*100/$B$8</f>
        <v>0</v>
      </c>
      <c r="CW183" s="64">
        <f>CW103*CW157*100/$B$8</f>
        <v>0</v>
      </c>
      <c r="CX183" s="64">
        <f>CX103*CX157*100/$B$8</f>
        <v>0</v>
      </c>
      <c r="CY183" s="64">
        <f>CY103*CY157*100/$B$8</f>
        <v>0</v>
      </c>
      <c r="CZ183" s="64">
        <f>CZ103*CZ157*100/$B$8</f>
        <v>0</v>
      </c>
      <c r="DA183" s="64">
        <f>DA103*DA157*100/$B$8</f>
        <v>0</v>
      </c>
      <c r="DB183" s="64">
        <f>DB103*DB157*100/$B$8</f>
        <v>0</v>
      </c>
      <c r="DC183" s="64">
        <f>DC103*DC157*100/$B$8</f>
        <v>0</v>
      </c>
      <c r="DD183" s="64">
        <f>DD103*DD157*100/$B$8</f>
        <v>0</v>
      </c>
      <c r="DE183" s="64">
        <f>DE103*DE157*100/$B$8</f>
        <v>0</v>
      </c>
      <c r="DF183" s="64">
        <f>DF103*DF157*100/$B$8</f>
        <v>0</v>
      </c>
      <c r="DG183" s="64">
        <f>DG103*DG157*100/$B$8</f>
        <v>0</v>
      </c>
      <c r="DH183" s="64">
        <f>DH103*DH157*100/$B$8</f>
        <v>0</v>
      </c>
      <c r="DI183" s="64">
        <f>DI103*DI157*100/$B$8</f>
        <v>0</v>
      </c>
      <c r="DJ183" s="64">
        <f>DJ103*DJ157*100/$B$8</f>
        <v>0</v>
      </c>
      <c r="DK183" s="64">
        <f>DK103*DK157*100/$B$8</f>
        <v>0</v>
      </c>
      <c r="DL183" s="64">
        <f>DL103*DL157*100/$B$8</f>
        <v>0</v>
      </c>
      <c r="DM183" s="64">
        <f>DM103*DM157*100/$B$8</f>
        <v>0</v>
      </c>
      <c r="DN183" s="64">
        <f>DN103*DN157*100/$B$8</f>
        <v>0</v>
      </c>
      <c r="DO183" s="64">
        <f>DO103*DO157*100/$B$8</f>
        <v>0</v>
      </c>
      <c r="DP183" s="64">
        <f>DP103*DP157*100/$B$8</f>
        <v>0</v>
      </c>
      <c r="DQ183" s="64">
        <f>DQ103*DQ157*100/$B$8</f>
        <v>0</v>
      </c>
      <c r="DR183" s="64">
        <f>DR103*DR157*100/$B$8</f>
        <v>0</v>
      </c>
      <c r="DS183" s="64">
        <f>DS103*DS157*100/$B$8</f>
        <v>0</v>
      </c>
      <c r="DT183" s="64">
        <f>DT103*DT157*100/$B$8</f>
        <v>0</v>
      </c>
      <c r="DU183" s="64">
        <f>DU103*DU157*100/$B$8</f>
        <v>0</v>
      </c>
      <c r="DV183" s="64">
        <f>DV103*DV157*100/$B$8</f>
        <v>0</v>
      </c>
      <c r="DW183" s="64">
        <f>DW103*DW157*100/$B$8</f>
        <v>0</v>
      </c>
      <c r="DX183" s="64">
        <f>DX103*DX157*100/$B$8</f>
        <v>0</v>
      </c>
      <c r="DY183" s="64">
        <f>DY103*DY157*100/$B$8</f>
        <v>0</v>
      </c>
      <c r="DZ183" s="64">
        <f>DZ103*DZ157*100/$B$8</f>
        <v>0</v>
      </c>
      <c r="EA183" s="64">
        <f>EA103*EA157*100/$B$8</f>
        <v>0</v>
      </c>
      <c r="EB183" s="64">
        <f>EB103*EB157*100/$B$8</f>
        <v>0</v>
      </c>
      <c r="EC183" s="64">
        <f>EC103*EC157*100/$B$8</f>
        <v>0</v>
      </c>
      <c r="ED183" s="64">
        <f>ED103*ED157*100/$B$8</f>
        <v>0</v>
      </c>
      <c r="EE183" s="64">
        <f>EE103*EE157*100/$B$8</f>
        <v>0</v>
      </c>
      <c r="EF183" s="64">
        <f>EF103*EF157*100/$B$8</f>
        <v>0</v>
      </c>
      <c r="EG183" s="64">
        <f>EG103*EG157*100/$B$8</f>
        <v>0</v>
      </c>
      <c r="EH183" s="64">
        <f>EH103*EH157*100/$B$8</f>
        <v>0</v>
      </c>
      <c r="EI183" s="64">
        <f>EI103*EI157*100/$B$8</f>
        <v>0</v>
      </c>
      <c r="EJ183" s="64">
        <f>EJ103*EJ157*100/$B$8</f>
        <v>0</v>
      </c>
      <c r="EK183" s="64">
        <f>EK103*EK157*100/$B$8</f>
        <v>0</v>
      </c>
      <c r="EL183" s="64">
        <f>EL103*EL157*100/$B$8</f>
        <v>0</v>
      </c>
      <c r="EM183" s="64">
        <f>EM103*EM157*100/$B$8</f>
        <v>0</v>
      </c>
      <c r="EN183" s="64">
        <f>EN103*EN157*100/$B$8</f>
        <v>0</v>
      </c>
      <c r="EO183" s="64">
        <f>EO103*EO157*100/$B$8</f>
        <v>0</v>
      </c>
      <c r="EP183" s="64">
        <f>EP103*EP157*100/$B$8</f>
        <v>0</v>
      </c>
      <c r="EQ183" s="64">
        <f>EQ103*EQ157*100/$B$8</f>
        <v>0</v>
      </c>
      <c r="ER183" s="64">
        <f>ER103*ER157*100/$B$8</f>
        <v>0</v>
      </c>
      <c r="ES183" s="64">
        <f>ES103*ES157*100/$B$8</f>
        <v>0</v>
      </c>
    </row>
    <row r="184" spans="1:150" x14ac:dyDescent="0.3">
      <c r="A184" s="37" t="s">
        <v>13</v>
      </c>
      <c r="B184" s="64">
        <f>B104*B158*100/$B$8</f>
        <v>0.89377793056033006</v>
      </c>
      <c r="C184" s="64">
        <f>C104*C158*100/$B$8</f>
        <v>0</v>
      </c>
      <c r="D184" s="64">
        <f>D104*D158*100/$B$8</f>
        <v>0</v>
      </c>
      <c r="E184" s="64">
        <f>E104*E158*100/$B$8</f>
        <v>0</v>
      </c>
      <c r="F184" s="64">
        <f>F104*F158*100/$B$8</f>
        <v>0.89377793056033006</v>
      </c>
      <c r="G184" s="64">
        <f>G104*G158*100/$B$8</f>
        <v>0</v>
      </c>
      <c r="H184" s="64">
        <f>H104*H158*100/$B$8</f>
        <v>0.27500859401856309</v>
      </c>
      <c r="I184" s="64">
        <f>I104*I158*100/$B$8</f>
        <v>0.68752148504640775</v>
      </c>
      <c r="J184" s="64">
        <f>J104*J158*100/$B$8</f>
        <v>0</v>
      </c>
      <c r="K184" s="64">
        <f>K104*K158*100/$B$8</f>
        <v>0</v>
      </c>
      <c r="L184" s="64">
        <f>L104*L158*100/$B$8</f>
        <v>0</v>
      </c>
      <c r="M184" s="64">
        <f>M104*M158*100/$B$8</f>
        <v>0</v>
      </c>
      <c r="N184" s="64">
        <f>N104*N158*100/$B$8</f>
        <v>0</v>
      </c>
      <c r="O184" s="64">
        <f>O104*O158*100/$B$8</f>
        <v>0</v>
      </c>
      <c r="P184" s="64">
        <f>P104*P158*100/$B$8</f>
        <v>0.13750429700928155</v>
      </c>
      <c r="Q184" s="64">
        <f>Q104*Q158*100/$B$8</f>
        <v>0</v>
      </c>
      <c r="R184" s="64">
        <f>R104*R158*100/$B$8</f>
        <v>0</v>
      </c>
      <c r="S184" s="64">
        <f>S104*S158*100/$B$8</f>
        <v>0</v>
      </c>
      <c r="T184" s="64">
        <f>T104*T158*100/$B$8</f>
        <v>0.27500859401856309</v>
      </c>
      <c r="U184" s="64">
        <f>U104*U158*100/$B$8</f>
        <v>0</v>
      </c>
      <c r="V184" s="64">
        <f>V104*V158*100/$B$8</f>
        <v>0</v>
      </c>
      <c r="W184" s="64">
        <f>W104*W158*100/$B$8</f>
        <v>6.8752148504640773E-2</v>
      </c>
      <c r="X184" s="64">
        <f>X104*X158*100/$B$8</f>
        <v>0</v>
      </c>
      <c r="Y184" s="64">
        <f>Y104*Y158*100/$B$8</f>
        <v>0.2406325197662427</v>
      </c>
      <c r="Z184" s="64">
        <f>Z104*Z158*100/$B$8</f>
        <v>0</v>
      </c>
      <c r="AA184" s="64">
        <f>AA104*AA158*100/$B$8</f>
        <v>0</v>
      </c>
      <c r="AB184" s="64">
        <f>AB104*AB158*100/$B$8</f>
        <v>0</v>
      </c>
      <c r="AC184" s="64">
        <f>AC104*AC158*100/$B$8</f>
        <v>0</v>
      </c>
      <c r="AD184" s="64">
        <f>AD104*AD158*100/$B$8</f>
        <v>0</v>
      </c>
      <c r="AE184" s="64">
        <f>AE104*AE158*100/$B$8</f>
        <v>0.51564111378480582</v>
      </c>
      <c r="AF184" s="64">
        <f>AF104*AF158*100/$B$8</f>
        <v>0</v>
      </c>
      <c r="AG184" s="64">
        <f>AG104*AG158*100/$B$8</f>
        <v>0</v>
      </c>
      <c r="AH184" s="64">
        <f>AH104*AH158*100/$B$8</f>
        <v>0</v>
      </c>
      <c r="AI184" s="64">
        <f>AI104*AI158*100/$B$8</f>
        <v>0</v>
      </c>
      <c r="AJ184" s="64">
        <f>AJ104*AJ158*100/$B$8</f>
        <v>0</v>
      </c>
      <c r="AK184" s="64">
        <f>AK104*AK158*100/$B$8</f>
        <v>0</v>
      </c>
      <c r="AL184" s="64">
        <f>AL104*AL158*100/$B$8</f>
        <v>0</v>
      </c>
      <c r="AM184" s="64">
        <f>AM104*AM158*100/$B$8</f>
        <v>0</v>
      </c>
      <c r="AN184" s="64">
        <f>AN104*AN158*100/$B$8</f>
        <v>0</v>
      </c>
      <c r="AO184" s="64">
        <f>AO104*AO158*100/$B$8</f>
        <v>0.44688896528016503</v>
      </c>
      <c r="AP184" s="64">
        <f>AP104*AP158*100/$B$8</f>
        <v>0</v>
      </c>
      <c r="AQ184" s="64">
        <f>AQ104*AQ158*100/$B$8</f>
        <v>0</v>
      </c>
      <c r="AR184" s="64">
        <f>AR104*AR158*100/$B$8</f>
        <v>0</v>
      </c>
      <c r="AS184" s="64">
        <f>AS104*AS158*100/$B$8</f>
        <v>0</v>
      </c>
      <c r="AT184" s="64">
        <f>AT104*AT158*100/$B$8</f>
        <v>0</v>
      </c>
      <c r="AU184" s="64">
        <f>AU104*AU158*100/$B$8</f>
        <v>0.30938466827088346</v>
      </c>
      <c r="AV184" s="64">
        <f>AV104*AV158*100/$B$8</f>
        <v>0</v>
      </c>
      <c r="AW184" s="64">
        <f>AW104*AW158*100/$B$8</f>
        <v>0.13750429700928155</v>
      </c>
      <c r="AX184" s="64">
        <f>AX104*AX158*100/$B$8</f>
        <v>0</v>
      </c>
      <c r="AY184" s="64">
        <f>AY104*AY158*100/$B$8</f>
        <v>1.0312822275696116</v>
      </c>
      <c r="AZ184" s="64">
        <f>AZ104*AZ158*100/$B$8</f>
        <v>0</v>
      </c>
      <c r="BA184" s="64">
        <f>BA104*BA158*100/$B$8</f>
        <v>1.340666895840495</v>
      </c>
      <c r="BB184" s="64">
        <f>BB104*BB158*100/$B$8</f>
        <v>0</v>
      </c>
      <c r="BC184" s="64">
        <f>BC104*BC158*100/$B$8</f>
        <v>0</v>
      </c>
      <c r="BD184" s="64">
        <f>BD104*BD158*100/$B$8</f>
        <v>0.44688896528016503</v>
      </c>
      <c r="BE184" s="64">
        <f>BE104*BE158*100/$B$8</f>
        <v>0</v>
      </c>
      <c r="BF184" s="64">
        <f>BF104*BF158*100/$B$8</f>
        <v>0.51564111378480582</v>
      </c>
      <c r="BG184" s="64">
        <f>BG104*BG158*100/$B$8</f>
        <v>0</v>
      </c>
      <c r="BH184" s="64">
        <f>BH104*BH158*100/$B$8</f>
        <v>0.10312822275696115</v>
      </c>
      <c r="BI184" s="64">
        <f>BI104*BI158*100/$B$8</f>
        <v>0.51564111378480582</v>
      </c>
      <c r="BJ184" s="64">
        <f>BJ104*BJ158*100/$B$8</f>
        <v>0</v>
      </c>
      <c r="BK184" s="64">
        <f>BK104*BK158*100/$B$8</f>
        <v>0.37813681677552424</v>
      </c>
      <c r="BL184" s="64">
        <f>BL104*BL158*100/$B$8</f>
        <v>0</v>
      </c>
      <c r="BM184" s="64">
        <f>BM104*BM158*100/$B$8</f>
        <v>0</v>
      </c>
      <c r="BN184" s="64">
        <f>BN104*BN158*100/$B$8</f>
        <v>0</v>
      </c>
      <c r="BO184" s="64">
        <f>BO104*BO158*100/$B$8</f>
        <v>0</v>
      </c>
      <c r="BP184" s="64">
        <f>BP104*BP158*100/$B$8</f>
        <v>0</v>
      </c>
      <c r="BQ184" s="64">
        <f>BQ104*BQ158*100/$B$8</f>
        <v>0</v>
      </c>
      <c r="BR184" s="64">
        <f>BR104*BR158*100/$B$8</f>
        <v>0.41251289102784461</v>
      </c>
      <c r="BS184" s="64">
        <f>BS104*BS158*100/$B$8</f>
        <v>0</v>
      </c>
      <c r="BT184" s="64">
        <f>BT104*BT158*100/$B$8</f>
        <v>0.41251289102784461</v>
      </c>
      <c r="BU184" s="64">
        <f>BU104*BU158*100/$B$8</f>
        <v>0.96253007906497079</v>
      </c>
      <c r="BV184" s="64">
        <f>BV104*BV158*100/$B$8</f>
        <v>0</v>
      </c>
      <c r="BW184" s="64">
        <f>BW104*BW158*100/$B$8</f>
        <v>0</v>
      </c>
      <c r="BX184" s="64">
        <f>BX104*BX158*100/$B$8</f>
        <v>0</v>
      </c>
      <c r="BY184" s="64">
        <f>BY104*BY158*100/$B$8</f>
        <v>3.4376074252320386E-2</v>
      </c>
      <c r="BZ184" s="64">
        <f>BZ104*BZ158*100/$B$8</f>
        <v>0</v>
      </c>
      <c r="CA184" s="64">
        <f>CA104*CA158*100/$B$8</f>
        <v>0</v>
      </c>
      <c r="CB184" s="64">
        <f>CB104*CB158*100/$B$8</f>
        <v>0</v>
      </c>
      <c r="CC184" s="64">
        <f>CC104*CC158*100/$B$8</f>
        <v>0.61876933654176691</v>
      </c>
      <c r="CD184" s="64">
        <f>CD104*CD158*100/$B$8</f>
        <v>0.17188037126160194</v>
      </c>
      <c r="CE184" s="64">
        <f>CE104*CE158*100/$B$8</f>
        <v>0</v>
      </c>
      <c r="CF184" s="64">
        <f>CF104*CF158*100/$B$8</f>
        <v>0</v>
      </c>
      <c r="CG184" s="64">
        <f>CG104*CG158*100/$B$8</f>
        <v>0</v>
      </c>
      <c r="CH184" s="64">
        <f>CH104*CH158*100/$B$8</f>
        <v>0</v>
      </c>
      <c r="CI184" s="64">
        <f>CI104*CI158*100/$B$8</f>
        <v>0.37813681677552424</v>
      </c>
      <c r="CJ184" s="64">
        <f>CJ104*CJ158*100/$B$8</f>
        <v>0</v>
      </c>
      <c r="CK184" s="64">
        <f>CK104*CK158*100/$B$8</f>
        <v>0</v>
      </c>
      <c r="CL184" s="64">
        <f>CL104*CL158*100/$B$8</f>
        <v>0.41251289102784461</v>
      </c>
      <c r="CM184" s="64">
        <f>CM104*CM158*100/$B$8</f>
        <v>0</v>
      </c>
      <c r="CN184" s="64">
        <f>CN104*CN158*100/$B$8</f>
        <v>0.51564111378480582</v>
      </c>
      <c r="CO184" s="64">
        <f>CO104*CO158*100/$B$8</f>
        <v>0</v>
      </c>
      <c r="CP184" s="64">
        <f>CP104*CP158*100/$B$8</f>
        <v>0</v>
      </c>
      <c r="CQ184" s="64">
        <f>CQ104*CQ158*100/$B$8</f>
        <v>0</v>
      </c>
      <c r="CR184" s="64">
        <f>CR104*CR158*100/$B$8</f>
        <v>0.30938466827088346</v>
      </c>
      <c r="CS184" s="64">
        <f>CS104*CS158*100/$B$8</f>
        <v>0</v>
      </c>
      <c r="CT184" s="64">
        <f>CT104*CT158*100/$B$8</f>
        <v>0</v>
      </c>
      <c r="CU184" s="64">
        <f>CU104*CU158*100/$B$8</f>
        <v>0.2406325197662427</v>
      </c>
      <c r="CV184" s="64">
        <f>CV104*CV158*100/$B$8</f>
        <v>6.8752148504640773E-2</v>
      </c>
      <c r="CW184" s="64">
        <f>CW104*CW158*100/$B$8</f>
        <v>0</v>
      </c>
      <c r="CX184" s="64">
        <f>CX104*CX158*100/$B$8</f>
        <v>0</v>
      </c>
      <c r="CY184" s="64">
        <f>CY104*CY158*100/$B$8</f>
        <v>0.34376074252320388</v>
      </c>
      <c r="CZ184" s="64">
        <f>CZ104*CZ158*100/$B$8</f>
        <v>0</v>
      </c>
      <c r="DA184" s="64">
        <f>DA104*DA158*100/$B$8</f>
        <v>0</v>
      </c>
      <c r="DB184" s="64">
        <f>DB104*DB158*100/$B$8</f>
        <v>0</v>
      </c>
      <c r="DC184" s="64">
        <f>DC104*DC158*100/$B$8</f>
        <v>0</v>
      </c>
      <c r="DD184" s="64">
        <f>DD104*DD158*100/$B$8</f>
        <v>0</v>
      </c>
      <c r="DE184" s="64">
        <f>DE104*DE158*100/$B$8</f>
        <v>0</v>
      </c>
      <c r="DF184" s="64">
        <f>DF104*DF158*100/$B$8</f>
        <v>0</v>
      </c>
      <c r="DG184" s="64">
        <f>DG104*DG158*100/$B$8</f>
        <v>0</v>
      </c>
      <c r="DH184" s="64">
        <f>DH104*DH158*100/$B$8</f>
        <v>0</v>
      </c>
      <c r="DI184" s="64">
        <f>DI104*DI158*100/$B$8</f>
        <v>0.27500859401856309</v>
      </c>
      <c r="DJ184" s="64">
        <f>DJ104*DJ158*100/$B$8</f>
        <v>0</v>
      </c>
      <c r="DK184" s="64">
        <f>DK104*DK158*100/$B$8</f>
        <v>0</v>
      </c>
      <c r="DL184" s="64">
        <f>DL104*DL158*100/$B$8</f>
        <v>0</v>
      </c>
      <c r="DM184" s="64">
        <f>DM104*DM158*100/$B$8</f>
        <v>0</v>
      </c>
      <c r="DN184" s="64">
        <f>DN104*DN158*100/$B$8</f>
        <v>0</v>
      </c>
      <c r="DO184" s="64">
        <f>DO104*DO158*100/$B$8</f>
        <v>0</v>
      </c>
      <c r="DP184" s="64">
        <f>DP104*DP158*100/$B$8</f>
        <v>0</v>
      </c>
      <c r="DQ184" s="64">
        <f>DQ104*DQ158*100/$B$8</f>
        <v>0.37813681677552424</v>
      </c>
      <c r="DR184" s="64">
        <f>DR104*DR158*100/$B$8</f>
        <v>0.68752148504640775</v>
      </c>
      <c r="DS184" s="64">
        <f>DS104*DS158*100/$B$8</f>
        <v>0.44688896528016503</v>
      </c>
      <c r="DT184" s="64">
        <f>DT104*DT158*100/$B$8</f>
        <v>0</v>
      </c>
      <c r="DU184" s="64">
        <f>DU104*DU158*100/$B$8</f>
        <v>0</v>
      </c>
      <c r="DV184" s="64">
        <f>DV104*DV158*100/$B$8</f>
        <v>0</v>
      </c>
      <c r="DW184" s="64">
        <f>DW104*DW158*100/$B$8</f>
        <v>0</v>
      </c>
      <c r="DX184" s="64">
        <f>DX104*DX158*100/$B$8</f>
        <v>0</v>
      </c>
      <c r="DY184" s="64">
        <f>DY104*DY158*100/$B$8</f>
        <v>0.41251289102784461</v>
      </c>
      <c r="DZ184" s="64">
        <f>DZ104*DZ158*100/$B$8</f>
        <v>0</v>
      </c>
      <c r="EA184" s="64">
        <f>EA104*EA158*100/$B$8</f>
        <v>0</v>
      </c>
      <c r="EB184" s="64">
        <f>EB104*EB158*100/$B$8</f>
        <v>0</v>
      </c>
      <c r="EC184" s="64">
        <f>EC104*EC158*100/$B$8</f>
        <v>0</v>
      </c>
      <c r="ED184" s="64">
        <f>ED104*ED158*100/$B$8</f>
        <v>0</v>
      </c>
      <c r="EE184" s="64">
        <f>EE104*EE158*100/$B$8</f>
        <v>0</v>
      </c>
      <c r="EF184" s="64">
        <f>EF104*EF158*100/$B$8</f>
        <v>3.4376074252320386E-2</v>
      </c>
      <c r="EG184" s="64">
        <f>EG104*EG158*100/$B$8</f>
        <v>0.2062564455139223</v>
      </c>
      <c r="EH184" s="64">
        <f>EH104*EH158*100/$B$8</f>
        <v>0</v>
      </c>
      <c r="EI184" s="64">
        <f>EI104*EI158*100/$B$8</f>
        <v>0</v>
      </c>
      <c r="EJ184" s="64">
        <f>EJ104*EJ158*100/$B$8</f>
        <v>0</v>
      </c>
      <c r="EK184" s="64">
        <f>EK104*EK158*100/$B$8</f>
        <v>0</v>
      </c>
      <c r="EL184" s="64">
        <f>EL104*EL158*100/$B$8</f>
        <v>0</v>
      </c>
      <c r="EM184" s="64">
        <f>EM104*EM158*100/$B$8</f>
        <v>0</v>
      </c>
      <c r="EN184" s="64">
        <f>EN104*EN158*100/$B$8</f>
        <v>0</v>
      </c>
      <c r="EO184" s="64">
        <f>EO104*EO158*100/$B$8</f>
        <v>0</v>
      </c>
      <c r="EP184" s="64">
        <f>EP104*EP158*100/$B$8</f>
        <v>0</v>
      </c>
      <c r="EQ184" s="64">
        <f>EQ104*EQ158*100/$B$8</f>
        <v>0</v>
      </c>
      <c r="ER184" s="64">
        <f>ER104*ER158*100/$B$8</f>
        <v>0</v>
      </c>
      <c r="ES184" s="64">
        <f>ES104*ES158*100/$B$8</f>
        <v>0</v>
      </c>
    </row>
    <row r="185" spans="1:150" x14ac:dyDescent="0.3">
      <c r="A185" s="37" t="s">
        <v>23</v>
      </c>
      <c r="B185" s="64">
        <f>B105*B159*100/$B$8</f>
        <v>0</v>
      </c>
      <c r="C185" s="64">
        <f>C105*C159*100/$B$8</f>
        <v>0</v>
      </c>
      <c r="D185" s="64">
        <f>D105*D159*100/$B$8</f>
        <v>0</v>
      </c>
      <c r="E185" s="64">
        <f>E105*E159*100/$B$8</f>
        <v>0</v>
      </c>
      <c r="F185" s="64">
        <f>F105*F159*100/$B$8</f>
        <v>0</v>
      </c>
      <c r="G185" s="64">
        <f>G105*G159*100/$B$8</f>
        <v>0</v>
      </c>
      <c r="H185" s="64">
        <f>H105*H159*100/$B$8</f>
        <v>0</v>
      </c>
      <c r="I185" s="64">
        <f>I105*I159*100/$B$8</f>
        <v>0</v>
      </c>
      <c r="J185" s="64">
        <f>J105*J159*100/$B$8</f>
        <v>0</v>
      </c>
      <c r="K185" s="64">
        <f>K105*K159*100/$B$8</f>
        <v>0</v>
      </c>
      <c r="L185" s="64">
        <f>L105*L159*100/$B$8</f>
        <v>0</v>
      </c>
      <c r="M185" s="64">
        <f>M105*M159*100/$B$8</f>
        <v>0</v>
      </c>
      <c r="N185" s="64">
        <f>N105*N159*100/$B$8</f>
        <v>0</v>
      </c>
      <c r="O185" s="64">
        <f>O105*O159*100/$B$8</f>
        <v>0</v>
      </c>
      <c r="P185" s="64">
        <f>P105*P159*100/$B$8</f>
        <v>0</v>
      </c>
      <c r="Q185" s="64">
        <f>Q105*Q159*100/$B$8</f>
        <v>0</v>
      </c>
      <c r="R185" s="64">
        <f>R105*R159*100/$B$8</f>
        <v>0</v>
      </c>
      <c r="S185" s="64">
        <f>S105*S159*100/$B$8</f>
        <v>0</v>
      </c>
      <c r="T185" s="64">
        <f>T105*T159*100/$B$8</f>
        <v>0</v>
      </c>
      <c r="U185" s="64">
        <f>U105*U159*100/$B$8</f>
        <v>0</v>
      </c>
      <c r="V185" s="64">
        <f>V105*V159*100/$B$8</f>
        <v>0</v>
      </c>
      <c r="W185" s="64">
        <f>W105*W159*100/$B$8</f>
        <v>0</v>
      </c>
      <c r="X185" s="64">
        <f>X105*X159*100/$B$8</f>
        <v>0</v>
      </c>
      <c r="Y185" s="64">
        <f>Y105*Y159*100/$B$8</f>
        <v>0</v>
      </c>
      <c r="Z185" s="64">
        <f>Z105*Z159*100/$B$8</f>
        <v>0</v>
      </c>
      <c r="AA185" s="64">
        <f>AA105*AA159*100/$B$8</f>
        <v>0</v>
      </c>
      <c r="AB185" s="64">
        <f>AB105*AB159*100/$B$8</f>
        <v>0</v>
      </c>
      <c r="AC185" s="64">
        <f>AC105*AC159*100/$B$8</f>
        <v>0</v>
      </c>
      <c r="AD185" s="64">
        <f>AD105*AD159*100/$B$8</f>
        <v>0</v>
      </c>
      <c r="AE185" s="64">
        <f>AE105*AE159*100/$B$8</f>
        <v>0</v>
      </c>
      <c r="AF185" s="64">
        <f>AF105*AF159*100/$B$8</f>
        <v>0</v>
      </c>
      <c r="AG185" s="64">
        <f>AG105*AG159*100/$B$8</f>
        <v>0</v>
      </c>
      <c r="AH185" s="64">
        <f>AH105*AH159*100/$B$8</f>
        <v>0</v>
      </c>
      <c r="AI185" s="64">
        <f>AI105*AI159*100/$B$8</f>
        <v>0</v>
      </c>
      <c r="AJ185" s="64">
        <f>AJ105*AJ159*100/$B$8</f>
        <v>0</v>
      </c>
      <c r="AK185" s="64">
        <f>AK105*AK159*100/$B$8</f>
        <v>0</v>
      </c>
      <c r="AL185" s="64">
        <f>AL105*AL159*100/$B$8</f>
        <v>0</v>
      </c>
      <c r="AM185" s="64">
        <f>AM105*AM159*100/$B$8</f>
        <v>0</v>
      </c>
      <c r="AN185" s="64">
        <f>AN105*AN159*100/$B$8</f>
        <v>0</v>
      </c>
      <c r="AO185" s="64">
        <f>AO105*AO159*100/$B$8</f>
        <v>0</v>
      </c>
      <c r="AP185" s="64">
        <f>AP105*AP159*100/$B$8</f>
        <v>0</v>
      </c>
      <c r="AQ185" s="64">
        <f>AQ105*AQ159*100/$B$8</f>
        <v>0</v>
      </c>
      <c r="AR185" s="64">
        <f>AR105*AR159*100/$B$8</f>
        <v>0</v>
      </c>
      <c r="AS185" s="64">
        <f>AS105*AS159*100/$B$8</f>
        <v>0</v>
      </c>
      <c r="AT185" s="64">
        <f>AT105*AT159*100/$B$8</f>
        <v>0</v>
      </c>
      <c r="AU185" s="64">
        <f>AU105*AU159*100/$B$8</f>
        <v>0</v>
      </c>
      <c r="AV185" s="64">
        <f>AV105*AV159*100/$B$8</f>
        <v>0</v>
      </c>
      <c r="AW185" s="64">
        <f>AW105*AW159*100/$B$8</f>
        <v>0</v>
      </c>
      <c r="AX185" s="64">
        <f>AX105*AX159*100/$B$8</f>
        <v>0</v>
      </c>
      <c r="AY185" s="64">
        <f>AY105*AY159*100/$B$8</f>
        <v>0</v>
      </c>
      <c r="AZ185" s="64">
        <f>AZ105*AZ159*100/$B$8</f>
        <v>0</v>
      </c>
      <c r="BA185" s="64">
        <f>BA105*BA159*100/$B$8</f>
        <v>0</v>
      </c>
      <c r="BB185" s="64">
        <f>BB105*BB159*100/$B$8</f>
        <v>0</v>
      </c>
      <c r="BC185" s="64">
        <f>BC105*BC159*100/$B$8</f>
        <v>0</v>
      </c>
      <c r="BD185" s="64">
        <f>BD105*BD159*100/$B$8</f>
        <v>0</v>
      </c>
      <c r="BE185" s="64">
        <f>BE105*BE159*100/$B$8</f>
        <v>0</v>
      </c>
      <c r="BF185" s="64">
        <f>BF105*BF159*100/$B$8</f>
        <v>0</v>
      </c>
      <c r="BG185" s="64">
        <f>BG105*BG159*100/$B$8</f>
        <v>0</v>
      </c>
      <c r="BH185" s="64">
        <f>BH105*BH159*100/$B$8</f>
        <v>0</v>
      </c>
      <c r="BI185" s="64">
        <f>BI105*BI159*100/$B$8</f>
        <v>0</v>
      </c>
      <c r="BJ185" s="64">
        <f>BJ105*BJ159*100/$B$8</f>
        <v>0</v>
      </c>
      <c r="BK185" s="64">
        <f>BK105*BK159*100/$B$8</f>
        <v>0</v>
      </c>
      <c r="BL185" s="64">
        <f>BL105*BL159*100/$B$8</f>
        <v>0</v>
      </c>
      <c r="BM185" s="64">
        <f>BM105*BM159*100/$B$8</f>
        <v>0</v>
      </c>
      <c r="BN185" s="64">
        <f>BN105*BN159*100/$B$8</f>
        <v>0</v>
      </c>
      <c r="BO185" s="64">
        <f>BO105*BO159*100/$B$8</f>
        <v>0</v>
      </c>
      <c r="BP185" s="64">
        <f>BP105*BP159*100/$B$8</f>
        <v>0</v>
      </c>
      <c r="BQ185" s="64">
        <f>BQ105*BQ159*100/$B$8</f>
        <v>0</v>
      </c>
      <c r="BR185" s="64">
        <f>BR105*BR159*100/$B$8</f>
        <v>0</v>
      </c>
      <c r="BS185" s="64">
        <f>BS105*BS159*100/$B$8</f>
        <v>0</v>
      </c>
      <c r="BT185" s="64">
        <f>BT105*BT159*100/$B$8</f>
        <v>0</v>
      </c>
      <c r="BU185" s="64">
        <f>BU105*BU159*100/$B$8</f>
        <v>0</v>
      </c>
      <c r="BV185" s="64">
        <f>BV105*BV159*100/$B$8</f>
        <v>0</v>
      </c>
      <c r="BW185" s="64">
        <f>BW105*BW159*100/$B$8</f>
        <v>0</v>
      </c>
      <c r="BX185" s="64">
        <f>BX105*BX159*100/$B$8</f>
        <v>0</v>
      </c>
      <c r="BY185" s="64">
        <f>BY105*BY159*100/$B$8</f>
        <v>0</v>
      </c>
      <c r="BZ185" s="64">
        <f>BZ105*BZ159*100/$B$8</f>
        <v>0</v>
      </c>
      <c r="CA185" s="64">
        <f>CA105*CA159*100/$B$8</f>
        <v>0</v>
      </c>
      <c r="CB185" s="64">
        <f>CB105*CB159*100/$B$8</f>
        <v>0</v>
      </c>
      <c r="CC185" s="64">
        <f>CC105*CC159*100/$B$8</f>
        <v>0</v>
      </c>
      <c r="CD185" s="64">
        <f>CD105*CD159*100/$B$8</f>
        <v>0</v>
      </c>
      <c r="CE185" s="64">
        <f>CE105*CE159*100/$B$8</f>
        <v>0</v>
      </c>
      <c r="CF185" s="64">
        <f>CF105*CF159*100/$B$8</f>
        <v>0</v>
      </c>
      <c r="CG185" s="64">
        <f>CG105*CG159*100/$B$8</f>
        <v>0</v>
      </c>
      <c r="CH185" s="64">
        <f>CH105*CH159*100/$B$8</f>
        <v>0</v>
      </c>
      <c r="CI185" s="64">
        <f>CI105*CI159*100/$B$8</f>
        <v>0</v>
      </c>
      <c r="CJ185" s="64">
        <f>CJ105*CJ159*100/$B$8</f>
        <v>0</v>
      </c>
      <c r="CK185" s="64">
        <f>CK105*CK159*100/$B$8</f>
        <v>0</v>
      </c>
      <c r="CL185" s="64">
        <f>CL105*CL159*100/$B$8</f>
        <v>0</v>
      </c>
      <c r="CM185" s="64">
        <f>CM105*CM159*100/$B$8</f>
        <v>0</v>
      </c>
      <c r="CN185" s="64">
        <f>CN105*CN159*100/$B$8</f>
        <v>0</v>
      </c>
      <c r="CO185" s="64">
        <f>CO105*CO159*100/$B$8</f>
        <v>0</v>
      </c>
      <c r="CP185" s="64">
        <f>CP105*CP159*100/$B$8</f>
        <v>0</v>
      </c>
      <c r="CQ185" s="64">
        <f>CQ105*CQ159*100/$B$8</f>
        <v>0</v>
      </c>
      <c r="CR185" s="64">
        <f>CR105*CR159*100/$B$8</f>
        <v>0</v>
      </c>
      <c r="CS185" s="64">
        <f>CS105*CS159*100/$B$8</f>
        <v>0</v>
      </c>
      <c r="CT185" s="64">
        <f>CT105*CT159*100/$B$8</f>
        <v>0</v>
      </c>
      <c r="CU185" s="64">
        <f>CU105*CU159*100/$B$8</f>
        <v>0</v>
      </c>
      <c r="CV185" s="64">
        <f>CV105*CV159*100/$B$8</f>
        <v>0</v>
      </c>
      <c r="CW185" s="64">
        <f>CW105*CW159*100/$B$8</f>
        <v>0</v>
      </c>
      <c r="CX185" s="64">
        <f>CX105*CX159*100/$B$8</f>
        <v>0</v>
      </c>
      <c r="CY185" s="64">
        <f>CY105*CY159*100/$B$8</f>
        <v>0</v>
      </c>
      <c r="CZ185" s="64">
        <f>CZ105*CZ159*100/$B$8</f>
        <v>0</v>
      </c>
      <c r="DA185" s="64">
        <f>DA105*DA159*100/$B$8</f>
        <v>0</v>
      </c>
      <c r="DB185" s="64">
        <f>DB105*DB159*100/$B$8</f>
        <v>0</v>
      </c>
      <c r="DC185" s="64">
        <f>DC105*DC159*100/$B$8</f>
        <v>0</v>
      </c>
      <c r="DD185" s="64">
        <f>DD105*DD159*100/$B$8</f>
        <v>0</v>
      </c>
      <c r="DE185" s="64">
        <f>DE105*DE159*100/$B$8</f>
        <v>0</v>
      </c>
      <c r="DF185" s="64">
        <f>DF105*DF159*100/$B$8</f>
        <v>0</v>
      </c>
      <c r="DG185" s="64">
        <f>DG105*DG159*100/$B$8</f>
        <v>0</v>
      </c>
      <c r="DH185" s="64">
        <f>DH105*DH159*100/$B$8</f>
        <v>0</v>
      </c>
      <c r="DI185" s="64">
        <f>DI105*DI159*100/$B$8</f>
        <v>0</v>
      </c>
      <c r="DJ185" s="64">
        <f>DJ105*DJ159*100/$B$8</f>
        <v>0</v>
      </c>
      <c r="DK185" s="64">
        <f>DK105*DK159*100/$B$8</f>
        <v>0</v>
      </c>
      <c r="DL185" s="64">
        <f>DL105*DL159*100/$B$8</f>
        <v>0</v>
      </c>
      <c r="DM185" s="64">
        <f>DM105*DM159*100/$B$8</f>
        <v>0</v>
      </c>
      <c r="DN185" s="64">
        <f>DN105*DN159*100/$B$8</f>
        <v>0</v>
      </c>
      <c r="DO185" s="64">
        <f>DO105*DO159*100/$B$8</f>
        <v>0</v>
      </c>
      <c r="DP185" s="64">
        <f>DP105*DP159*100/$B$8</f>
        <v>0</v>
      </c>
      <c r="DQ185" s="64">
        <f>DQ105*DQ159*100/$B$8</f>
        <v>0</v>
      </c>
      <c r="DR185" s="64">
        <f>DR105*DR159*100/$B$8</f>
        <v>0</v>
      </c>
      <c r="DS185" s="64">
        <f>DS105*DS159*100/$B$8</f>
        <v>0</v>
      </c>
      <c r="DT185" s="64">
        <f>DT105*DT159*100/$B$8</f>
        <v>0</v>
      </c>
      <c r="DU185" s="64">
        <f>DU105*DU159*100/$B$8</f>
        <v>0</v>
      </c>
      <c r="DV185" s="64">
        <f>DV105*DV159*100/$B$8</f>
        <v>0</v>
      </c>
      <c r="DW185" s="64">
        <f>DW105*DW159*100/$B$8</f>
        <v>0</v>
      </c>
      <c r="DX185" s="64">
        <f>DX105*DX159*100/$B$8</f>
        <v>0</v>
      </c>
      <c r="DY185" s="64">
        <f>DY105*DY159*100/$B$8</f>
        <v>0</v>
      </c>
      <c r="DZ185" s="64">
        <f>DZ105*DZ159*100/$B$8</f>
        <v>0</v>
      </c>
      <c r="EA185" s="64">
        <f>EA105*EA159*100/$B$8</f>
        <v>0</v>
      </c>
      <c r="EB185" s="64">
        <f>EB105*EB159*100/$B$8</f>
        <v>0</v>
      </c>
      <c r="EC185" s="64">
        <f>EC105*EC159*100/$B$8</f>
        <v>0</v>
      </c>
      <c r="ED185" s="64">
        <f>ED105*ED159*100/$B$8</f>
        <v>0</v>
      </c>
      <c r="EE185" s="64">
        <f>EE105*EE159*100/$B$8</f>
        <v>0</v>
      </c>
      <c r="EF185" s="64">
        <f>EF105*EF159*100/$B$8</f>
        <v>0</v>
      </c>
      <c r="EG185" s="64">
        <f>EG105*EG159*100/$B$8</f>
        <v>0</v>
      </c>
      <c r="EH185" s="64">
        <f>EH105*EH159*100/$B$8</f>
        <v>0</v>
      </c>
      <c r="EI185" s="64">
        <f>EI105*EI159*100/$B$8</f>
        <v>0</v>
      </c>
      <c r="EJ185" s="64">
        <f>EJ105*EJ159*100/$B$8</f>
        <v>0</v>
      </c>
      <c r="EK185" s="64">
        <f>EK105*EK159*100/$B$8</f>
        <v>0</v>
      </c>
      <c r="EL185" s="64">
        <f>EL105*EL159*100/$B$8</f>
        <v>0</v>
      </c>
      <c r="EM185" s="64">
        <f>EM105*EM159*100/$B$8</f>
        <v>0</v>
      </c>
      <c r="EN185" s="64">
        <f>EN105*EN159*100/$B$8</f>
        <v>0</v>
      </c>
      <c r="EO185" s="64">
        <f>EO105*EO159*100/$B$8</f>
        <v>0</v>
      </c>
      <c r="EP185" s="64">
        <f>EP105*EP159*100/$B$8</f>
        <v>0</v>
      </c>
      <c r="EQ185" s="64">
        <f>EQ105*EQ159*100/$B$8</f>
        <v>0</v>
      </c>
      <c r="ER185" s="64">
        <f>ER105*ER159*100/$B$8</f>
        <v>0</v>
      </c>
      <c r="ES185" s="64">
        <f>ES105*ES159*100/$B$8</f>
        <v>0</v>
      </c>
    </row>
    <row r="186" spans="1:150" ht="15" thickBot="1" x14ac:dyDescent="0.35">
      <c r="A186" s="37" t="s">
        <v>14</v>
      </c>
      <c r="B186" s="64">
        <f>B106*B160*100/$B$8</f>
        <v>0</v>
      </c>
      <c r="C186" s="64">
        <f>C106*C160*100/$B$8</f>
        <v>0</v>
      </c>
      <c r="D186" s="64">
        <f>D106*D160*100/$B$8</f>
        <v>0</v>
      </c>
      <c r="E186" s="64">
        <f>E106*E160*100/$B$8</f>
        <v>0</v>
      </c>
      <c r="F186" s="64">
        <f>F106*F160*100/$B$8</f>
        <v>0</v>
      </c>
      <c r="G186" s="64">
        <f>G106*G160*100/$B$8</f>
        <v>0</v>
      </c>
      <c r="H186" s="64">
        <f>H106*H160*100/$B$8</f>
        <v>0</v>
      </c>
      <c r="I186" s="64">
        <f>I106*I160*100/$B$8</f>
        <v>0</v>
      </c>
      <c r="J186" s="64">
        <f>J106*J160*100/$B$8</f>
        <v>0</v>
      </c>
      <c r="K186" s="64">
        <f>K106*K160*100/$B$8</f>
        <v>0</v>
      </c>
      <c r="L186" s="64">
        <f>L106*L160*100/$B$8</f>
        <v>0</v>
      </c>
      <c r="M186" s="64">
        <f>M106*M160*100/$B$8</f>
        <v>0</v>
      </c>
      <c r="N186" s="64">
        <f>N106*N160*100/$B$8</f>
        <v>0</v>
      </c>
      <c r="O186" s="64">
        <f>O106*O160*100/$B$8</f>
        <v>0</v>
      </c>
      <c r="P186" s="64">
        <f>P106*P160*100/$B$8</f>
        <v>0</v>
      </c>
      <c r="Q186" s="64">
        <f>Q106*Q160*100/$B$8</f>
        <v>0</v>
      </c>
      <c r="R186" s="64">
        <f>R106*R160*100/$B$8</f>
        <v>0</v>
      </c>
      <c r="S186" s="64">
        <f>S106*S160*100/$B$8</f>
        <v>0</v>
      </c>
      <c r="T186" s="64">
        <f>T106*T160*100/$B$8</f>
        <v>0</v>
      </c>
      <c r="U186" s="64">
        <f>U106*U160*100/$B$8</f>
        <v>0</v>
      </c>
      <c r="V186" s="64">
        <f>V106*V160*100/$B$8</f>
        <v>0</v>
      </c>
      <c r="W186" s="64">
        <f>W106*W160*100/$B$8</f>
        <v>0</v>
      </c>
      <c r="X186" s="64">
        <f>X106*X160*100/$B$8</f>
        <v>0</v>
      </c>
      <c r="Y186" s="64">
        <f>Y106*Y160*100/$B$8</f>
        <v>0</v>
      </c>
      <c r="Z186" s="64">
        <f>Z106*Z160*100/$B$8</f>
        <v>0</v>
      </c>
      <c r="AA186" s="64">
        <f>AA106*AA160*100/$B$8</f>
        <v>0</v>
      </c>
      <c r="AB186" s="64">
        <f>AB106*AB160*100/$B$8</f>
        <v>0</v>
      </c>
      <c r="AC186" s="64">
        <f>AC106*AC160*100/$B$8</f>
        <v>0</v>
      </c>
      <c r="AD186" s="64">
        <f>AD106*AD160*100/$B$8</f>
        <v>0</v>
      </c>
      <c r="AE186" s="64">
        <f>AE106*AE160*100/$B$8</f>
        <v>0</v>
      </c>
      <c r="AF186" s="64">
        <f>AF106*AF160*100/$B$8</f>
        <v>0</v>
      </c>
      <c r="AG186" s="64">
        <f>AG106*AG160*100/$B$8</f>
        <v>0</v>
      </c>
      <c r="AH186" s="64">
        <f>AH106*AH160*100/$B$8</f>
        <v>0</v>
      </c>
      <c r="AI186" s="64">
        <f>AI106*AI160*100/$B$8</f>
        <v>0</v>
      </c>
      <c r="AJ186" s="64">
        <f>AJ106*AJ160*100/$B$8</f>
        <v>0</v>
      </c>
      <c r="AK186" s="64">
        <f>AK106*AK160*100/$B$8</f>
        <v>0</v>
      </c>
      <c r="AL186" s="64">
        <f>AL106*AL160*100/$B$8</f>
        <v>0</v>
      </c>
      <c r="AM186" s="64">
        <f>AM106*AM160*100/$B$8</f>
        <v>0</v>
      </c>
      <c r="AN186" s="64">
        <f>AN106*AN160*100/$B$8</f>
        <v>0</v>
      </c>
      <c r="AO186" s="64">
        <f>AO106*AO160*100/$B$8</f>
        <v>0</v>
      </c>
      <c r="AP186" s="64">
        <f>AP106*AP160*100/$B$8</f>
        <v>0</v>
      </c>
      <c r="AQ186" s="64">
        <f>AQ106*AQ160*100/$B$8</f>
        <v>0</v>
      </c>
      <c r="AR186" s="64">
        <f>AR106*AR160*100/$B$8</f>
        <v>0</v>
      </c>
      <c r="AS186" s="64">
        <f>AS106*AS160*100/$B$8</f>
        <v>0</v>
      </c>
      <c r="AT186" s="64">
        <f>AT106*AT160*100/$B$8</f>
        <v>0</v>
      </c>
      <c r="AU186" s="64">
        <f>AU106*AU160*100/$B$8</f>
        <v>0</v>
      </c>
      <c r="AV186" s="64">
        <f>AV106*AV160*100/$B$8</f>
        <v>0</v>
      </c>
      <c r="AW186" s="64">
        <f>AW106*AW160*100/$B$8</f>
        <v>0</v>
      </c>
      <c r="AX186" s="64">
        <f>AX106*AX160*100/$B$8</f>
        <v>0</v>
      </c>
      <c r="AY186" s="64">
        <f>AY106*AY160*100/$B$8</f>
        <v>0</v>
      </c>
      <c r="AZ186" s="64">
        <f>AZ106*AZ160*100/$B$8</f>
        <v>0</v>
      </c>
      <c r="BA186" s="64">
        <f>BA106*BA160*100/$B$8</f>
        <v>0</v>
      </c>
      <c r="BB186" s="64">
        <f>BB106*BB160*100/$B$8</f>
        <v>0</v>
      </c>
      <c r="BC186" s="64">
        <f>BC106*BC160*100/$B$8</f>
        <v>0</v>
      </c>
      <c r="BD186" s="64">
        <f>BD106*BD160*100/$B$8</f>
        <v>0</v>
      </c>
      <c r="BE186" s="64">
        <f>BE106*BE160*100/$B$8</f>
        <v>0</v>
      </c>
      <c r="BF186" s="64">
        <f>BF106*BF160*100/$B$8</f>
        <v>0</v>
      </c>
      <c r="BG186" s="64">
        <f>BG106*BG160*100/$B$8</f>
        <v>0</v>
      </c>
      <c r="BH186" s="64">
        <f>BH106*BH160*100/$B$8</f>
        <v>0</v>
      </c>
      <c r="BI186" s="64">
        <f>BI106*BI160*100/$B$8</f>
        <v>0</v>
      </c>
      <c r="BJ186" s="64">
        <f>BJ106*BJ160*100/$B$8</f>
        <v>0</v>
      </c>
      <c r="BK186" s="64">
        <f>BK106*BK160*100/$B$8</f>
        <v>0</v>
      </c>
      <c r="BL186" s="64">
        <f>BL106*BL160*100/$B$8</f>
        <v>0</v>
      </c>
      <c r="BM186" s="64">
        <f>BM106*BM160*100/$B$8</f>
        <v>0</v>
      </c>
      <c r="BN186" s="64">
        <f>BN106*BN160*100/$B$8</f>
        <v>0</v>
      </c>
      <c r="BO186" s="64">
        <f>BO106*BO160*100/$B$8</f>
        <v>0</v>
      </c>
      <c r="BP186" s="64">
        <f>BP106*BP160*100/$B$8</f>
        <v>0</v>
      </c>
      <c r="BQ186" s="64">
        <f>BQ106*BQ160*100/$B$8</f>
        <v>0</v>
      </c>
      <c r="BR186" s="64">
        <f>BR106*BR160*100/$B$8</f>
        <v>0</v>
      </c>
      <c r="BS186" s="64">
        <f>BS106*BS160*100/$B$8</f>
        <v>0</v>
      </c>
      <c r="BT186" s="64">
        <f>BT106*BT160*100/$B$8</f>
        <v>0</v>
      </c>
      <c r="BU186" s="64">
        <f>BU106*BU160*100/$B$8</f>
        <v>0</v>
      </c>
      <c r="BV186" s="64">
        <f>BV106*BV160*100/$B$8</f>
        <v>0</v>
      </c>
      <c r="BW186" s="64">
        <f>BW106*BW160*100/$B$8</f>
        <v>0</v>
      </c>
      <c r="BX186" s="64">
        <f>BX106*BX160*100/$B$8</f>
        <v>0</v>
      </c>
      <c r="BY186" s="64">
        <f>BY106*BY160*100/$B$8</f>
        <v>0</v>
      </c>
      <c r="BZ186" s="64">
        <f>BZ106*BZ160*100/$B$8</f>
        <v>0</v>
      </c>
      <c r="CA186" s="64">
        <f>CA106*CA160*100/$B$8</f>
        <v>0</v>
      </c>
      <c r="CB186" s="64">
        <f>CB106*CB160*100/$B$8</f>
        <v>0</v>
      </c>
      <c r="CC186" s="64">
        <f>CC106*CC160*100/$B$8</f>
        <v>0</v>
      </c>
      <c r="CD186" s="64">
        <f>CD106*CD160*100/$B$8</f>
        <v>0</v>
      </c>
      <c r="CE186" s="64">
        <f>CE106*CE160*100/$B$8</f>
        <v>0</v>
      </c>
      <c r="CF186" s="64">
        <f>CF106*CF160*100/$B$8</f>
        <v>0</v>
      </c>
      <c r="CG186" s="64">
        <f>CG106*CG160*100/$B$8</f>
        <v>0</v>
      </c>
      <c r="CH186" s="64">
        <f>CH106*CH160*100/$B$8</f>
        <v>0</v>
      </c>
      <c r="CI186" s="64">
        <f>CI106*CI160*100/$B$8</f>
        <v>0</v>
      </c>
      <c r="CJ186" s="64">
        <f>CJ106*CJ160*100/$B$8</f>
        <v>0</v>
      </c>
      <c r="CK186" s="64">
        <f>CK106*CK160*100/$B$8</f>
        <v>0</v>
      </c>
      <c r="CL186" s="64">
        <f>CL106*CL160*100/$B$8</f>
        <v>0</v>
      </c>
      <c r="CM186" s="64">
        <f>CM106*CM160*100/$B$8</f>
        <v>0</v>
      </c>
      <c r="CN186" s="64">
        <f>CN106*CN160*100/$B$8</f>
        <v>0</v>
      </c>
      <c r="CO186" s="64">
        <f>CO106*CO160*100/$B$8</f>
        <v>0</v>
      </c>
      <c r="CP186" s="64">
        <f>CP106*CP160*100/$B$8</f>
        <v>0</v>
      </c>
      <c r="CQ186" s="64">
        <f>CQ106*CQ160*100/$B$8</f>
        <v>0</v>
      </c>
      <c r="CR186" s="64">
        <f>CR106*CR160*100/$B$8</f>
        <v>0</v>
      </c>
      <c r="CS186" s="64">
        <f>CS106*CS160*100/$B$8</f>
        <v>0</v>
      </c>
      <c r="CT186" s="64">
        <f>CT106*CT160*100/$B$8</f>
        <v>0</v>
      </c>
      <c r="CU186" s="64">
        <f>CU106*CU160*100/$B$8</f>
        <v>0</v>
      </c>
      <c r="CV186" s="64">
        <f>CV106*CV160*100/$B$8</f>
        <v>0</v>
      </c>
      <c r="CW186" s="64">
        <f>CW106*CW160*100/$B$8</f>
        <v>0</v>
      </c>
      <c r="CX186" s="64">
        <f>CX106*CX160*100/$B$8</f>
        <v>0</v>
      </c>
      <c r="CY186" s="64">
        <f>CY106*CY160*100/$B$8</f>
        <v>0</v>
      </c>
      <c r="CZ186" s="64">
        <f>CZ106*CZ160*100/$B$8</f>
        <v>0</v>
      </c>
      <c r="DA186" s="64">
        <f>DA106*DA160*100/$B$8</f>
        <v>0</v>
      </c>
      <c r="DB186" s="64">
        <f>DB106*DB160*100/$B$8</f>
        <v>0</v>
      </c>
      <c r="DC186" s="64">
        <f>DC106*DC160*100/$B$8</f>
        <v>0</v>
      </c>
      <c r="DD186" s="64">
        <f>DD106*DD160*100/$B$8</f>
        <v>0</v>
      </c>
      <c r="DE186" s="64">
        <f>DE106*DE160*100/$B$8</f>
        <v>0</v>
      </c>
      <c r="DF186" s="64">
        <f>DF106*DF160*100/$B$8</f>
        <v>0</v>
      </c>
      <c r="DG186" s="64">
        <f>DG106*DG160*100/$B$8</f>
        <v>0</v>
      </c>
      <c r="DH186" s="64">
        <f>DH106*DH160*100/$B$8</f>
        <v>0</v>
      </c>
      <c r="DI186" s="64">
        <f>DI106*DI160*100/$B$8</f>
        <v>0</v>
      </c>
      <c r="DJ186" s="64">
        <f>DJ106*DJ160*100/$B$8</f>
        <v>0</v>
      </c>
      <c r="DK186" s="64">
        <f>DK106*DK160*100/$B$8</f>
        <v>0</v>
      </c>
      <c r="DL186" s="64">
        <f>DL106*DL160*100/$B$8</f>
        <v>0</v>
      </c>
      <c r="DM186" s="64">
        <f>DM106*DM160*100/$B$8</f>
        <v>0</v>
      </c>
      <c r="DN186" s="64">
        <f>DN106*DN160*100/$B$8</f>
        <v>0</v>
      </c>
      <c r="DO186" s="64">
        <f>DO106*DO160*100/$B$8</f>
        <v>0</v>
      </c>
      <c r="DP186" s="64">
        <f>DP106*DP160*100/$B$8</f>
        <v>0</v>
      </c>
      <c r="DQ186" s="64">
        <f>DQ106*DQ160*100/$B$8</f>
        <v>0</v>
      </c>
      <c r="DR186" s="64">
        <f>DR106*DR160*100/$B$8</f>
        <v>0</v>
      </c>
      <c r="DS186" s="64">
        <f>DS106*DS160*100/$B$8</f>
        <v>0</v>
      </c>
      <c r="DT186" s="64">
        <f>DT106*DT160*100/$B$8</f>
        <v>0</v>
      </c>
      <c r="DU186" s="64">
        <f>DU106*DU160*100/$B$8</f>
        <v>0</v>
      </c>
      <c r="DV186" s="64">
        <f>DV106*DV160*100/$B$8</f>
        <v>0</v>
      </c>
      <c r="DW186" s="64">
        <f>DW106*DW160*100/$B$8</f>
        <v>0</v>
      </c>
      <c r="DX186" s="64">
        <f>DX106*DX160*100/$B$8</f>
        <v>0</v>
      </c>
      <c r="DY186" s="64">
        <f>DY106*DY160*100/$B$8</f>
        <v>0</v>
      </c>
      <c r="DZ186" s="64">
        <f>DZ106*DZ160*100/$B$8</f>
        <v>0</v>
      </c>
      <c r="EA186" s="64">
        <f>EA106*EA160*100/$B$8</f>
        <v>0</v>
      </c>
      <c r="EB186" s="64">
        <f>EB106*EB160*100/$B$8</f>
        <v>0</v>
      </c>
      <c r="EC186" s="64">
        <f>EC106*EC160*100/$B$8</f>
        <v>0</v>
      </c>
      <c r="ED186" s="64">
        <f>ED106*ED160*100/$B$8</f>
        <v>0</v>
      </c>
      <c r="EE186" s="64">
        <f>EE106*EE160*100/$B$8</f>
        <v>0</v>
      </c>
      <c r="EF186" s="64">
        <f>EF106*EF160*100/$B$8</f>
        <v>0</v>
      </c>
      <c r="EG186" s="64">
        <f>EG106*EG160*100/$B$8</f>
        <v>0</v>
      </c>
      <c r="EH186" s="64">
        <f>EH106*EH160*100/$B$8</f>
        <v>0</v>
      </c>
      <c r="EI186" s="64">
        <f>EI106*EI160*100/$B$8</f>
        <v>0</v>
      </c>
      <c r="EJ186" s="64">
        <f>EJ106*EJ160*100/$B$8</f>
        <v>0</v>
      </c>
      <c r="EK186" s="64">
        <f>EK106*EK160*100/$B$8</f>
        <v>0</v>
      </c>
      <c r="EL186" s="64">
        <f>EL106*EL160*100/$B$8</f>
        <v>0</v>
      </c>
      <c r="EM186" s="64">
        <f>EM106*EM160*100/$B$8</f>
        <v>0</v>
      </c>
      <c r="EN186" s="64">
        <f>EN106*EN160*100/$B$8</f>
        <v>0</v>
      </c>
      <c r="EO186" s="64">
        <f>EO106*EO160*100/$B$8</f>
        <v>0</v>
      </c>
      <c r="EP186" s="64">
        <f>EP106*EP160*100/$B$8</f>
        <v>0</v>
      </c>
      <c r="EQ186" s="64">
        <f>EQ106*EQ160*100/$B$8</f>
        <v>0</v>
      </c>
      <c r="ER186" s="64">
        <f>ER106*ER160*100/$B$8</f>
        <v>0</v>
      </c>
      <c r="ES186" s="64">
        <f>ES106*ES160*100/$B$8</f>
        <v>0</v>
      </c>
    </row>
    <row r="187" spans="1:150" ht="15" thickBot="1" x14ac:dyDescent="0.35">
      <c r="B187" s="78">
        <f>SUM(B164:B186)</f>
        <v>0.89377793056033006</v>
      </c>
      <c r="C187" s="79">
        <f t="shared" ref="C187:BN187" si="60">SUM(C164:C186)</f>
        <v>0</v>
      </c>
      <c r="D187" s="79">
        <f t="shared" si="60"/>
        <v>0.2406325197662427</v>
      </c>
      <c r="E187" s="79">
        <f t="shared" si="60"/>
        <v>0</v>
      </c>
      <c r="F187" s="79">
        <f t="shared" si="60"/>
        <v>0.89377793056033006</v>
      </c>
      <c r="G187" s="79">
        <f t="shared" si="60"/>
        <v>0</v>
      </c>
      <c r="H187" s="79">
        <f t="shared" si="60"/>
        <v>0.27500859401856309</v>
      </c>
      <c r="I187" s="79">
        <f t="shared" si="60"/>
        <v>0.68752148504640775</v>
      </c>
      <c r="J187" s="79">
        <f t="shared" si="60"/>
        <v>0</v>
      </c>
      <c r="K187" s="79">
        <f t="shared" si="60"/>
        <v>0.2062564455139223</v>
      </c>
      <c r="L187" s="79">
        <f t="shared" si="60"/>
        <v>0.37813681677552424</v>
      </c>
      <c r="M187" s="79">
        <f t="shared" si="60"/>
        <v>0.79064970780336885</v>
      </c>
      <c r="N187" s="79">
        <f t="shared" si="60"/>
        <v>1.7188037126160192</v>
      </c>
      <c r="O187" s="79">
        <f t="shared" si="60"/>
        <v>0.82502578205568922</v>
      </c>
      <c r="P187" s="79">
        <f t="shared" si="60"/>
        <v>0.13750429700928155</v>
      </c>
      <c r="Q187" s="79">
        <f t="shared" si="60"/>
        <v>0.92815400481265042</v>
      </c>
      <c r="R187" s="79">
        <f t="shared" si="60"/>
        <v>0.27500859401856309</v>
      </c>
      <c r="S187" s="79">
        <f t="shared" si="60"/>
        <v>1.0312822275696116</v>
      </c>
      <c r="T187" s="79">
        <f t="shared" si="60"/>
        <v>0.27500859401856309</v>
      </c>
      <c r="U187" s="79">
        <f t="shared" si="60"/>
        <v>0</v>
      </c>
      <c r="V187" s="79">
        <f t="shared" si="60"/>
        <v>0.72189755929872812</v>
      </c>
      <c r="W187" s="79">
        <f t="shared" si="60"/>
        <v>6.8752148504640773E-2</v>
      </c>
      <c r="X187" s="79">
        <f t="shared" si="60"/>
        <v>0</v>
      </c>
      <c r="Y187" s="79">
        <f t="shared" si="60"/>
        <v>0.2406325197662427</v>
      </c>
      <c r="Z187" s="79">
        <f t="shared" si="60"/>
        <v>0.27500859401856309</v>
      </c>
      <c r="AA187" s="79">
        <f t="shared" si="60"/>
        <v>0.48126503953248539</v>
      </c>
      <c r="AB187" s="79">
        <f t="shared" si="60"/>
        <v>0.41251289102784461</v>
      </c>
      <c r="AC187" s="79">
        <f t="shared" si="60"/>
        <v>0.27500859401856309</v>
      </c>
      <c r="AD187" s="79">
        <f t="shared" si="60"/>
        <v>0.44688896528016503</v>
      </c>
      <c r="AE187" s="79">
        <f t="shared" si="60"/>
        <v>0.51564111378480582</v>
      </c>
      <c r="AF187" s="79">
        <f t="shared" si="60"/>
        <v>0.79064970780336885</v>
      </c>
      <c r="AG187" s="79">
        <f t="shared" si="60"/>
        <v>7.5971124097628051</v>
      </c>
      <c r="AH187" s="79">
        <f t="shared" si="60"/>
        <v>0.44688896528016503</v>
      </c>
      <c r="AI187" s="79">
        <f t="shared" si="60"/>
        <v>0.58439326228944655</v>
      </c>
      <c r="AJ187" s="79">
        <f t="shared" si="60"/>
        <v>2.6469577174286698</v>
      </c>
      <c r="AK187" s="79">
        <f t="shared" si="60"/>
        <v>0.37813681677552424</v>
      </c>
      <c r="AL187" s="79">
        <f t="shared" si="60"/>
        <v>0.41251289102784461</v>
      </c>
      <c r="AM187" s="79">
        <f t="shared" si="60"/>
        <v>0.58439326228944655</v>
      </c>
      <c r="AN187" s="79">
        <f t="shared" si="60"/>
        <v>0.72189755929872812</v>
      </c>
      <c r="AO187" s="79">
        <f t="shared" si="60"/>
        <v>0.44688896528016503</v>
      </c>
      <c r="AP187" s="79">
        <f t="shared" si="60"/>
        <v>0.17188037126160194</v>
      </c>
      <c r="AQ187" s="79">
        <f t="shared" si="60"/>
        <v>0.55001718803712618</v>
      </c>
      <c r="AR187" s="79">
        <f t="shared" si="60"/>
        <v>0.34376074252320388</v>
      </c>
      <c r="AS187" s="79">
        <f t="shared" si="60"/>
        <v>0.48126503953248539</v>
      </c>
      <c r="AT187" s="79">
        <f t="shared" si="60"/>
        <v>0.17188037126160194</v>
      </c>
      <c r="AU187" s="79">
        <f t="shared" si="60"/>
        <v>0.30938466827088346</v>
      </c>
      <c r="AV187" s="79">
        <f t="shared" si="60"/>
        <v>0.30938466827088346</v>
      </c>
      <c r="AW187" s="79">
        <f t="shared" si="60"/>
        <v>0.13750429700928155</v>
      </c>
      <c r="AX187" s="79">
        <f t="shared" si="60"/>
        <v>0.44688896528016503</v>
      </c>
      <c r="AY187" s="79">
        <f t="shared" si="60"/>
        <v>1.0312822275696116</v>
      </c>
      <c r="AZ187" s="79">
        <f t="shared" si="60"/>
        <v>1.3062908215881746</v>
      </c>
      <c r="BA187" s="79">
        <f t="shared" si="60"/>
        <v>1.340666895840495</v>
      </c>
      <c r="BB187" s="79">
        <f t="shared" si="60"/>
        <v>6.8752148504640773E-2</v>
      </c>
      <c r="BC187" s="79">
        <f t="shared" si="60"/>
        <v>2.0281883808869026</v>
      </c>
      <c r="BD187" s="79">
        <f t="shared" si="60"/>
        <v>0.44688896528016503</v>
      </c>
      <c r="BE187" s="79">
        <f t="shared" si="60"/>
        <v>1.1687865245788931</v>
      </c>
      <c r="BF187" s="79">
        <f t="shared" si="60"/>
        <v>0.51564111378480582</v>
      </c>
      <c r="BG187" s="79">
        <f t="shared" si="60"/>
        <v>0.30938466827088346</v>
      </c>
      <c r="BH187" s="79">
        <f t="shared" si="60"/>
        <v>0.10312822275696115</v>
      </c>
      <c r="BI187" s="79">
        <f t="shared" si="60"/>
        <v>0.51564111378480582</v>
      </c>
      <c r="BJ187" s="79">
        <f t="shared" si="60"/>
        <v>0</v>
      </c>
      <c r="BK187" s="79">
        <f t="shared" si="60"/>
        <v>0.37813681677552424</v>
      </c>
      <c r="BL187" s="79">
        <f t="shared" si="60"/>
        <v>0</v>
      </c>
      <c r="BM187" s="79">
        <f t="shared" si="60"/>
        <v>0.30938466827088346</v>
      </c>
      <c r="BN187" s="79">
        <f t="shared" si="60"/>
        <v>12.375386730835338</v>
      </c>
      <c r="BO187" s="79">
        <f t="shared" ref="BO187:DZ187" si="61">SUM(BO164:BO186)</f>
        <v>0</v>
      </c>
      <c r="BP187" s="79">
        <f t="shared" si="61"/>
        <v>0</v>
      </c>
      <c r="BQ187" s="79">
        <f t="shared" si="61"/>
        <v>1.6156754898590582</v>
      </c>
      <c r="BR187" s="79">
        <f t="shared" si="61"/>
        <v>0.41251289102784461</v>
      </c>
      <c r="BS187" s="79">
        <f t="shared" si="61"/>
        <v>0.10656583018219319</v>
      </c>
      <c r="BT187" s="79">
        <f t="shared" si="61"/>
        <v>0.41251289102784461</v>
      </c>
      <c r="BU187" s="79">
        <f t="shared" si="61"/>
        <v>0.96253007906497079</v>
      </c>
      <c r="BV187" s="79">
        <f t="shared" si="61"/>
        <v>1.4437951185974562</v>
      </c>
      <c r="BW187" s="79">
        <f t="shared" si="61"/>
        <v>0.30938466827088346</v>
      </c>
      <c r="BX187" s="79">
        <f t="shared" si="61"/>
        <v>0</v>
      </c>
      <c r="BY187" s="79">
        <f t="shared" si="61"/>
        <v>3.4376074252320386E-2</v>
      </c>
      <c r="BZ187" s="79">
        <f t="shared" si="61"/>
        <v>0.2062564455139223</v>
      </c>
      <c r="CA187" s="79">
        <f t="shared" si="61"/>
        <v>0</v>
      </c>
      <c r="CB187" s="79">
        <f t="shared" si="61"/>
        <v>0.92815400481265042</v>
      </c>
      <c r="CC187" s="79">
        <f t="shared" si="61"/>
        <v>0.61876933654176691</v>
      </c>
      <c r="CD187" s="79">
        <f t="shared" si="61"/>
        <v>0.17188037126160194</v>
      </c>
      <c r="CE187" s="79">
        <f t="shared" si="61"/>
        <v>0.48126503953248539</v>
      </c>
      <c r="CF187" s="79">
        <f t="shared" si="61"/>
        <v>0.61876933654176691</v>
      </c>
      <c r="CG187" s="79">
        <f t="shared" si="61"/>
        <v>0.17188037126160194</v>
      </c>
      <c r="CH187" s="79">
        <f t="shared" si="61"/>
        <v>0.34376074252320388</v>
      </c>
      <c r="CI187" s="79">
        <f t="shared" si="61"/>
        <v>0.37813681677552424</v>
      </c>
      <c r="CJ187" s="79">
        <f t="shared" si="61"/>
        <v>0.55001718803712618</v>
      </c>
      <c r="CK187" s="79">
        <f t="shared" si="61"/>
        <v>0.30938466827088346</v>
      </c>
      <c r="CL187" s="79">
        <f t="shared" si="61"/>
        <v>0.41251289102784461</v>
      </c>
      <c r="CM187" s="79">
        <f t="shared" si="61"/>
        <v>0.41251289102784461</v>
      </c>
      <c r="CN187" s="79">
        <f t="shared" si="61"/>
        <v>0.51564111378480582</v>
      </c>
      <c r="CO187" s="79">
        <f t="shared" si="61"/>
        <v>0.65314541079408728</v>
      </c>
      <c r="CP187" s="79">
        <f t="shared" si="61"/>
        <v>0.85940185630800958</v>
      </c>
      <c r="CQ187" s="79">
        <f t="shared" si="61"/>
        <v>3.4376074252320386E-2</v>
      </c>
      <c r="CR187" s="79">
        <f t="shared" si="61"/>
        <v>0.30938466827088346</v>
      </c>
      <c r="CS187" s="79">
        <f t="shared" si="61"/>
        <v>0</v>
      </c>
      <c r="CT187" s="79">
        <f t="shared" si="61"/>
        <v>0.41251289102784461</v>
      </c>
      <c r="CU187" s="79">
        <f t="shared" si="61"/>
        <v>0.2406325197662427</v>
      </c>
      <c r="CV187" s="79">
        <f t="shared" si="61"/>
        <v>6.8752148504640773E-2</v>
      </c>
      <c r="CW187" s="79">
        <f t="shared" si="61"/>
        <v>0.55001718803712618</v>
      </c>
      <c r="CX187" s="79">
        <f t="shared" si="61"/>
        <v>0.92815400481265042</v>
      </c>
      <c r="CY187" s="79">
        <f t="shared" si="61"/>
        <v>0.34376074252320388</v>
      </c>
      <c r="CZ187" s="79">
        <f t="shared" si="61"/>
        <v>1.512547267102097</v>
      </c>
      <c r="DA187" s="79">
        <f t="shared" si="61"/>
        <v>0.2406325197662427</v>
      </c>
      <c r="DB187" s="79">
        <f t="shared" si="61"/>
        <v>0.34376074252320388</v>
      </c>
      <c r="DC187" s="79">
        <f t="shared" si="61"/>
        <v>2.3031969749054659</v>
      </c>
      <c r="DD187" s="79">
        <f t="shared" si="61"/>
        <v>0.30938466827088346</v>
      </c>
      <c r="DE187" s="79">
        <f t="shared" si="61"/>
        <v>0.13750429700928155</v>
      </c>
      <c r="DF187" s="79">
        <f t="shared" si="61"/>
        <v>0.55001718803712618</v>
      </c>
      <c r="DG187" s="79">
        <f t="shared" si="61"/>
        <v>0</v>
      </c>
      <c r="DH187" s="79">
        <f t="shared" si="61"/>
        <v>0</v>
      </c>
      <c r="DI187" s="79">
        <f t="shared" si="61"/>
        <v>0.27500859401856309</v>
      </c>
      <c r="DJ187" s="79">
        <f t="shared" si="61"/>
        <v>1.8563080096253008</v>
      </c>
      <c r="DK187" s="79">
        <f t="shared" si="61"/>
        <v>1.3750429700928155</v>
      </c>
      <c r="DL187" s="79">
        <f t="shared" si="61"/>
        <v>0.51564111378480582</v>
      </c>
      <c r="DM187" s="79">
        <f t="shared" si="61"/>
        <v>0.10312822275696115</v>
      </c>
      <c r="DN187" s="79">
        <f t="shared" si="61"/>
        <v>0</v>
      </c>
      <c r="DO187" s="79">
        <f t="shared" si="61"/>
        <v>0</v>
      </c>
      <c r="DP187" s="79">
        <f t="shared" si="61"/>
        <v>0.41251289102784461</v>
      </c>
      <c r="DQ187" s="79">
        <f t="shared" si="61"/>
        <v>0.37813681677552424</v>
      </c>
      <c r="DR187" s="79">
        <f t="shared" si="61"/>
        <v>0.68752148504640775</v>
      </c>
      <c r="DS187" s="79">
        <f t="shared" si="61"/>
        <v>0.44688896528016503</v>
      </c>
      <c r="DT187" s="79">
        <f t="shared" si="61"/>
        <v>0.30938466827088346</v>
      </c>
      <c r="DU187" s="79">
        <f t="shared" si="61"/>
        <v>3.4376074252320386E-2</v>
      </c>
      <c r="DV187" s="79">
        <f t="shared" si="61"/>
        <v>1.7188037126160192</v>
      </c>
      <c r="DW187" s="79">
        <f t="shared" si="61"/>
        <v>0.72189755929872812</v>
      </c>
      <c r="DX187" s="79">
        <f t="shared" si="61"/>
        <v>0.92815400481265042</v>
      </c>
      <c r="DY187" s="79">
        <f t="shared" si="61"/>
        <v>0.41251289102784461</v>
      </c>
      <c r="DZ187" s="79">
        <f t="shared" si="61"/>
        <v>0.13750429700928155</v>
      </c>
      <c r="EA187" s="79">
        <f t="shared" ref="EA187:ES187" si="62">SUM(EA164:EA186)</f>
        <v>0.65314541079408728</v>
      </c>
      <c r="EB187" s="79">
        <f t="shared" si="62"/>
        <v>0</v>
      </c>
      <c r="EC187" s="79">
        <f t="shared" si="62"/>
        <v>0.48126503953248539</v>
      </c>
      <c r="ED187" s="79">
        <f t="shared" si="62"/>
        <v>0.68752148504640775</v>
      </c>
      <c r="EE187" s="79">
        <f t="shared" si="62"/>
        <v>0.27500859401856309</v>
      </c>
      <c r="EF187" s="79">
        <f t="shared" si="62"/>
        <v>3.4376074252320386E-2</v>
      </c>
      <c r="EG187" s="79">
        <f t="shared" si="62"/>
        <v>0.2062564455139223</v>
      </c>
      <c r="EH187" s="79">
        <f t="shared" si="62"/>
        <v>0</v>
      </c>
      <c r="EI187" s="79">
        <f t="shared" si="62"/>
        <v>0</v>
      </c>
      <c r="EJ187" s="79">
        <f t="shared" si="62"/>
        <v>1.2719147473358543</v>
      </c>
      <c r="EK187" s="79">
        <f t="shared" si="62"/>
        <v>0.30938466827088346</v>
      </c>
      <c r="EL187" s="79">
        <f t="shared" si="62"/>
        <v>0.2406325197662427</v>
      </c>
      <c r="EM187" s="79">
        <f t="shared" si="62"/>
        <v>0.44688896528016503</v>
      </c>
      <c r="EN187" s="79">
        <f t="shared" si="62"/>
        <v>0.27500859401856309</v>
      </c>
      <c r="EO187" s="79">
        <f t="shared" si="62"/>
        <v>0</v>
      </c>
      <c r="EP187" s="79">
        <f t="shared" si="62"/>
        <v>0</v>
      </c>
      <c r="EQ187" s="79">
        <f t="shared" si="62"/>
        <v>0.61876933654176691</v>
      </c>
      <c r="ER187" s="79">
        <f t="shared" si="62"/>
        <v>0.55001718803712618</v>
      </c>
      <c r="ES187" s="80">
        <f t="shared" si="62"/>
        <v>0</v>
      </c>
      <c r="ET187" s="81">
        <f>SUM(B187:ES187)</f>
        <v>89.999999999999943</v>
      </c>
    </row>
    <row r="188" spans="1:150" x14ac:dyDescent="0.3">
      <c r="A188" s="26" t="s">
        <v>182</v>
      </c>
    </row>
    <row r="189" spans="1:150" x14ac:dyDescent="0.3">
      <c r="A189" s="37" t="s">
        <v>1</v>
      </c>
      <c r="B189" s="37" t="s">
        <v>30</v>
      </c>
      <c r="C189" s="37" t="s">
        <v>6</v>
      </c>
      <c r="D189" s="37" t="s">
        <v>31</v>
      </c>
      <c r="E189" s="37" t="s">
        <v>32</v>
      </c>
      <c r="F189" s="37" t="s">
        <v>33</v>
      </c>
      <c r="G189" s="37" t="s">
        <v>34</v>
      </c>
      <c r="H189" s="37" t="s">
        <v>15</v>
      </c>
      <c r="I189" s="37" t="s">
        <v>35</v>
      </c>
      <c r="J189" s="37" t="s">
        <v>36</v>
      </c>
      <c r="K189" s="37" t="s">
        <v>37</v>
      </c>
      <c r="L189" s="37" t="s">
        <v>38</v>
      </c>
      <c r="M189" s="37" t="s">
        <v>39</v>
      </c>
      <c r="N189" s="37" t="s">
        <v>20</v>
      </c>
      <c r="O189" s="37" t="s">
        <v>40</v>
      </c>
      <c r="P189" s="37" t="s">
        <v>41</v>
      </c>
      <c r="Q189" s="37" t="s">
        <v>42</v>
      </c>
      <c r="R189" s="37" t="s">
        <v>43</v>
      </c>
      <c r="S189" s="37" t="s">
        <v>44</v>
      </c>
      <c r="T189" s="37" t="s">
        <v>45</v>
      </c>
      <c r="U189" s="37" t="s">
        <v>46</v>
      </c>
      <c r="V189" s="37" t="s">
        <v>47</v>
      </c>
      <c r="W189" s="37" t="s">
        <v>48</v>
      </c>
      <c r="X189" s="37" t="s">
        <v>49</v>
      </c>
      <c r="Y189" s="37" t="s">
        <v>50</v>
      </c>
      <c r="Z189" s="37" t="s">
        <v>51</v>
      </c>
      <c r="AA189" s="37" t="s">
        <v>52</v>
      </c>
      <c r="AB189" s="37" t="s">
        <v>53</v>
      </c>
      <c r="AC189" s="37" t="s">
        <v>54</v>
      </c>
      <c r="AD189" s="37" t="s">
        <v>55</v>
      </c>
      <c r="AE189" s="37" t="s">
        <v>56</v>
      </c>
      <c r="AF189" s="37" t="s">
        <v>57</v>
      </c>
      <c r="AG189" s="37" t="s">
        <v>58</v>
      </c>
      <c r="AH189" s="37" t="s">
        <v>59</v>
      </c>
      <c r="AI189" s="37" t="s">
        <v>60</v>
      </c>
      <c r="AJ189" s="37" t="s">
        <v>21</v>
      </c>
      <c r="AK189" s="37" t="s">
        <v>61</v>
      </c>
      <c r="AL189" s="37" t="s">
        <v>5</v>
      </c>
      <c r="AM189" s="37" t="s">
        <v>62</v>
      </c>
      <c r="AN189" s="37" t="s">
        <v>63</v>
      </c>
      <c r="AO189" s="37" t="s">
        <v>16</v>
      </c>
      <c r="AP189" s="37" t="s">
        <v>64</v>
      </c>
      <c r="AQ189" s="37" t="s">
        <v>65</v>
      </c>
      <c r="AR189" s="37" t="s">
        <v>66</v>
      </c>
      <c r="AS189" s="37" t="s">
        <v>67</v>
      </c>
      <c r="AT189" s="37" t="s">
        <v>68</v>
      </c>
      <c r="AU189" s="37" t="s">
        <v>69</v>
      </c>
      <c r="AV189" s="37" t="s">
        <v>70</v>
      </c>
      <c r="AW189" s="37" t="s">
        <v>71</v>
      </c>
      <c r="AX189" s="37" t="s">
        <v>72</v>
      </c>
      <c r="AY189" s="37" t="s">
        <v>17</v>
      </c>
      <c r="AZ189" s="37" t="s">
        <v>73</v>
      </c>
      <c r="BA189" s="37" t="s">
        <v>74</v>
      </c>
      <c r="BB189" s="37" t="s">
        <v>75</v>
      </c>
      <c r="BC189" s="37" t="s">
        <v>76</v>
      </c>
      <c r="BD189" s="37" t="s">
        <v>77</v>
      </c>
      <c r="BE189" s="37" t="s">
        <v>29</v>
      </c>
      <c r="BF189" s="37" t="s">
        <v>78</v>
      </c>
      <c r="BG189" s="37" t="s">
        <v>79</v>
      </c>
      <c r="BH189" s="37" t="s">
        <v>80</v>
      </c>
      <c r="BI189" s="37" t="s">
        <v>81</v>
      </c>
      <c r="BJ189" s="37" t="s">
        <v>82</v>
      </c>
      <c r="BK189" s="37" t="s">
        <v>83</v>
      </c>
      <c r="BL189" s="37" t="s">
        <v>84</v>
      </c>
      <c r="BM189" s="37" t="s">
        <v>85</v>
      </c>
      <c r="BN189" s="37" t="s">
        <v>22</v>
      </c>
      <c r="BO189" s="37" t="s">
        <v>7</v>
      </c>
      <c r="BP189" s="37" t="s">
        <v>86</v>
      </c>
      <c r="BQ189" s="37" t="s">
        <v>18</v>
      </c>
      <c r="BR189" s="37" t="s">
        <v>87</v>
      </c>
      <c r="BS189" s="37" t="s">
        <v>88</v>
      </c>
      <c r="BT189" s="37" t="s">
        <v>89</v>
      </c>
      <c r="BU189" s="37" t="s">
        <v>90</v>
      </c>
      <c r="BV189" s="37" t="s">
        <v>91</v>
      </c>
      <c r="BW189" s="37" t="s">
        <v>92</v>
      </c>
      <c r="BX189" s="37" t="s">
        <v>93</v>
      </c>
      <c r="BY189" s="37" t="s">
        <v>94</v>
      </c>
      <c r="BZ189" s="37" t="s">
        <v>95</v>
      </c>
      <c r="CA189" s="37" t="s">
        <v>96</v>
      </c>
      <c r="CB189" s="37" t="s">
        <v>97</v>
      </c>
      <c r="CC189" s="37" t="s">
        <v>98</v>
      </c>
      <c r="CD189" s="37" t="s">
        <v>99</v>
      </c>
      <c r="CE189" s="37" t="s">
        <v>100</v>
      </c>
      <c r="CF189" s="37" t="s">
        <v>26</v>
      </c>
      <c r="CG189" s="37" t="s">
        <v>101</v>
      </c>
      <c r="CH189" s="37" t="s">
        <v>102</v>
      </c>
      <c r="CI189" s="37" t="s">
        <v>103</v>
      </c>
      <c r="CJ189" s="37" t="s">
        <v>104</v>
      </c>
      <c r="CK189" s="37" t="s">
        <v>105</v>
      </c>
      <c r="CL189" s="37" t="s">
        <v>106</v>
      </c>
      <c r="CM189" s="37" t="s">
        <v>19</v>
      </c>
      <c r="CN189" s="37" t="s">
        <v>107</v>
      </c>
      <c r="CO189" s="37" t="s">
        <v>108</v>
      </c>
      <c r="CP189" s="37" t="s">
        <v>109</v>
      </c>
      <c r="CQ189" s="37" t="s">
        <v>110</v>
      </c>
      <c r="CR189" s="37" t="s">
        <v>111</v>
      </c>
      <c r="CS189" s="37" t="s">
        <v>112</v>
      </c>
      <c r="CT189" s="37" t="s">
        <v>180</v>
      </c>
      <c r="CU189" s="37" t="s">
        <v>114</v>
      </c>
      <c r="CV189" s="37" t="s">
        <v>115</v>
      </c>
      <c r="CW189" s="37" t="s">
        <v>116</v>
      </c>
      <c r="CX189" s="37" t="s">
        <v>117</v>
      </c>
      <c r="CY189" s="37" t="s">
        <v>118</v>
      </c>
      <c r="CZ189" s="37" t="s">
        <v>119</v>
      </c>
      <c r="DA189" s="37" t="s">
        <v>120</v>
      </c>
      <c r="DB189" s="37" t="s">
        <v>121</v>
      </c>
      <c r="DC189" s="37" t="s">
        <v>122</v>
      </c>
      <c r="DD189" s="37" t="s">
        <v>123</v>
      </c>
      <c r="DE189" s="37" t="s">
        <v>124</v>
      </c>
      <c r="DF189" s="37" t="s">
        <v>125</v>
      </c>
      <c r="DG189" s="37" t="s">
        <v>126</v>
      </c>
      <c r="DH189" s="37" t="s">
        <v>127</v>
      </c>
      <c r="DI189" s="37" t="s">
        <v>128</v>
      </c>
      <c r="DJ189" s="37" t="s">
        <v>27</v>
      </c>
      <c r="DK189" s="37" t="s">
        <v>25</v>
      </c>
      <c r="DL189" s="37" t="s">
        <v>129</v>
      </c>
      <c r="DM189" s="37" t="s">
        <v>130</v>
      </c>
      <c r="DN189" s="37" t="s">
        <v>8</v>
      </c>
      <c r="DO189" s="37" t="s">
        <v>131</v>
      </c>
      <c r="DP189" s="37" t="s">
        <v>28</v>
      </c>
      <c r="DQ189" s="37" t="s">
        <v>132</v>
      </c>
      <c r="DR189" s="37" t="s">
        <v>133</v>
      </c>
      <c r="DS189" s="37" t="s">
        <v>134</v>
      </c>
      <c r="DT189" s="37" t="s">
        <v>135</v>
      </c>
      <c r="DU189" s="37" t="s">
        <v>136</v>
      </c>
      <c r="DV189" s="37" t="s">
        <v>137</v>
      </c>
      <c r="DW189" s="37" t="s">
        <v>138</v>
      </c>
      <c r="DX189" s="37" t="s">
        <v>139</v>
      </c>
      <c r="DY189" s="37" t="s">
        <v>140</v>
      </c>
      <c r="DZ189" s="37" t="s">
        <v>141</v>
      </c>
      <c r="EA189" s="37" t="s">
        <v>142</v>
      </c>
      <c r="EB189" s="37" t="s">
        <v>143</v>
      </c>
      <c r="EC189" s="37" t="s">
        <v>144</v>
      </c>
      <c r="ED189" s="37" t="s">
        <v>145</v>
      </c>
      <c r="EE189" s="37" t="s">
        <v>146</v>
      </c>
      <c r="EF189" s="37" t="s">
        <v>147</v>
      </c>
      <c r="EG189" s="37" t="s">
        <v>148</v>
      </c>
      <c r="EH189" s="37" t="s">
        <v>149</v>
      </c>
      <c r="EI189" s="37" t="s">
        <v>150</v>
      </c>
      <c r="EJ189" s="37" t="s">
        <v>151</v>
      </c>
      <c r="EK189" s="37" t="s">
        <v>152</v>
      </c>
      <c r="EL189" s="37" t="s">
        <v>153</v>
      </c>
      <c r="EM189" s="37" t="s">
        <v>154</v>
      </c>
      <c r="EN189" s="37" t="s">
        <v>155</v>
      </c>
      <c r="EO189" s="37" t="s">
        <v>156</v>
      </c>
      <c r="EP189" s="37" t="s">
        <v>157</v>
      </c>
      <c r="EQ189" s="37" t="s">
        <v>158</v>
      </c>
      <c r="ER189" s="37" t="s">
        <v>23</v>
      </c>
      <c r="ES189" s="37" t="s">
        <v>159</v>
      </c>
    </row>
    <row r="190" spans="1:150" x14ac:dyDescent="0.3">
      <c r="A190" s="37" t="s">
        <v>6</v>
      </c>
      <c r="B190" s="64">
        <f>(B19/$ET$15)*B84</f>
        <v>0</v>
      </c>
      <c r="C190" s="64">
        <f>(C19/$ET$15)*C84</f>
        <v>0</v>
      </c>
      <c r="D190" s="64">
        <f>(D19/$ET$15)*D84</f>
        <v>0</v>
      </c>
      <c r="E190" s="64">
        <f>(E19/$ET$15)*E84</f>
        <v>0</v>
      </c>
      <c r="F190" s="64">
        <f>(F19/$ET$15)*F84</f>
        <v>0</v>
      </c>
      <c r="G190" s="64">
        <f>(G19/$ET$15)*G84</f>
        <v>0</v>
      </c>
      <c r="H190" s="64">
        <f>(H19/$ET$15)*H84</f>
        <v>0</v>
      </c>
      <c r="I190" s="64">
        <f>(I19/$ET$15)*I84</f>
        <v>0</v>
      </c>
      <c r="J190" s="64">
        <f>(J19/$ET$15)*J84</f>
        <v>0</v>
      </c>
      <c r="K190" s="64">
        <f>(K19/$ET$15)*K84</f>
        <v>0</v>
      </c>
      <c r="L190" s="64">
        <f>(L19/$ET$15)*L84</f>
        <v>0</v>
      </c>
      <c r="M190" s="64">
        <f>(M19/$ET$15)*M84</f>
        <v>0</v>
      </c>
      <c r="N190" s="64">
        <f>(N19/$ET$15)*N84</f>
        <v>0</v>
      </c>
      <c r="O190" s="64">
        <f>(O19/$ET$15)*O84</f>
        <v>0</v>
      </c>
      <c r="P190" s="64">
        <f>(P19/$ET$15)*P84</f>
        <v>0</v>
      </c>
      <c r="Q190" s="64">
        <f>(Q19/$ET$15)*Q84</f>
        <v>0</v>
      </c>
      <c r="R190" s="64">
        <f>(R19/$ET$15)*R84</f>
        <v>0</v>
      </c>
      <c r="S190" s="64">
        <f>(S19/$ET$15)*S84</f>
        <v>0</v>
      </c>
      <c r="T190" s="64">
        <f>(T19/$ET$15)*T84</f>
        <v>0</v>
      </c>
      <c r="U190" s="64">
        <f>(U19/$ET$15)*U84</f>
        <v>0</v>
      </c>
      <c r="V190" s="64">
        <f>(V19/$ET$15)*V84</f>
        <v>0</v>
      </c>
      <c r="W190" s="64">
        <f>(W19/$ET$15)*W84</f>
        <v>0</v>
      </c>
      <c r="X190" s="64">
        <f>(X19/$ET$15)*X84</f>
        <v>0</v>
      </c>
      <c r="Y190" s="64">
        <f>(Y19/$ET$15)*Y84</f>
        <v>0</v>
      </c>
      <c r="Z190" s="64">
        <f>(Z19/$ET$15)*Z84</f>
        <v>0</v>
      </c>
      <c r="AA190" s="64">
        <f>(AA19/$ET$15)*AA84</f>
        <v>0</v>
      </c>
      <c r="AB190" s="64">
        <f>(AB19/$ET$15)*AB84</f>
        <v>0</v>
      </c>
      <c r="AC190" s="64">
        <f>(AC19/$ET$15)*AC84</f>
        <v>0</v>
      </c>
      <c r="AD190" s="64">
        <f>(AD19/$ET$15)*AD84</f>
        <v>0</v>
      </c>
      <c r="AE190" s="64">
        <f>(AE19/$ET$15)*AE84</f>
        <v>0</v>
      </c>
      <c r="AF190" s="64">
        <f>(AF19/$ET$15)*AF84</f>
        <v>0</v>
      </c>
      <c r="AG190" s="64">
        <f>(AG19/$ET$15)*AG84</f>
        <v>0</v>
      </c>
      <c r="AH190" s="64">
        <f>(AH19/$ET$15)*AH84</f>
        <v>0</v>
      </c>
      <c r="AI190" s="64">
        <f>(AI19/$ET$15)*AI84</f>
        <v>0</v>
      </c>
      <c r="AJ190" s="64">
        <f>(AJ19/$ET$15)*AJ84</f>
        <v>0</v>
      </c>
      <c r="AK190" s="64">
        <f>(AK19/$ET$15)*AK84</f>
        <v>0</v>
      </c>
      <c r="AL190" s="64">
        <f>(AL19/$ET$15)*AL84</f>
        <v>0</v>
      </c>
      <c r="AM190" s="64">
        <f>(AM19/$ET$15)*AM84</f>
        <v>0</v>
      </c>
      <c r="AN190" s="64">
        <f>(AN19/$ET$15)*AN84</f>
        <v>0</v>
      </c>
      <c r="AO190" s="64">
        <f>(AO19/$ET$15)*AO84</f>
        <v>0</v>
      </c>
      <c r="AP190" s="64">
        <f>(AP19/$ET$15)*AP84</f>
        <v>0</v>
      </c>
      <c r="AQ190" s="64">
        <f>(AQ19/$ET$15)*AQ84</f>
        <v>0</v>
      </c>
      <c r="AR190" s="64">
        <f>(AR19/$ET$15)*AR84</f>
        <v>0</v>
      </c>
      <c r="AS190" s="64">
        <f>(AS19/$ET$15)*AS84</f>
        <v>0</v>
      </c>
      <c r="AT190" s="64">
        <f>(AT19/$ET$15)*AT84</f>
        <v>0</v>
      </c>
      <c r="AU190" s="64">
        <f>(AU19/$ET$15)*AU84</f>
        <v>0</v>
      </c>
      <c r="AV190" s="64">
        <f>(AV19/$ET$15)*AV84</f>
        <v>0</v>
      </c>
      <c r="AW190" s="64">
        <f>(AW19/$ET$15)*AW84</f>
        <v>0</v>
      </c>
      <c r="AX190" s="64">
        <f>(AX19/$ET$15)*AX84</f>
        <v>0</v>
      </c>
      <c r="AY190" s="64">
        <f>(AY19/$ET$15)*AY84</f>
        <v>0</v>
      </c>
      <c r="AZ190" s="64">
        <f>(AZ19/$ET$15)*AZ84</f>
        <v>0</v>
      </c>
      <c r="BA190" s="64">
        <f>(BA19/$ET$15)*BA84</f>
        <v>0</v>
      </c>
      <c r="BB190" s="64">
        <f>(BB19/$ET$15)*BB84</f>
        <v>0</v>
      </c>
      <c r="BC190" s="64">
        <f>(BC19/$ET$15)*BC84</f>
        <v>0</v>
      </c>
      <c r="BD190" s="64">
        <f>(BD19/$ET$15)*BD84</f>
        <v>0</v>
      </c>
      <c r="BE190" s="64">
        <f>(BE19/$ET$15)*BE84</f>
        <v>0</v>
      </c>
      <c r="BF190" s="64">
        <f>(BF19/$ET$15)*BF84</f>
        <v>0</v>
      </c>
      <c r="BG190" s="64">
        <f>(BG19/$ET$15)*BG84</f>
        <v>0</v>
      </c>
      <c r="BH190" s="64">
        <f>(BH19/$ET$15)*BH84</f>
        <v>0</v>
      </c>
      <c r="BI190" s="64">
        <f>(BI19/$ET$15)*BI84</f>
        <v>0</v>
      </c>
      <c r="BJ190" s="64">
        <f>(BJ19/$ET$15)*BJ84</f>
        <v>0</v>
      </c>
      <c r="BK190" s="64">
        <f>(BK19/$ET$15)*BK84</f>
        <v>0</v>
      </c>
      <c r="BL190" s="64">
        <f>(BL19/$ET$15)*BL84</f>
        <v>0</v>
      </c>
      <c r="BM190" s="64">
        <f>(BM19/$ET$15)*BM84</f>
        <v>0</v>
      </c>
      <c r="BN190" s="64">
        <f>(BN19/$ET$15)*BN84</f>
        <v>0</v>
      </c>
      <c r="BO190" s="64">
        <f>(BO19/$ET$15)*BO84</f>
        <v>0</v>
      </c>
      <c r="BP190" s="64">
        <f>(BP19/$ET$15)*BP84</f>
        <v>0</v>
      </c>
      <c r="BQ190" s="64">
        <f>(BQ19/$ET$15)*BQ84</f>
        <v>0</v>
      </c>
      <c r="BR190" s="64">
        <f>(BR19/$ET$15)*BR84</f>
        <v>0</v>
      </c>
      <c r="BS190" s="64">
        <f>(BS19/$ET$15)*BS84</f>
        <v>0</v>
      </c>
      <c r="BT190" s="64">
        <f>(BT19/$ET$15)*BT84</f>
        <v>0</v>
      </c>
      <c r="BU190" s="64">
        <f>(BU19/$ET$15)*BU84</f>
        <v>0</v>
      </c>
      <c r="BV190" s="64">
        <f>(BV19/$ET$15)*BV84</f>
        <v>0</v>
      </c>
      <c r="BW190" s="64">
        <f>(BW19/$ET$15)*BW84</f>
        <v>0</v>
      </c>
      <c r="BX190" s="64">
        <f>(BX19/$ET$15)*BX84</f>
        <v>0</v>
      </c>
      <c r="BY190" s="64">
        <f>(BY19/$ET$15)*BY84</f>
        <v>0</v>
      </c>
      <c r="BZ190" s="64">
        <f>(BZ19/$ET$15)*BZ84</f>
        <v>0</v>
      </c>
      <c r="CA190" s="64">
        <f>(CA19/$ET$15)*CA84</f>
        <v>0</v>
      </c>
      <c r="CB190" s="64">
        <f>(CB19/$ET$15)*CB84</f>
        <v>0</v>
      </c>
      <c r="CC190" s="64">
        <f>(CC19/$ET$15)*CC84</f>
        <v>0</v>
      </c>
      <c r="CD190" s="64">
        <f>(CD19/$ET$15)*CD84</f>
        <v>0</v>
      </c>
      <c r="CE190" s="64">
        <f>(CE19/$ET$15)*CE84</f>
        <v>0</v>
      </c>
      <c r="CF190" s="64">
        <f>(CF19/$ET$15)*CF84</f>
        <v>0</v>
      </c>
      <c r="CG190" s="64">
        <f>(CG19/$ET$15)*CG84</f>
        <v>0</v>
      </c>
      <c r="CH190" s="64">
        <f>(CH19/$ET$15)*CH84</f>
        <v>0</v>
      </c>
      <c r="CI190" s="64">
        <f>(CI19/$ET$15)*CI84</f>
        <v>0</v>
      </c>
      <c r="CJ190" s="64">
        <f>(CJ19/$ET$15)*CJ84</f>
        <v>0</v>
      </c>
      <c r="CK190" s="64">
        <f>(CK19/$ET$15)*CK84</f>
        <v>0</v>
      </c>
      <c r="CL190" s="64">
        <f>(CL19/$ET$15)*CL84</f>
        <v>0</v>
      </c>
      <c r="CM190" s="64">
        <f>(CM19/$ET$15)*CM84</f>
        <v>0</v>
      </c>
      <c r="CN190" s="64">
        <f>(CN19/$ET$15)*CN84</f>
        <v>0</v>
      </c>
      <c r="CO190" s="64">
        <f>(CO19/$ET$15)*CO84</f>
        <v>0</v>
      </c>
      <c r="CP190" s="64">
        <f>(CP19/$ET$15)*CP84</f>
        <v>0</v>
      </c>
      <c r="CQ190" s="64">
        <f>(CQ19/$ET$15)*CQ84</f>
        <v>0</v>
      </c>
      <c r="CR190" s="64">
        <f>(CR19/$ET$15)*CR84</f>
        <v>0</v>
      </c>
      <c r="CS190" s="64">
        <f>(CS19/$ET$15)*CS84</f>
        <v>0</v>
      </c>
      <c r="CT190" s="64">
        <f>(CT19/$ET$15)*CT84</f>
        <v>0</v>
      </c>
      <c r="CU190" s="64">
        <f>(CU19/$ET$15)*CU84</f>
        <v>0</v>
      </c>
      <c r="CV190" s="64">
        <f>(CV19/$ET$15)*CV84</f>
        <v>0</v>
      </c>
      <c r="CW190" s="64">
        <f>(CW19/$ET$15)*CW84</f>
        <v>0</v>
      </c>
      <c r="CX190" s="64">
        <f>(CX19/$ET$15)*CX84</f>
        <v>0</v>
      </c>
      <c r="CY190" s="64">
        <f>(CY19/$ET$15)*CY84</f>
        <v>0</v>
      </c>
      <c r="CZ190" s="64">
        <f>(CZ19/$ET$15)*CZ84</f>
        <v>0</v>
      </c>
      <c r="DA190" s="64">
        <f>(DA19/$ET$15)*DA84</f>
        <v>0</v>
      </c>
      <c r="DB190" s="64">
        <f>(DB19/$ET$15)*DB84</f>
        <v>0</v>
      </c>
      <c r="DC190" s="64">
        <f>(DC19/$ET$15)*DC84</f>
        <v>0</v>
      </c>
      <c r="DD190" s="64">
        <f>(DD19/$ET$15)*DD84</f>
        <v>0</v>
      </c>
      <c r="DE190" s="64">
        <f>(DE19/$ET$15)*DE84</f>
        <v>0</v>
      </c>
      <c r="DF190" s="64">
        <f>(DF19/$ET$15)*DF84</f>
        <v>0</v>
      </c>
      <c r="DG190" s="64">
        <f>(DG19/$ET$15)*DG84</f>
        <v>0</v>
      </c>
      <c r="DH190" s="64">
        <f>(DH19/$ET$15)*DH84</f>
        <v>0</v>
      </c>
      <c r="DI190" s="64">
        <f>(DI19/$ET$15)*DI84</f>
        <v>0</v>
      </c>
      <c r="DJ190" s="64">
        <f>(DJ19/$ET$15)*DJ84</f>
        <v>0</v>
      </c>
      <c r="DK190" s="64">
        <f>(DK19/$ET$15)*DK84</f>
        <v>0</v>
      </c>
      <c r="DL190" s="64">
        <f>(DL19/$ET$15)*DL84</f>
        <v>0</v>
      </c>
      <c r="DM190" s="64">
        <f>(DM19/$ET$15)*DM84</f>
        <v>0</v>
      </c>
      <c r="DN190" s="64">
        <f>(DN19/$ET$15)*DN84</f>
        <v>0</v>
      </c>
      <c r="DO190" s="64">
        <f>(DO19/$ET$15)*DO84</f>
        <v>0</v>
      </c>
      <c r="DP190" s="64">
        <f>(DP19/$ET$15)*DP84</f>
        <v>0</v>
      </c>
      <c r="DQ190" s="64">
        <f>(DQ19/$ET$15)*DQ84</f>
        <v>0</v>
      </c>
      <c r="DR190" s="64">
        <f>(DR19/$ET$15)*DR84</f>
        <v>0</v>
      </c>
      <c r="DS190" s="64">
        <f>(DS19/$ET$15)*DS84</f>
        <v>0</v>
      </c>
      <c r="DT190" s="64">
        <f>(DT19/$ET$15)*DT84</f>
        <v>0</v>
      </c>
      <c r="DU190" s="64">
        <f>(DU19/$ET$15)*DU84</f>
        <v>0</v>
      </c>
      <c r="DV190" s="64">
        <f>(DV19/$ET$15)*DV84</f>
        <v>0</v>
      </c>
      <c r="DW190" s="64">
        <f>(DW19/$ET$15)*DW84</f>
        <v>0</v>
      </c>
      <c r="DX190" s="64">
        <f>(DX19/$ET$15)*DX84</f>
        <v>0</v>
      </c>
      <c r="DY190" s="64">
        <f>(DY19/$ET$15)*DY84</f>
        <v>0</v>
      </c>
      <c r="DZ190" s="64">
        <f>(DZ19/$ET$15)*DZ84</f>
        <v>0</v>
      </c>
      <c r="EA190" s="64">
        <f>(EA19/$ET$15)*EA84</f>
        <v>0</v>
      </c>
      <c r="EB190" s="64">
        <f>(EB19/$ET$15)*EB84</f>
        <v>0</v>
      </c>
      <c r="EC190" s="64">
        <f>(EC19/$ET$15)*EC84</f>
        <v>0</v>
      </c>
      <c r="ED190" s="64">
        <f>(ED19/$ET$15)*ED84</f>
        <v>0</v>
      </c>
      <c r="EE190" s="64">
        <f>(EE19/$ET$15)*EE84</f>
        <v>0</v>
      </c>
      <c r="EF190" s="64">
        <f>(EF19/$ET$15)*EF84</f>
        <v>0</v>
      </c>
      <c r="EG190" s="64">
        <f>(EG19/$ET$15)*EG84</f>
        <v>0</v>
      </c>
      <c r="EH190" s="64">
        <f>(EH19/$ET$15)*EH84</f>
        <v>0</v>
      </c>
      <c r="EI190" s="64">
        <f>(EI19/$ET$15)*EI84</f>
        <v>0</v>
      </c>
      <c r="EJ190" s="64">
        <f>(EJ19/$ET$15)*EJ84</f>
        <v>0</v>
      </c>
      <c r="EK190" s="64">
        <f>(EK19/$ET$15)*EK84</f>
        <v>0</v>
      </c>
      <c r="EL190" s="64">
        <f>(EL19/$ET$15)*EL84</f>
        <v>0</v>
      </c>
      <c r="EM190" s="64">
        <f>(EM19/$ET$15)*EM84</f>
        <v>0</v>
      </c>
      <c r="EN190" s="64">
        <f>(EN19/$ET$15)*EN84</f>
        <v>0</v>
      </c>
      <c r="EO190" s="64">
        <f>(EO19/$ET$15)*EO84</f>
        <v>0</v>
      </c>
      <c r="EP190" s="64">
        <f>(EP19/$ET$15)*EP84</f>
        <v>0</v>
      </c>
      <c r="EQ190" s="64">
        <f>(EQ19/$ET$15)*EQ84</f>
        <v>0</v>
      </c>
      <c r="ER190" s="64">
        <f>(ER19/$ET$15)*ER84</f>
        <v>0</v>
      </c>
      <c r="ES190" s="64">
        <f>(ES19/$ET$15)*ES84</f>
        <v>0</v>
      </c>
    </row>
    <row r="191" spans="1:150" x14ac:dyDescent="0.3">
      <c r="A191" s="37" t="s">
        <v>15</v>
      </c>
      <c r="B191" s="64">
        <f>(B20/$ET$15)*B85</f>
        <v>0</v>
      </c>
      <c r="C191" s="64">
        <f>(C20/$ET$15)*C85</f>
        <v>0</v>
      </c>
      <c r="D191" s="64">
        <f>(D20/$ET$15)*D85</f>
        <v>0</v>
      </c>
      <c r="E191" s="64">
        <f>(E20/$ET$15)*E85</f>
        <v>0</v>
      </c>
      <c r="F191" s="64">
        <f>(F20/$ET$15)*F85</f>
        <v>0</v>
      </c>
      <c r="G191" s="64">
        <f>(G20/$ET$15)*G85</f>
        <v>0</v>
      </c>
      <c r="H191" s="64">
        <f>(H20/$ET$15)*H85</f>
        <v>0</v>
      </c>
      <c r="I191" s="64">
        <f>(I20/$ET$15)*I85</f>
        <v>0</v>
      </c>
      <c r="J191" s="64">
        <f>(J20/$ET$15)*J85</f>
        <v>0</v>
      </c>
      <c r="K191" s="64">
        <f>(K20/$ET$15)*K85</f>
        <v>0</v>
      </c>
      <c r="L191" s="64">
        <f>(L20/$ET$15)*L85</f>
        <v>0</v>
      </c>
      <c r="M191" s="64">
        <f>(M20/$ET$15)*M85</f>
        <v>0</v>
      </c>
      <c r="N191" s="64">
        <f>(N20/$ET$15)*N85</f>
        <v>0</v>
      </c>
      <c r="O191" s="64">
        <f>(O20/$ET$15)*O85</f>
        <v>0</v>
      </c>
      <c r="P191" s="64">
        <f>(P20/$ET$15)*P85</f>
        <v>0</v>
      </c>
      <c r="Q191" s="64">
        <f>(Q20/$ET$15)*Q85</f>
        <v>0</v>
      </c>
      <c r="R191" s="64">
        <f>(R20/$ET$15)*R85</f>
        <v>0</v>
      </c>
      <c r="S191" s="64">
        <f>(S20/$ET$15)*S85</f>
        <v>0</v>
      </c>
      <c r="T191" s="64">
        <f>(T20/$ET$15)*T85</f>
        <v>0</v>
      </c>
      <c r="U191" s="64">
        <f>(U20/$ET$15)*U85</f>
        <v>0</v>
      </c>
      <c r="V191" s="64">
        <f>(V20/$ET$15)*V85</f>
        <v>0</v>
      </c>
      <c r="W191" s="64">
        <f>(W20/$ET$15)*W85</f>
        <v>0</v>
      </c>
      <c r="X191" s="64">
        <f>(X20/$ET$15)*X85</f>
        <v>0</v>
      </c>
      <c r="Y191" s="64">
        <f>(Y20/$ET$15)*Y85</f>
        <v>0</v>
      </c>
      <c r="Z191" s="64">
        <f>(Z20/$ET$15)*Z85</f>
        <v>0</v>
      </c>
      <c r="AA191" s="64">
        <f>(AA20/$ET$15)*AA85</f>
        <v>0</v>
      </c>
      <c r="AB191" s="64">
        <f>(AB20/$ET$15)*AB85</f>
        <v>0</v>
      </c>
      <c r="AC191" s="64">
        <f>(AC20/$ET$15)*AC85</f>
        <v>0</v>
      </c>
      <c r="AD191" s="64">
        <f>(AD20/$ET$15)*AD85</f>
        <v>0</v>
      </c>
      <c r="AE191" s="64">
        <f>(AE20/$ET$15)*AE85</f>
        <v>0</v>
      </c>
      <c r="AF191" s="64">
        <f>(AF20/$ET$15)*AF85</f>
        <v>0</v>
      </c>
      <c r="AG191" s="64">
        <f>(AG20/$ET$15)*AG85</f>
        <v>0</v>
      </c>
      <c r="AH191" s="64">
        <f>(AH20/$ET$15)*AH85</f>
        <v>0</v>
      </c>
      <c r="AI191" s="64">
        <f>(AI20/$ET$15)*AI85</f>
        <v>0</v>
      </c>
      <c r="AJ191" s="64">
        <f>(AJ20/$ET$15)*AJ85</f>
        <v>0</v>
      </c>
      <c r="AK191" s="64">
        <f>(AK20/$ET$15)*AK85</f>
        <v>0</v>
      </c>
      <c r="AL191" s="64">
        <f>(AL20/$ET$15)*AL85</f>
        <v>0</v>
      </c>
      <c r="AM191" s="64">
        <f>(AM20/$ET$15)*AM85</f>
        <v>0</v>
      </c>
      <c r="AN191" s="64">
        <f>(AN20/$ET$15)*AN85</f>
        <v>0</v>
      </c>
      <c r="AO191" s="64">
        <f>(AO20/$ET$15)*AO85</f>
        <v>0</v>
      </c>
      <c r="AP191" s="64">
        <f>(AP20/$ET$15)*AP85</f>
        <v>0</v>
      </c>
      <c r="AQ191" s="64">
        <f>(AQ20/$ET$15)*AQ85</f>
        <v>0</v>
      </c>
      <c r="AR191" s="64">
        <f>(AR20/$ET$15)*AR85</f>
        <v>0</v>
      </c>
      <c r="AS191" s="64">
        <f>(AS20/$ET$15)*AS85</f>
        <v>0</v>
      </c>
      <c r="AT191" s="64">
        <f>(AT20/$ET$15)*AT85</f>
        <v>0</v>
      </c>
      <c r="AU191" s="64">
        <f>(AU20/$ET$15)*AU85</f>
        <v>0</v>
      </c>
      <c r="AV191" s="64">
        <f>(AV20/$ET$15)*AV85</f>
        <v>0</v>
      </c>
      <c r="AW191" s="64">
        <f>(AW20/$ET$15)*AW85</f>
        <v>0</v>
      </c>
      <c r="AX191" s="64">
        <f>(AX20/$ET$15)*AX85</f>
        <v>0</v>
      </c>
      <c r="AY191" s="64">
        <f>(AY20/$ET$15)*AY85</f>
        <v>0</v>
      </c>
      <c r="AZ191" s="64">
        <f>(AZ20/$ET$15)*AZ85</f>
        <v>0</v>
      </c>
      <c r="BA191" s="64">
        <f>(BA20/$ET$15)*BA85</f>
        <v>0</v>
      </c>
      <c r="BB191" s="64">
        <f>(BB20/$ET$15)*BB85</f>
        <v>0</v>
      </c>
      <c r="BC191" s="64">
        <f>(BC20/$ET$15)*BC85</f>
        <v>0</v>
      </c>
      <c r="BD191" s="64">
        <f>(BD20/$ET$15)*BD85</f>
        <v>0</v>
      </c>
      <c r="BE191" s="64">
        <f>(BE20/$ET$15)*BE85</f>
        <v>0</v>
      </c>
      <c r="BF191" s="64">
        <f>(BF20/$ET$15)*BF85</f>
        <v>0</v>
      </c>
      <c r="BG191" s="64">
        <f>(BG20/$ET$15)*BG85</f>
        <v>0</v>
      </c>
      <c r="BH191" s="64">
        <f>(BH20/$ET$15)*BH85</f>
        <v>0</v>
      </c>
      <c r="BI191" s="64">
        <f>(BI20/$ET$15)*BI85</f>
        <v>0</v>
      </c>
      <c r="BJ191" s="64">
        <f>(BJ20/$ET$15)*BJ85</f>
        <v>0</v>
      </c>
      <c r="BK191" s="64">
        <f>(BK20/$ET$15)*BK85</f>
        <v>0</v>
      </c>
      <c r="BL191" s="64">
        <f>(BL20/$ET$15)*BL85</f>
        <v>0</v>
      </c>
      <c r="BM191" s="64">
        <f>(BM20/$ET$15)*BM85</f>
        <v>0</v>
      </c>
      <c r="BN191" s="64">
        <f>(BN20/$ET$15)*BN85</f>
        <v>0</v>
      </c>
      <c r="BO191" s="64">
        <f>(BO20/$ET$15)*BO85</f>
        <v>0</v>
      </c>
      <c r="BP191" s="64">
        <f>(BP20/$ET$15)*BP85</f>
        <v>0</v>
      </c>
      <c r="BQ191" s="64">
        <f>(BQ20/$ET$15)*BQ85</f>
        <v>0</v>
      </c>
      <c r="BR191" s="64">
        <f>(BR20/$ET$15)*BR85</f>
        <v>0</v>
      </c>
      <c r="BS191" s="64">
        <f>(BS20/$ET$15)*BS85</f>
        <v>0</v>
      </c>
      <c r="BT191" s="64">
        <f>(BT20/$ET$15)*BT85</f>
        <v>0</v>
      </c>
      <c r="BU191" s="64">
        <f>(BU20/$ET$15)*BU85</f>
        <v>0</v>
      </c>
      <c r="BV191" s="64">
        <f>(BV20/$ET$15)*BV85</f>
        <v>0</v>
      </c>
      <c r="BW191" s="64">
        <f>(BW20/$ET$15)*BW85</f>
        <v>0</v>
      </c>
      <c r="BX191" s="64">
        <f>(BX20/$ET$15)*BX85</f>
        <v>0</v>
      </c>
      <c r="BY191" s="64">
        <f>(BY20/$ET$15)*BY85</f>
        <v>0</v>
      </c>
      <c r="BZ191" s="64">
        <f>(BZ20/$ET$15)*BZ85</f>
        <v>0</v>
      </c>
      <c r="CA191" s="64">
        <f>(CA20/$ET$15)*CA85</f>
        <v>0</v>
      </c>
      <c r="CB191" s="64">
        <f>(CB20/$ET$15)*CB85</f>
        <v>0</v>
      </c>
      <c r="CC191" s="64">
        <f>(CC20/$ET$15)*CC85</f>
        <v>0</v>
      </c>
      <c r="CD191" s="64">
        <f>(CD20/$ET$15)*CD85</f>
        <v>0</v>
      </c>
      <c r="CE191" s="64">
        <f>(CE20/$ET$15)*CE85</f>
        <v>0</v>
      </c>
      <c r="CF191" s="64">
        <f>(CF20/$ET$15)*CF85</f>
        <v>0</v>
      </c>
      <c r="CG191" s="64">
        <f>(CG20/$ET$15)*CG85</f>
        <v>0</v>
      </c>
      <c r="CH191" s="64">
        <f>(CH20/$ET$15)*CH85</f>
        <v>0</v>
      </c>
      <c r="CI191" s="64">
        <f>(CI20/$ET$15)*CI85</f>
        <v>0</v>
      </c>
      <c r="CJ191" s="64">
        <f>(CJ20/$ET$15)*CJ85</f>
        <v>0</v>
      </c>
      <c r="CK191" s="64">
        <f>(CK20/$ET$15)*CK85</f>
        <v>0</v>
      </c>
      <c r="CL191" s="64">
        <f>(CL20/$ET$15)*CL85</f>
        <v>0</v>
      </c>
      <c r="CM191" s="64">
        <f>(CM20/$ET$15)*CM85</f>
        <v>0</v>
      </c>
      <c r="CN191" s="64">
        <f>(CN20/$ET$15)*CN85</f>
        <v>0</v>
      </c>
      <c r="CO191" s="64">
        <f>(CO20/$ET$15)*CO85</f>
        <v>0</v>
      </c>
      <c r="CP191" s="64">
        <f>(CP20/$ET$15)*CP85</f>
        <v>0</v>
      </c>
      <c r="CQ191" s="64">
        <f>(CQ20/$ET$15)*CQ85</f>
        <v>0</v>
      </c>
      <c r="CR191" s="64">
        <f>(CR20/$ET$15)*CR85</f>
        <v>0</v>
      </c>
      <c r="CS191" s="64">
        <f>(CS20/$ET$15)*CS85</f>
        <v>0</v>
      </c>
      <c r="CT191" s="64">
        <f>(CT20/$ET$15)*CT85</f>
        <v>0</v>
      </c>
      <c r="CU191" s="64">
        <f>(CU20/$ET$15)*CU85</f>
        <v>0</v>
      </c>
      <c r="CV191" s="64">
        <f>(CV20/$ET$15)*CV85</f>
        <v>0</v>
      </c>
      <c r="CW191" s="64">
        <f>(CW20/$ET$15)*CW85</f>
        <v>0</v>
      </c>
      <c r="CX191" s="64">
        <f>(CX20/$ET$15)*CX85</f>
        <v>0</v>
      </c>
      <c r="CY191" s="64">
        <f>(CY20/$ET$15)*CY85</f>
        <v>0</v>
      </c>
      <c r="CZ191" s="64">
        <f>(CZ20/$ET$15)*CZ85</f>
        <v>0</v>
      </c>
      <c r="DA191" s="64">
        <f>(DA20/$ET$15)*DA85</f>
        <v>0</v>
      </c>
      <c r="DB191" s="64">
        <f>(DB20/$ET$15)*DB85</f>
        <v>0</v>
      </c>
      <c r="DC191" s="64">
        <f>(DC20/$ET$15)*DC85</f>
        <v>0</v>
      </c>
      <c r="DD191" s="64">
        <f>(DD20/$ET$15)*DD85</f>
        <v>0</v>
      </c>
      <c r="DE191" s="64">
        <f>(DE20/$ET$15)*DE85</f>
        <v>0</v>
      </c>
      <c r="DF191" s="64">
        <f>(DF20/$ET$15)*DF85</f>
        <v>0</v>
      </c>
      <c r="DG191" s="64">
        <f>(DG20/$ET$15)*DG85</f>
        <v>0</v>
      </c>
      <c r="DH191" s="64">
        <f>(DH20/$ET$15)*DH85</f>
        <v>0</v>
      </c>
      <c r="DI191" s="64">
        <f>(DI20/$ET$15)*DI85</f>
        <v>0</v>
      </c>
      <c r="DJ191" s="64">
        <f>(DJ20/$ET$15)*DJ85</f>
        <v>0</v>
      </c>
      <c r="DK191" s="64">
        <f>(DK20/$ET$15)*DK85</f>
        <v>0</v>
      </c>
      <c r="DL191" s="64">
        <f>(DL20/$ET$15)*DL85</f>
        <v>0</v>
      </c>
      <c r="DM191" s="64">
        <f>(DM20/$ET$15)*DM85</f>
        <v>0</v>
      </c>
      <c r="DN191" s="64">
        <f>(DN20/$ET$15)*DN85</f>
        <v>0</v>
      </c>
      <c r="DO191" s="64">
        <f>(DO20/$ET$15)*DO85</f>
        <v>0</v>
      </c>
      <c r="DP191" s="64">
        <f>(DP20/$ET$15)*DP85</f>
        <v>0</v>
      </c>
      <c r="DQ191" s="64">
        <f>(DQ20/$ET$15)*DQ85</f>
        <v>0</v>
      </c>
      <c r="DR191" s="64">
        <f>(DR20/$ET$15)*DR85</f>
        <v>0</v>
      </c>
      <c r="DS191" s="64">
        <f>(DS20/$ET$15)*DS85</f>
        <v>0</v>
      </c>
      <c r="DT191" s="64">
        <f>(DT20/$ET$15)*DT85</f>
        <v>0</v>
      </c>
      <c r="DU191" s="64">
        <f>(DU20/$ET$15)*DU85</f>
        <v>0</v>
      </c>
      <c r="DV191" s="64">
        <f>(DV20/$ET$15)*DV85</f>
        <v>0</v>
      </c>
      <c r="DW191" s="64">
        <f>(DW20/$ET$15)*DW85</f>
        <v>0</v>
      </c>
      <c r="DX191" s="64">
        <f>(DX20/$ET$15)*DX85</f>
        <v>0</v>
      </c>
      <c r="DY191" s="64">
        <f>(DY20/$ET$15)*DY85</f>
        <v>0</v>
      </c>
      <c r="DZ191" s="64">
        <f>(DZ20/$ET$15)*DZ85</f>
        <v>0</v>
      </c>
      <c r="EA191" s="64">
        <f>(EA20/$ET$15)*EA85</f>
        <v>0</v>
      </c>
      <c r="EB191" s="64">
        <f>(EB20/$ET$15)*EB85</f>
        <v>0</v>
      </c>
      <c r="EC191" s="64">
        <f>(EC20/$ET$15)*EC85</f>
        <v>0</v>
      </c>
      <c r="ED191" s="64">
        <f>(ED20/$ET$15)*ED85</f>
        <v>0</v>
      </c>
      <c r="EE191" s="64">
        <f>(EE20/$ET$15)*EE85</f>
        <v>0</v>
      </c>
      <c r="EF191" s="64">
        <f>(EF20/$ET$15)*EF85</f>
        <v>0</v>
      </c>
      <c r="EG191" s="64">
        <f>(EG20/$ET$15)*EG85</f>
        <v>0</v>
      </c>
      <c r="EH191" s="64">
        <f>(EH20/$ET$15)*EH85</f>
        <v>0</v>
      </c>
      <c r="EI191" s="64">
        <f>(EI20/$ET$15)*EI85</f>
        <v>0</v>
      </c>
      <c r="EJ191" s="64">
        <f>(EJ20/$ET$15)*EJ85</f>
        <v>0</v>
      </c>
      <c r="EK191" s="64">
        <f>(EK20/$ET$15)*EK85</f>
        <v>0</v>
      </c>
      <c r="EL191" s="64">
        <f>(EL20/$ET$15)*EL85</f>
        <v>0</v>
      </c>
      <c r="EM191" s="64">
        <f>(EM20/$ET$15)*EM85</f>
        <v>0</v>
      </c>
      <c r="EN191" s="64">
        <f>(EN20/$ET$15)*EN85</f>
        <v>0</v>
      </c>
      <c r="EO191" s="64">
        <f>(EO20/$ET$15)*EO85</f>
        <v>0</v>
      </c>
      <c r="EP191" s="64">
        <f>(EP20/$ET$15)*EP85</f>
        <v>0</v>
      </c>
      <c r="EQ191" s="64">
        <f>(EQ20/$ET$15)*EQ85</f>
        <v>0</v>
      </c>
      <c r="ER191" s="64">
        <f>(ER20/$ET$15)*ER85</f>
        <v>0</v>
      </c>
      <c r="ES191" s="64">
        <f>(ES20/$ET$15)*ES85</f>
        <v>0</v>
      </c>
    </row>
    <row r="192" spans="1:150" x14ac:dyDescent="0.3">
      <c r="A192" s="37" t="s">
        <v>4</v>
      </c>
      <c r="B192" s="64">
        <f>(B21/$ET$15)*B86</f>
        <v>0</v>
      </c>
      <c r="C192" s="64">
        <f>(C21/$ET$15)*C86</f>
        <v>0</v>
      </c>
      <c r="D192" s="64">
        <f>(D21/$ET$15)*D86</f>
        <v>0</v>
      </c>
      <c r="E192" s="64">
        <f>(E21/$ET$15)*E86</f>
        <v>0</v>
      </c>
      <c r="F192" s="64">
        <f>(F21/$ET$15)*F86</f>
        <v>0</v>
      </c>
      <c r="G192" s="64">
        <f>(G21/$ET$15)*G86</f>
        <v>0</v>
      </c>
      <c r="H192" s="64">
        <f>(H21/$ET$15)*H86</f>
        <v>0</v>
      </c>
      <c r="I192" s="64">
        <f>(I21/$ET$15)*I86</f>
        <v>0</v>
      </c>
      <c r="J192" s="64">
        <f>(J21/$ET$15)*J86</f>
        <v>0</v>
      </c>
      <c r="K192" s="64">
        <f>(K21/$ET$15)*K86</f>
        <v>0</v>
      </c>
      <c r="L192" s="64">
        <f>(L21/$ET$15)*L86</f>
        <v>0</v>
      </c>
      <c r="M192" s="64">
        <f>(M21/$ET$15)*M86</f>
        <v>0</v>
      </c>
      <c r="N192" s="64">
        <f>(N21/$ET$15)*N86</f>
        <v>0</v>
      </c>
      <c r="O192" s="64">
        <f>(O21/$ET$15)*O86</f>
        <v>0</v>
      </c>
      <c r="P192" s="64">
        <f>(P21/$ET$15)*P86</f>
        <v>0</v>
      </c>
      <c r="Q192" s="64">
        <f>(Q21/$ET$15)*Q86</f>
        <v>0</v>
      </c>
      <c r="R192" s="64">
        <f>(R21/$ET$15)*R86</f>
        <v>0</v>
      </c>
      <c r="S192" s="64">
        <f>(S21/$ET$15)*S86</f>
        <v>0</v>
      </c>
      <c r="T192" s="64">
        <f>(T21/$ET$15)*T86</f>
        <v>0</v>
      </c>
      <c r="U192" s="64">
        <f>(U21/$ET$15)*U86</f>
        <v>0</v>
      </c>
      <c r="V192" s="64">
        <f>(V21/$ET$15)*V86</f>
        <v>0</v>
      </c>
      <c r="W192" s="64">
        <f>(W21/$ET$15)*W86</f>
        <v>0</v>
      </c>
      <c r="X192" s="64">
        <f>(X21/$ET$15)*X86</f>
        <v>0</v>
      </c>
      <c r="Y192" s="64">
        <f>(Y21/$ET$15)*Y86</f>
        <v>0</v>
      </c>
      <c r="Z192" s="64">
        <f>(Z21/$ET$15)*Z86</f>
        <v>0</v>
      </c>
      <c r="AA192" s="64">
        <f>(AA21/$ET$15)*AA86</f>
        <v>0</v>
      </c>
      <c r="AB192" s="64">
        <f>(AB21/$ET$15)*AB86</f>
        <v>0</v>
      </c>
      <c r="AC192" s="64">
        <f>(AC21/$ET$15)*AC86</f>
        <v>0</v>
      </c>
      <c r="AD192" s="64">
        <f>(AD21/$ET$15)*AD86</f>
        <v>0</v>
      </c>
      <c r="AE192" s="64">
        <f>(AE21/$ET$15)*AE86</f>
        <v>0</v>
      </c>
      <c r="AF192" s="64">
        <f>(AF21/$ET$15)*AF86</f>
        <v>0</v>
      </c>
      <c r="AG192" s="64">
        <f>(AG21/$ET$15)*AG86</f>
        <v>0</v>
      </c>
      <c r="AH192" s="64">
        <f>(AH21/$ET$15)*AH86</f>
        <v>0</v>
      </c>
      <c r="AI192" s="64">
        <f>(AI21/$ET$15)*AI86</f>
        <v>0</v>
      </c>
      <c r="AJ192" s="64">
        <f>(AJ21/$ET$15)*AJ86</f>
        <v>0</v>
      </c>
      <c r="AK192" s="64">
        <f>(AK21/$ET$15)*AK86</f>
        <v>0</v>
      </c>
      <c r="AL192" s="64">
        <f>(AL21/$ET$15)*AL86</f>
        <v>0</v>
      </c>
      <c r="AM192" s="64">
        <f>(AM21/$ET$15)*AM86</f>
        <v>0</v>
      </c>
      <c r="AN192" s="64">
        <f>(AN21/$ET$15)*AN86</f>
        <v>0</v>
      </c>
      <c r="AO192" s="64">
        <f>(AO21/$ET$15)*AO86</f>
        <v>0</v>
      </c>
      <c r="AP192" s="64">
        <f>(AP21/$ET$15)*AP86</f>
        <v>0</v>
      </c>
      <c r="AQ192" s="64">
        <f>(AQ21/$ET$15)*AQ86</f>
        <v>0</v>
      </c>
      <c r="AR192" s="64">
        <f>(AR21/$ET$15)*AR86</f>
        <v>0</v>
      </c>
      <c r="AS192" s="64">
        <f>(AS21/$ET$15)*AS86</f>
        <v>0</v>
      </c>
      <c r="AT192" s="64">
        <f>(AT21/$ET$15)*AT86</f>
        <v>0</v>
      </c>
      <c r="AU192" s="64">
        <f>(AU21/$ET$15)*AU86</f>
        <v>0</v>
      </c>
      <c r="AV192" s="64">
        <f>(AV21/$ET$15)*AV86</f>
        <v>0</v>
      </c>
      <c r="AW192" s="64">
        <f>(AW21/$ET$15)*AW86</f>
        <v>0</v>
      </c>
      <c r="AX192" s="64">
        <f>(AX21/$ET$15)*AX86</f>
        <v>0</v>
      </c>
      <c r="AY192" s="64">
        <f>(AY21/$ET$15)*AY86</f>
        <v>0</v>
      </c>
      <c r="AZ192" s="64">
        <f>(AZ21/$ET$15)*AZ86</f>
        <v>0</v>
      </c>
      <c r="BA192" s="64">
        <f>(BA21/$ET$15)*BA86</f>
        <v>0</v>
      </c>
      <c r="BB192" s="64">
        <f>(BB21/$ET$15)*BB86</f>
        <v>0</v>
      </c>
      <c r="BC192" s="64">
        <f>(BC21/$ET$15)*BC86</f>
        <v>0</v>
      </c>
      <c r="BD192" s="64">
        <f>(BD21/$ET$15)*BD86</f>
        <v>0</v>
      </c>
      <c r="BE192" s="64">
        <f>(BE21/$ET$15)*BE86</f>
        <v>0</v>
      </c>
      <c r="BF192" s="64">
        <f>(BF21/$ET$15)*BF86</f>
        <v>0</v>
      </c>
      <c r="BG192" s="64">
        <f>(BG21/$ET$15)*BG86</f>
        <v>0</v>
      </c>
      <c r="BH192" s="64">
        <f>(BH21/$ET$15)*BH86</f>
        <v>0</v>
      </c>
      <c r="BI192" s="64">
        <f>(BI21/$ET$15)*BI86</f>
        <v>0</v>
      </c>
      <c r="BJ192" s="64">
        <f>(BJ21/$ET$15)*BJ86</f>
        <v>0</v>
      </c>
      <c r="BK192" s="64">
        <f>(BK21/$ET$15)*BK86</f>
        <v>0</v>
      </c>
      <c r="BL192" s="64">
        <f>(BL21/$ET$15)*BL86</f>
        <v>0</v>
      </c>
      <c r="BM192" s="64">
        <f>(BM21/$ET$15)*BM86</f>
        <v>0</v>
      </c>
      <c r="BN192" s="64">
        <f>(BN21/$ET$15)*BN86</f>
        <v>0</v>
      </c>
      <c r="BO192" s="64">
        <f>(BO21/$ET$15)*BO86</f>
        <v>0</v>
      </c>
      <c r="BP192" s="64">
        <f>(BP21/$ET$15)*BP86</f>
        <v>0</v>
      </c>
      <c r="BQ192" s="64">
        <f>(BQ21/$ET$15)*BQ86</f>
        <v>0</v>
      </c>
      <c r="BR192" s="64">
        <f>(BR21/$ET$15)*BR86</f>
        <v>0</v>
      </c>
      <c r="BS192" s="64">
        <f>(BS21/$ET$15)*BS86</f>
        <v>0</v>
      </c>
      <c r="BT192" s="64">
        <f>(BT21/$ET$15)*BT86</f>
        <v>0</v>
      </c>
      <c r="BU192" s="64">
        <f>(BU21/$ET$15)*BU86</f>
        <v>0</v>
      </c>
      <c r="BV192" s="64">
        <f>(BV21/$ET$15)*BV86</f>
        <v>0</v>
      </c>
      <c r="BW192" s="64">
        <f>(BW21/$ET$15)*BW86</f>
        <v>0</v>
      </c>
      <c r="BX192" s="64">
        <f>(BX21/$ET$15)*BX86</f>
        <v>0</v>
      </c>
      <c r="BY192" s="64">
        <f>(BY21/$ET$15)*BY86</f>
        <v>0</v>
      </c>
      <c r="BZ192" s="64">
        <f>(BZ21/$ET$15)*BZ86</f>
        <v>0</v>
      </c>
      <c r="CA192" s="64">
        <f>(CA21/$ET$15)*CA86</f>
        <v>0</v>
      </c>
      <c r="CB192" s="64">
        <f>(CB21/$ET$15)*CB86</f>
        <v>0</v>
      </c>
      <c r="CC192" s="64">
        <f>(CC21/$ET$15)*CC86</f>
        <v>0</v>
      </c>
      <c r="CD192" s="64">
        <f>(CD21/$ET$15)*CD86</f>
        <v>0</v>
      </c>
      <c r="CE192" s="64">
        <f>(CE21/$ET$15)*CE86</f>
        <v>0</v>
      </c>
      <c r="CF192" s="64">
        <f>(CF21/$ET$15)*CF86</f>
        <v>0</v>
      </c>
      <c r="CG192" s="64">
        <f>(CG21/$ET$15)*CG86</f>
        <v>0</v>
      </c>
      <c r="CH192" s="64">
        <f>(CH21/$ET$15)*CH86</f>
        <v>0</v>
      </c>
      <c r="CI192" s="64">
        <f>(CI21/$ET$15)*CI86</f>
        <v>0</v>
      </c>
      <c r="CJ192" s="64">
        <f>(CJ21/$ET$15)*CJ86</f>
        <v>0</v>
      </c>
      <c r="CK192" s="64">
        <f>(CK21/$ET$15)*CK86</f>
        <v>0</v>
      </c>
      <c r="CL192" s="64">
        <f>(CL21/$ET$15)*CL86</f>
        <v>0</v>
      </c>
      <c r="CM192" s="64">
        <f>(CM21/$ET$15)*CM86</f>
        <v>0</v>
      </c>
      <c r="CN192" s="64">
        <f>(CN21/$ET$15)*CN86</f>
        <v>0</v>
      </c>
      <c r="CO192" s="64">
        <f>(CO21/$ET$15)*CO86</f>
        <v>0</v>
      </c>
      <c r="CP192" s="64">
        <f>(CP21/$ET$15)*CP86</f>
        <v>0</v>
      </c>
      <c r="CQ192" s="64">
        <f>(CQ21/$ET$15)*CQ86</f>
        <v>0</v>
      </c>
      <c r="CR192" s="64">
        <f>(CR21/$ET$15)*CR86</f>
        <v>0</v>
      </c>
      <c r="CS192" s="64">
        <f>(CS21/$ET$15)*CS86</f>
        <v>0</v>
      </c>
      <c r="CT192" s="64">
        <f>(CT21/$ET$15)*CT86</f>
        <v>0</v>
      </c>
      <c r="CU192" s="64">
        <f>(CU21/$ET$15)*CU86</f>
        <v>0</v>
      </c>
      <c r="CV192" s="64">
        <f>(CV21/$ET$15)*CV86</f>
        <v>0</v>
      </c>
      <c r="CW192" s="64">
        <f>(CW21/$ET$15)*CW86</f>
        <v>0</v>
      </c>
      <c r="CX192" s="64">
        <f>(CX21/$ET$15)*CX86</f>
        <v>0</v>
      </c>
      <c r="CY192" s="64">
        <f>(CY21/$ET$15)*CY86</f>
        <v>0</v>
      </c>
      <c r="CZ192" s="64">
        <f>(CZ21/$ET$15)*CZ86</f>
        <v>0</v>
      </c>
      <c r="DA192" s="64">
        <f>(DA21/$ET$15)*DA86</f>
        <v>0</v>
      </c>
      <c r="DB192" s="64">
        <f>(DB21/$ET$15)*DB86</f>
        <v>0</v>
      </c>
      <c r="DC192" s="64">
        <f>(DC21/$ET$15)*DC86</f>
        <v>0</v>
      </c>
      <c r="DD192" s="64">
        <f>(DD21/$ET$15)*DD86</f>
        <v>0</v>
      </c>
      <c r="DE192" s="64">
        <f>(DE21/$ET$15)*DE86</f>
        <v>0</v>
      </c>
      <c r="DF192" s="64">
        <f>(DF21/$ET$15)*DF86</f>
        <v>0</v>
      </c>
      <c r="DG192" s="64">
        <f>(DG21/$ET$15)*DG86</f>
        <v>0</v>
      </c>
      <c r="DH192" s="64">
        <f>(DH21/$ET$15)*DH86</f>
        <v>0</v>
      </c>
      <c r="DI192" s="64">
        <f>(DI21/$ET$15)*DI86</f>
        <v>0</v>
      </c>
      <c r="DJ192" s="64">
        <f>(DJ21/$ET$15)*DJ86</f>
        <v>0</v>
      </c>
      <c r="DK192" s="64">
        <f>(DK21/$ET$15)*DK86</f>
        <v>0</v>
      </c>
      <c r="DL192" s="64">
        <f>(DL21/$ET$15)*DL86</f>
        <v>0</v>
      </c>
      <c r="DM192" s="64">
        <f>(DM21/$ET$15)*DM86</f>
        <v>0</v>
      </c>
      <c r="DN192" s="64">
        <f>(DN21/$ET$15)*DN86</f>
        <v>0</v>
      </c>
      <c r="DO192" s="64">
        <f>(DO21/$ET$15)*DO86</f>
        <v>0</v>
      </c>
      <c r="DP192" s="64">
        <f>(DP21/$ET$15)*DP86</f>
        <v>0</v>
      </c>
      <c r="DQ192" s="64">
        <f>(DQ21/$ET$15)*DQ86</f>
        <v>0</v>
      </c>
      <c r="DR192" s="64">
        <f>(DR21/$ET$15)*DR86</f>
        <v>0</v>
      </c>
      <c r="DS192" s="64">
        <f>(DS21/$ET$15)*DS86</f>
        <v>0</v>
      </c>
      <c r="DT192" s="64">
        <f>(DT21/$ET$15)*DT86</f>
        <v>0</v>
      </c>
      <c r="DU192" s="64">
        <f>(DU21/$ET$15)*DU86</f>
        <v>0</v>
      </c>
      <c r="DV192" s="64">
        <f>(DV21/$ET$15)*DV86</f>
        <v>0</v>
      </c>
      <c r="DW192" s="64">
        <f>(DW21/$ET$15)*DW86</f>
        <v>0</v>
      </c>
      <c r="DX192" s="64">
        <f>(DX21/$ET$15)*DX86</f>
        <v>0</v>
      </c>
      <c r="DY192" s="64">
        <f>(DY21/$ET$15)*DY86</f>
        <v>0</v>
      </c>
      <c r="DZ192" s="64">
        <f>(DZ21/$ET$15)*DZ86</f>
        <v>0</v>
      </c>
      <c r="EA192" s="64">
        <f>(EA21/$ET$15)*EA86</f>
        <v>0</v>
      </c>
      <c r="EB192" s="64">
        <f>(EB21/$ET$15)*EB86</f>
        <v>0</v>
      </c>
      <c r="EC192" s="64">
        <f>(EC21/$ET$15)*EC86</f>
        <v>0</v>
      </c>
      <c r="ED192" s="64">
        <f>(ED21/$ET$15)*ED86</f>
        <v>0</v>
      </c>
      <c r="EE192" s="64">
        <f>(EE21/$ET$15)*EE86</f>
        <v>0</v>
      </c>
      <c r="EF192" s="64">
        <f>(EF21/$ET$15)*EF86</f>
        <v>0</v>
      </c>
      <c r="EG192" s="64">
        <f>(EG21/$ET$15)*EG86</f>
        <v>0</v>
      </c>
      <c r="EH192" s="64">
        <f>(EH21/$ET$15)*EH86</f>
        <v>0</v>
      </c>
      <c r="EI192" s="64">
        <f>(EI21/$ET$15)*EI86</f>
        <v>0</v>
      </c>
      <c r="EJ192" s="64">
        <f>(EJ21/$ET$15)*EJ86</f>
        <v>0</v>
      </c>
      <c r="EK192" s="64">
        <f>(EK21/$ET$15)*EK86</f>
        <v>0</v>
      </c>
      <c r="EL192" s="64">
        <f>(EL21/$ET$15)*EL86</f>
        <v>0</v>
      </c>
      <c r="EM192" s="64">
        <f>(EM21/$ET$15)*EM86</f>
        <v>0</v>
      </c>
      <c r="EN192" s="64">
        <f>(EN21/$ET$15)*EN86</f>
        <v>0</v>
      </c>
      <c r="EO192" s="64">
        <f>(EO21/$ET$15)*EO86</f>
        <v>0</v>
      </c>
      <c r="EP192" s="64">
        <f>(EP21/$ET$15)*EP86</f>
        <v>0</v>
      </c>
      <c r="EQ192" s="64">
        <f>(EQ21/$ET$15)*EQ86</f>
        <v>0</v>
      </c>
      <c r="ER192" s="64">
        <f>(ER21/$ET$15)*ER86</f>
        <v>0</v>
      </c>
      <c r="ES192" s="64">
        <f>(ES21/$ET$15)*ES86</f>
        <v>0</v>
      </c>
    </row>
    <row r="193" spans="1:149" x14ac:dyDescent="0.3">
      <c r="A193" s="37" t="s">
        <v>20</v>
      </c>
      <c r="B193" s="64">
        <f>(B22/$ET$15)*B87</f>
        <v>0</v>
      </c>
      <c r="C193" s="64">
        <f>(C22/$ET$15)*C87</f>
        <v>0</v>
      </c>
      <c r="D193" s="64">
        <f>(D22/$ET$15)*D87</f>
        <v>0</v>
      </c>
      <c r="E193" s="64">
        <f>(E22/$ET$15)*E87</f>
        <v>0</v>
      </c>
      <c r="F193" s="64">
        <f>(F22/$ET$15)*F87</f>
        <v>0</v>
      </c>
      <c r="G193" s="64">
        <f>(G22/$ET$15)*G87</f>
        <v>0</v>
      </c>
      <c r="H193" s="64">
        <f>(H22/$ET$15)*H87</f>
        <v>0</v>
      </c>
      <c r="I193" s="64">
        <f>(I22/$ET$15)*I87</f>
        <v>0</v>
      </c>
      <c r="J193" s="64">
        <f>(J22/$ET$15)*J87</f>
        <v>0</v>
      </c>
      <c r="K193" s="64">
        <f>(K22/$ET$15)*K87</f>
        <v>0</v>
      </c>
      <c r="L193" s="64">
        <f>(L22/$ET$15)*L87</f>
        <v>0</v>
      </c>
      <c r="M193" s="64">
        <f>(M22/$ET$15)*M87</f>
        <v>0</v>
      </c>
      <c r="N193" s="64">
        <f>(N22/$ET$15)*N87</f>
        <v>0.42970092815400485</v>
      </c>
      <c r="O193" s="64">
        <f>(O22/$ET$15)*O87</f>
        <v>0</v>
      </c>
      <c r="P193" s="64">
        <f>(P22/$ET$15)*P87</f>
        <v>0</v>
      </c>
      <c r="Q193" s="64">
        <f>(Q22/$ET$15)*Q87</f>
        <v>0</v>
      </c>
      <c r="R193" s="64">
        <f>(R22/$ET$15)*R87</f>
        <v>0</v>
      </c>
      <c r="S193" s="64">
        <f>(S22/$ET$15)*S87</f>
        <v>0</v>
      </c>
      <c r="T193" s="64">
        <f>(T22/$ET$15)*T87</f>
        <v>0</v>
      </c>
      <c r="U193" s="64">
        <f>(U22/$ET$15)*U87</f>
        <v>0</v>
      </c>
      <c r="V193" s="64">
        <f>(V22/$ET$15)*V87</f>
        <v>0</v>
      </c>
      <c r="W193" s="64">
        <f>(W22/$ET$15)*W87</f>
        <v>0</v>
      </c>
      <c r="X193" s="64">
        <f>(X22/$ET$15)*X87</f>
        <v>0</v>
      </c>
      <c r="Y193" s="64">
        <f>(Y22/$ET$15)*Y87</f>
        <v>0</v>
      </c>
      <c r="Z193" s="64">
        <f>(Z22/$ET$15)*Z87</f>
        <v>0</v>
      </c>
      <c r="AA193" s="64">
        <f>(AA22/$ET$15)*AA87</f>
        <v>0</v>
      </c>
      <c r="AB193" s="64">
        <f>(AB22/$ET$15)*AB87</f>
        <v>0</v>
      </c>
      <c r="AC193" s="64">
        <f>(AC22/$ET$15)*AC87</f>
        <v>0</v>
      </c>
      <c r="AD193" s="64">
        <f>(AD22/$ET$15)*AD87</f>
        <v>0</v>
      </c>
      <c r="AE193" s="64">
        <f>(AE22/$ET$15)*AE87</f>
        <v>0</v>
      </c>
      <c r="AF193" s="64">
        <f>(AF22/$ET$15)*AF87</f>
        <v>0</v>
      </c>
      <c r="AG193" s="64">
        <f>(AG22/$ET$15)*AG87</f>
        <v>26.286008937779304</v>
      </c>
      <c r="AH193" s="64">
        <f>(AH22/$ET$15)*AH87</f>
        <v>0.33069783430732208</v>
      </c>
      <c r="AI193" s="64">
        <f>(AI22/$ET$15)*AI87</f>
        <v>0</v>
      </c>
      <c r="AJ193" s="64">
        <f>(AJ22/$ET$15)*AJ87</f>
        <v>0</v>
      </c>
      <c r="AK193" s="64">
        <f>(AK22/$ET$15)*AK87</f>
        <v>0</v>
      </c>
      <c r="AL193" s="64">
        <f>(AL22/$ET$15)*AL87</f>
        <v>0</v>
      </c>
      <c r="AM193" s="64">
        <f>(AM22/$ET$15)*AM87</f>
        <v>0</v>
      </c>
      <c r="AN193" s="64">
        <f>(AN22/$ET$15)*AN87</f>
        <v>1.8985905809556549</v>
      </c>
      <c r="AO193" s="64">
        <f>(AO22/$ET$15)*AO87</f>
        <v>0</v>
      </c>
      <c r="AP193" s="64">
        <f>(AP22/$ET$15)*AP87</f>
        <v>0</v>
      </c>
      <c r="AQ193" s="64">
        <f>(AQ22/$ET$15)*AQ87</f>
        <v>0</v>
      </c>
      <c r="AR193" s="64">
        <f>(AR22/$ET$15)*AR87</f>
        <v>0</v>
      </c>
      <c r="AS193" s="64">
        <f>(AS22/$ET$15)*AS87</f>
        <v>0</v>
      </c>
      <c r="AT193" s="64">
        <f>(AT22/$ET$15)*AT87</f>
        <v>0</v>
      </c>
      <c r="AU193" s="64">
        <f>(AU22/$ET$15)*AU87</f>
        <v>0</v>
      </c>
      <c r="AV193" s="64">
        <f>(AV22/$ET$15)*AV87</f>
        <v>0</v>
      </c>
      <c r="AW193" s="64">
        <f>(AW22/$ET$15)*AW87</f>
        <v>0</v>
      </c>
      <c r="AX193" s="64">
        <f>(AX22/$ET$15)*AX87</f>
        <v>0</v>
      </c>
      <c r="AY193" s="64">
        <f>(AY22/$ET$15)*AY87</f>
        <v>0</v>
      </c>
      <c r="AZ193" s="64">
        <f>(AZ22/$ET$15)*AZ87</f>
        <v>0</v>
      </c>
      <c r="BA193" s="64">
        <f>(BA22/$ET$15)*BA87</f>
        <v>0</v>
      </c>
      <c r="BB193" s="64">
        <f>(BB22/$ET$15)*BB87</f>
        <v>0</v>
      </c>
      <c r="BC193" s="64">
        <f>(BC22/$ET$15)*BC87</f>
        <v>0</v>
      </c>
      <c r="BD193" s="64">
        <f>(BD22/$ET$15)*BD87</f>
        <v>0</v>
      </c>
      <c r="BE193" s="64">
        <f>(BE22/$ET$15)*BE87</f>
        <v>0</v>
      </c>
      <c r="BF193" s="64">
        <f>(BF22/$ET$15)*BF87</f>
        <v>0</v>
      </c>
      <c r="BG193" s="64">
        <f>(BG22/$ET$15)*BG87</f>
        <v>0</v>
      </c>
      <c r="BH193" s="64">
        <f>(BH22/$ET$15)*BH87</f>
        <v>0</v>
      </c>
      <c r="BI193" s="64">
        <f>(BI22/$ET$15)*BI87</f>
        <v>0</v>
      </c>
      <c r="BJ193" s="64">
        <f>(BJ22/$ET$15)*BJ87</f>
        <v>0</v>
      </c>
      <c r="BK193" s="64">
        <f>(BK22/$ET$15)*BK87</f>
        <v>0</v>
      </c>
      <c r="BL193" s="64">
        <f>(BL22/$ET$15)*BL87</f>
        <v>0</v>
      </c>
      <c r="BM193" s="64">
        <f>(BM22/$ET$15)*BM87</f>
        <v>1.2715709865933309</v>
      </c>
      <c r="BN193" s="64">
        <f>(BN22/$ET$15)*BN87</f>
        <v>0</v>
      </c>
      <c r="BO193" s="64">
        <f>(BO22/$ET$15)*BO87</f>
        <v>0</v>
      </c>
      <c r="BP193" s="64">
        <f>(BP22/$ET$15)*BP87</f>
        <v>0</v>
      </c>
      <c r="BQ193" s="64">
        <f>(BQ22/$ET$15)*BQ87</f>
        <v>0</v>
      </c>
      <c r="BR193" s="64">
        <f>(BR22/$ET$15)*BR87</f>
        <v>0</v>
      </c>
      <c r="BS193" s="64">
        <f>(BS22/$ET$15)*BS87</f>
        <v>0</v>
      </c>
      <c r="BT193" s="64">
        <f>(BT22/$ET$15)*BT87</f>
        <v>0</v>
      </c>
      <c r="BU193" s="64">
        <f>(BU22/$ET$15)*BU87</f>
        <v>0</v>
      </c>
      <c r="BV193" s="64">
        <f>(BV22/$ET$15)*BV87</f>
        <v>0</v>
      </c>
      <c r="BW193" s="64">
        <f>(BW22/$ET$15)*BW87</f>
        <v>0</v>
      </c>
      <c r="BX193" s="64">
        <f>(BX22/$ET$15)*BX87</f>
        <v>0</v>
      </c>
      <c r="BY193" s="64">
        <f>(BY22/$ET$15)*BY87</f>
        <v>0</v>
      </c>
      <c r="BZ193" s="64">
        <f>(BZ22/$ET$15)*BZ87</f>
        <v>0</v>
      </c>
      <c r="CA193" s="64">
        <f>(CA22/$ET$15)*CA87</f>
        <v>0</v>
      </c>
      <c r="CB193" s="64">
        <f>(CB22/$ET$15)*CB87</f>
        <v>0</v>
      </c>
      <c r="CC193" s="64">
        <f>(CC22/$ET$15)*CC87</f>
        <v>0</v>
      </c>
      <c r="CD193" s="64">
        <f>(CD22/$ET$15)*CD87</f>
        <v>0</v>
      </c>
      <c r="CE193" s="64">
        <f>(CE22/$ET$15)*CE87</f>
        <v>0</v>
      </c>
      <c r="CF193" s="64">
        <f>(CF22/$ET$15)*CF87</f>
        <v>0</v>
      </c>
      <c r="CG193" s="64">
        <f>(CG22/$ET$15)*CG87</f>
        <v>0</v>
      </c>
      <c r="CH193" s="64">
        <f>(CH22/$ET$15)*CH87</f>
        <v>0</v>
      </c>
      <c r="CI193" s="64">
        <f>(CI22/$ET$15)*CI87</f>
        <v>0</v>
      </c>
      <c r="CJ193" s="64">
        <f>(CJ22/$ET$15)*CJ87</f>
        <v>0</v>
      </c>
      <c r="CK193" s="64">
        <f>(CK22/$ET$15)*CK87</f>
        <v>0</v>
      </c>
      <c r="CL193" s="64">
        <f>(CL22/$ET$15)*CL87</f>
        <v>0</v>
      </c>
      <c r="CM193" s="64">
        <f>(CM22/$ET$15)*CM87</f>
        <v>0</v>
      </c>
      <c r="CN193" s="64">
        <f>(CN22/$ET$15)*CN87</f>
        <v>0</v>
      </c>
      <c r="CO193" s="64">
        <f>(CO22/$ET$15)*CO87</f>
        <v>0</v>
      </c>
      <c r="CP193" s="64">
        <f>(CP22/$ET$15)*CP87</f>
        <v>4.133722928841526</v>
      </c>
      <c r="CQ193" s="64">
        <f>(CQ22/$ET$15)*CQ87</f>
        <v>0</v>
      </c>
      <c r="CR193" s="64">
        <f>(CR22/$ET$15)*CR87</f>
        <v>0</v>
      </c>
      <c r="CS193" s="64">
        <f>(CS22/$ET$15)*CS87</f>
        <v>0</v>
      </c>
      <c r="CT193" s="64">
        <f>(CT22/$ET$15)*CT87</f>
        <v>0</v>
      </c>
      <c r="CU193" s="64">
        <f>(CU22/$ET$15)*CU87</f>
        <v>0</v>
      </c>
      <c r="CV193" s="64">
        <f>(CV22/$ET$15)*CV87</f>
        <v>0</v>
      </c>
      <c r="CW193" s="64">
        <f>(CW22/$ET$15)*CW87</f>
        <v>0</v>
      </c>
      <c r="CX193" s="64">
        <f>(CX22/$ET$15)*CX87</f>
        <v>0</v>
      </c>
      <c r="CY193" s="64">
        <f>(CY22/$ET$15)*CY87</f>
        <v>0</v>
      </c>
      <c r="CZ193" s="64">
        <f>(CZ22/$ET$15)*CZ87</f>
        <v>0</v>
      </c>
      <c r="DA193" s="64">
        <f>(DA22/$ET$15)*DA87</f>
        <v>0</v>
      </c>
      <c r="DB193" s="64">
        <f>(DB22/$ET$15)*DB87</f>
        <v>0</v>
      </c>
      <c r="DC193" s="64">
        <f>(DC22/$ET$15)*DC87</f>
        <v>0</v>
      </c>
      <c r="DD193" s="64">
        <f>(DD22/$ET$15)*DD87</f>
        <v>0</v>
      </c>
      <c r="DE193" s="64">
        <f>(DE22/$ET$15)*DE87</f>
        <v>0</v>
      </c>
      <c r="DF193" s="64">
        <f>(DF22/$ET$15)*DF87</f>
        <v>0</v>
      </c>
      <c r="DG193" s="64">
        <f>(DG22/$ET$15)*DG87</f>
        <v>0</v>
      </c>
      <c r="DH193" s="64">
        <f>(DH22/$ET$15)*DH87</f>
        <v>0</v>
      </c>
      <c r="DI193" s="64">
        <f>(DI22/$ET$15)*DI87</f>
        <v>0</v>
      </c>
      <c r="DJ193" s="64">
        <f>(DJ22/$ET$15)*DJ87</f>
        <v>0</v>
      </c>
      <c r="DK193" s="64">
        <f>(DK22/$ET$15)*DK87</f>
        <v>0</v>
      </c>
      <c r="DL193" s="64">
        <f>(DL22/$ET$15)*DL87</f>
        <v>0</v>
      </c>
      <c r="DM193" s="64">
        <f>(DM22/$ET$15)*DM87</f>
        <v>0</v>
      </c>
      <c r="DN193" s="64">
        <f>(DN22/$ET$15)*DN87</f>
        <v>0</v>
      </c>
      <c r="DO193" s="64">
        <f>(DO22/$ET$15)*DO87</f>
        <v>0</v>
      </c>
      <c r="DP193" s="64">
        <f>(DP22/$ET$15)*DP87</f>
        <v>0</v>
      </c>
      <c r="DQ193" s="64">
        <f>(DQ22/$ET$15)*DQ87</f>
        <v>0</v>
      </c>
      <c r="DR193" s="64">
        <f>(DR22/$ET$15)*DR87</f>
        <v>0</v>
      </c>
      <c r="DS193" s="64">
        <f>(DS22/$ET$15)*DS87</f>
        <v>0</v>
      </c>
      <c r="DT193" s="64">
        <f>(DT22/$ET$15)*DT87</f>
        <v>0</v>
      </c>
      <c r="DU193" s="64">
        <f>(DU22/$ET$15)*DU87</f>
        <v>0</v>
      </c>
      <c r="DV193" s="64">
        <f>(DV22/$ET$15)*DV87</f>
        <v>0</v>
      </c>
      <c r="DW193" s="64">
        <f>(DW22/$ET$15)*DW87</f>
        <v>0</v>
      </c>
      <c r="DX193" s="64">
        <f>(DX22/$ET$15)*DX87</f>
        <v>0</v>
      </c>
      <c r="DY193" s="64">
        <f>(DY22/$ET$15)*DY87</f>
        <v>0</v>
      </c>
      <c r="DZ193" s="64">
        <f>(DZ22/$ET$15)*DZ87</f>
        <v>0</v>
      </c>
      <c r="EA193" s="64">
        <f>(EA22/$ET$15)*EA87</f>
        <v>0</v>
      </c>
      <c r="EB193" s="64">
        <f>(EB22/$ET$15)*EB87</f>
        <v>0</v>
      </c>
      <c r="EC193" s="64">
        <f>(EC22/$ET$15)*EC87</f>
        <v>0</v>
      </c>
      <c r="ED193" s="64">
        <f>(ED22/$ET$15)*ED87</f>
        <v>0</v>
      </c>
      <c r="EE193" s="64">
        <f>(EE22/$ET$15)*EE87</f>
        <v>0</v>
      </c>
      <c r="EF193" s="64">
        <f>(EF22/$ET$15)*EF87</f>
        <v>0</v>
      </c>
      <c r="EG193" s="64">
        <f>(EG22/$ET$15)*EG87</f>
        <v>0</v>
      </c>
      <c r="EH193" s="64">
        <f>(EH22/$ET$15)*EH87</f>
        <v>0</v>
      </c>
      <c r="EI193" s="64">
        <f>(EI22/$ET$15)*EI87</f>
        <v>0</v>
      </c>
      <c r="EJ193" s="64">
        <f>(EJ22/$ET$15)*EJ87</f>
        <v>0</v>
      </c>
      <c r="EK193" s="64">
        <f>(EK22/$ET$15)*EK87</f>
        <v>0</v>
      </c>
      <c r="EL193" s="64">
        <f>(EL22/$ET$15)*EL87</f>
        <v>0</v>
      </c>
      <c r="EM193" s="64">
        <f>(EM22/$ET$15)*EM87</f>
        <v>0</v>
      </c>
      <c r="EN193" s="64">
        <f>(EN22/$ET$15)*EN87</f>
        <v>0</v>
      </c>
      <c r="EO193" s="64">
        <f>(EO22/$ET$15)*EO87</f>
        <v>0</v>
      </c>
      <c r="EP193" s="64">
        <f>(EP22/$ET$15)*EP87</f>
        <v>0</v>
      </c>
      <c r="EQ193" s="64">
        <f>(EQ22/$ET$15)*EQ87</f>
        <v>0</v>
      </c>
      <c r="ER193" s="64">
        <f>(ER22/$ET$15)*ER87</f>
        <v>0</v>
      </c>
      <c r="ES193" s="64">
        <f>(ES22/$ET$15)*ES87</f>
        <v>0</v>
      </c>
    </row>
    <row r="194" spans="1:149" x14ac:dyDescent="0.3">
      <c r="A194" s="37" t="s">
        <v>24</v>
      </c>
      <c r="B194" s="64">
        <f>(B23/$ET$15)*B88</f>
        <v>0</v>
      </c>
      <c r="C194" s="64">
        <f>(C23/$ET$15)*C88</f>
        <v>0</v>
      </c>
      <c r="D194" s="64">
        <f>(D23/$ET$15)*D88</f>
        <v>0</v>
      </c>
      <c r="E194" s="64">
        <f>(E23/$ET$15)*E88</f>
        <v>0</v>
      </c>
      <c r="F194" s="64">
        <f>(F23/$ET$15)*F88</f>
        <v>0</v>
      </c>
      <c r="G194" s="64">
        <f>(G23/$ET$15)*G88</f>
        <v>0</v>
      </c>
      <c r="H194" s="64">
        <f>(H23/$ET$15)*H88</f>
        <v>0</v>
      </c>
      <c r="I194" s="64">
        <f>(I23/$ET$15)*I88</f>
        <v>0</v>
      </c>
      <c r="J194" s="64">
        <f>(J23/$ET$15)*J88</f>
        <v>0</v>
      </c>
      <c r="K194" s="64">
        <f>(K23/$ET$15)*K88</f>
        <v>0</v>
      </c>
      <c r="L194" s="64">
        <f>(L23/$ET$15)*L88</f>
        <v>0</v>
      </c>
      <c r="M194" s="64">
        <f>(M23/$ET$15)*M88</f>
        <v>0</v>
      </c>
      <c r="N194" s="64">
        <f>(N23/$ET$15)*N88</f>
        <v>0</v>
      </c>
      <c r="O194" s="64">
        <f>(O23/$ET$15)*O88</f>
        <v>0</v>
      </c>
      <c r="P194" s="64">
        <f>(P23/$ET$15)*P88</f>
        <v>0</v>
      </c>
      <c r="Q194" s="64">
        <f>(Q23/$ET$15)*Q88</f>
        <v>0</v>
      </c>
      <c r="R194" s="64">
        <f>(R23/$ET$15)*R88</f>
        <v>0</v>
      </c>
      <c r="S194" s="64">
        <f>(S23/$ET$15)*S88</f>
        <v>0</v>
      </c>
      <c r="T194" s="64">
        <f>(T23/$ET$15)*T88</f>
        <v>0</v>
      </c>
      <c r="U194" s="64">
        <f>(U23/$ET$15)*U88</f>
        <v>0</v>
      </c>
      <c r="V194" s="64">
        <f>(V23/$ET$15)*V88</f>
        <v>0</v>
      </c>
      <c r="W194" s="64">
        <f>(W23/$ET$15)*W88</f>
        <v>0</v>
      </c>
      <c r="X194" s="64">
        <f>(X23/$ET$15)*X88</f>
        <v>0</v>
      </c>
      <c r="Y194" s="64">
        <f>(Y23/$ET$15)*Y88</f>
        <v>0</v>
      </c>
      <c r="Z194" s="64">
        <f>(Z23/$ET$15)*Z88</f>
        <v>0</v>
      </c>
      <c r="AA194" s="64">
        <f>(AA23/$ET$15)*AA88</f>
        <v>0</v>
      </c>
      <c r="AB194" s="64">
        <f>(AB23/$ET$15)*AB88</f>
        <v>0</v>
      </c>
      <c r="AC194" s="64">
        <f>(AC23/$ET$15)*AC88</f>
        <v>0</v>
      </c>
      <c r="AD194" s="64">
        <f>(AD23/$ET$15)*AD88</f>
        <v>0.84015125472671015</v>
      </c>
      <c r="AE194" s="64">
        <f>(AE23/$ET$15)*AE88</f>
        <v>0</v>
      </c>
      <c r="AF194" s="64">
        <f>(AF23/$ET$15)*AF88</f>
        <v>0</v>
      </c>
      <c r="AG194" s="64">
        <f>(AG23/$ET$15)*AG88</f>
        <v>0</v>
      </c>
      <c r="AH194" s="64">
        <f>(AH23/$ET$15)*AH88</f>
        <v>0</v>
      </c>
      <c r="AI194" s="64">
        <f>(AI23/$ET$15)*AI88</f>
        <v>0</v>
      </c>
      <c r="AJ194" s="64">
        <f>(AJ23/$ET$15)*AJ88</f>
        <v>0</v>
      </c>
      <c r="AK194" s="64">
        <f>(AK23/$ET$15)*AK88</f>
        <v>0</v>
      </c>
      <c r="AL194" s="64">
        <f>(AL23/$ET$15)*AL88</f>
        <v>0</v>
      </c>
      <c r="AM194" s="64">
        <f>(AM23/$ET$15)*AM88</f>
        <v>0</v>
      </c>
      <c r="AN194" s="64">
        <f>(AN23/$ET$15)*AN88</f>
        <v>0</v>
      </c>
      <c r="AO194" s="64">
        <f>(AO23/$ET$15)*AO88</f>
        <v>0</v>
      </c>
      <c r="AP194" s="64">
        <f>(AP23/$ET$15)*AP88</f>
        <v>0</v>
      </c>
      <c r="AQ194" s="64">
        <f>(AQ23/$ET$15)*AQ88</f>
        <v>0</v>
      </c>
      <c r="AR194" s="64">
        <f>(AR23/$ET$15)*AR88</f>
        <v>0</v>
      </c>
      <c r="AS194" s="64">
        <f>(AS23/$ET$15)*AS88</f>
        <v>4.8126503953248537E-2</v>
      </c>
      <c r="AT194" s="64">
        <f>(AT23/$ET$15)*AT88</f>
        <v>0</v>
      </c>
      <c r="AU194" s="64">
        <f>(AU23/$ET$15)*AU88</f>
        <v>0</v>
      </c>
      <c r="AV194" s="64">
        <f>(AV23/$ET$15)*AV88</f>
        <v>0</v>
      </c>
      <c r="AW194" s="64">
        <f>(AW23/$ET$15)*AW88</f>
        <v>0</v>
      </c>
      <c r="AX194" s="64">
        <f>(AX23/$ET$15)*AX88</f>
        <v>0</v>
      </c>
      <c r="AY194" s="64">
        <f>(AY23/$ET$15)*AY88</f>
        <v>0</v>
      </c>
      <c r="AZ194" s="64">
        <f>(AZ23/$ET$15)*AZ88</f>
        <v>0</v>
      </c>
      <c r="BA194" s="64">
        <f>(BA23/$ET$15)*BA88</f>
        <v>0</v>
      </c>
      <c r="BB194" s="64">
        <f>(BB23/$ET$15)*BB88</f>
        <v>0</v>
      </c>
      <c r="BC194" s="64">
        <f>(BC23/$ET$15)*BC88</f>
        <v>0</v>
      </c>
      <c r="BD194" s="64">
        <f>(BD23/$ET$15)*BD88</f>
        <v>0</v>
      </c>
      <c r="BE194" s="64">
        <f>(BE23/$ET$15)*BE88</f>
        <v>0</v>
      </c>
      <c r="BF194" s="64">
        <f>(BF23/$ET$15)*BF88</f>
        <v>0</v>
      </c>
      <c r="BG194" s="64">
        <f>(BG23/$ET$15)*BG88</f>
        <v>0</v>
      </c>
      <c r="BH194" s="64">
        <f>(BH23/$ET$15)*BH88</f>
        <v>0</v>
      </c>
      <c r="BI194" s="64">
        <f>(BI23/$ET$15)*BI88</f>
        <v>0</v>
      </c>
      <c r="BJ194" s="64">
        <f>(BJ23/$ET$15)*BJ88</f>
        <v>0</v>
      </c>
      <c r="BK194" s="64">
        <f>(BK23/$ET$15)*BK88</f>
        <v>0</v>
      </c>
      <c r="BL194" s="64">
        <f>(BL23/$ET$15)*BL88</f>
        <v>0</v>
      </c>
      <c r="BM194" s="64">
        <f>(BM23/$ET$15)*BM88</f>
        <v>0</v>
      </c>
      <c r="BN194" s="64">
        <f>(BN23/$ET$15)*BN88</f>
        <v>0</v>
      </c>
      <c r="BO194" s="64">
        <f>(BO23/$ET$15)*BO88</f>
        <v>0</v>
      </c>
      <c r="BP194" s="64">
        <f>(BP23/$ET$15)*BP88</f>
        <v>0</v>
      </c>
      <c r="BQ194" s="64">
        <f>(BQ23/$ET$15)*BQ88</f>
        <v>0</v>
      </c>
      <c r="BR194" s="64">
        <f>(BR23/$ET$15)*BR88</f>
        <v>0</v>
      </c>
      <c r="BS194" s="64">
        <f>(BS23/$ET$15)*BS88</f>
        <v>0</v>
      </c>
      <c r="BT194" s="64">
        <f>(BT23/$ET$15)*BT88</f>
        <v>0</v>
      </c>
      <c r="BU194" s="64">
        <f>(BU23/$ET$15)*BU88</f>
        <v>0</v>
      </c>
      <c r="BV194" s="64">
        <f>(BV23/$ET$15)*BV88</f>
        <v>0</v>
      </c>
      <c r="BW194" s="64">
        <f>(BW23/$ET$15)*BW88</f>
        <v>0</v>
      </c>
      <c r="BX194" s="64">
        <f>(BX23/$ET$15)*BX88</f>
        <v>0</v>
      </c>
      <c r="BY194" s="64">
        <f>(BY23/$ET$15)*BY88</f>
        <v>0</v>
      </c>
      <c r="BZ194" s="64">
        <f>(BZ23/$ET$15)*BZ88</f>
        <v>0.56926778961842561</v>
      </c>
      <c r="CA194" s="64">
        <f>(CA23/$ET$15)*CA88</f>
        <v>0</v>
      </c>
      <c r="CB194" s="64">
        <f>(CB23/$ET$15)*CB88</f>
        <v>0</v>
      </c>
      <c r="CC194" s="64">
        <f>(CC23/$ET$15)*CC88</f>
        <v>0</v>
      </c>
      <c r="CD194" s="64">
        <f>(CD23/$ET$15)*CD88</f>
        <v>0</v>
      </c>
      <c r="CE194" s="64">
        <f>(CE23/$ET$15)*CE88</f>
        <v>0</v>
      </c>
      <c r="CF194" s="64">
        <f>(CF23/$ET$15)*CF88</f>
        <v>0</v>
      </c>
      <c r="CG194" s="64">
        <f>(CG23/$ET$15)*CG88</f>
        <v>0</v>
      </c>
      <c r="CH194" s="64">
        <f>(CH23/$ET$15)*CH88</f>
        <v>0.21313166036438638</v>
      </c>
      <c r="CI194" s="64">
        <f>(CI23/$ET$15)*CI88</f>
        <v>0</v>
      </c>
      <c r="CJ194" s="64">
        <f>(CJ23/$ET$15)*CJ88</f>
        <v>0</v>
      </c>
      <c r="CK194" s="64">
        <f>(CK23/$ET$15)*CK88</f>
        <v>0</v>
      </c>
      <c r="CL194" s="64">
        <f>(CL23/$ET$15)*CL88</f>
        <v>0</v>
      </c>
      <c r="CM194" s="64">
        <f>(CM23/$ET$15)*CM88</f>
        <v>0</v>
      </c>
      <c r="CN194" s="64">
        <f>(CN23/$ET$15)*CN88</f>
        <v>0</v>
      </c>
      <c r="CO194" s="64">
        <f>(CO23/$ET$15)*CO88</f>
        <v>0</v>
      </c>
      <c r="CP194" s="64">
        <f>(CP23/$ET$15)*CP88</f>
        <v>0</v>
      </c>
      <c r="CQ194" s="64">
        <f>(CQ23/$ET$15)*CQ88</f>
        <v>0</v>
      </c>
      <c r="CR194" s="64">
        <f>(CR23/$ET$15)*CR88</f>
        <v>0</v>
      </c>
      <c r="CS194" s="64">
        <f>(CS23/$ET$15)*CS88</f>
        <v>0</v>
      </c>
      <c r="CT194" s="64">
        <f>(CT23/$ET$15)*CT88</f>
        <v>0</v>
      </c>
      <c r="CU194" s="64">
        <f>(CU23/$ET$15)*CU88</f>
        <v>0</v>
      </c>
      <c r="CV194" s="64">
        <f>(CV23/$ET$15)*CV88</f>
        <v>0</v>
      </c>
      <c r="CW194" s="64">
        <f>(CW23/$ET$15)*CW88</f>
        <v>0</v>
      </c>
      <c r="CX194" s="64">
        <f>(CX23/$ET$15)*CX88</f>
        <v>0</v>
      </c>
      <c r="CY194" s="64">
        <f>(CY23/$ET$15)*CY88</f>
        <v>0</v>
      </c>
      <c r="CZ194" s="64">
        <f>(CZ23/$ET$15)*CZ88</f>
        <v>0</v>
      </c>
      <c r="DA194" s="64">
        <f>(DA23/$ET$15)*DA88</f>
        <v>0</v>
      </c>
      <c r="DB194" s="64">
        <f>(DB23/$ET$15)*DB88</f>
        <v>0</v>
      </c>
      <c r="DC194" s="64">
        <f>(DC23/$ET$15)*DC88</f>
        <v>0</v>
      </c>
      <c r="DD194" s="64">
        <f>(DD23/$ET$15)*DD88</f>
        <v>0</v>
      </c>
      <c r="DE194" s="64">
        <f>(DE23/$ET$15)*DE88</f>
        <v>0</v>
      </c>
      <c r="DF194" s="64">
        <f>(DF23/$ET$15)*DF88</f>
        <v>0</v>
      </c>
      <c r="DG194" s="64">
        <f>(DG23/$ET$15)*DG88</f>
        <v>0</v>
      </c>
      <c r="DH194" s="64">
        <f>(DH23/$ET$15)*DH88</f>
        <v>0</v>
      </c>
      <c r="DI194" s="64">
        <f>(DI23/$ET$15)*DI88</f>
        <v>0</v>
      </c>
      <c r="DJ194" s="64">
        <f>(DJ23/$ET$15)*DJ88</f>
        <v>0</v>
      </c>
      <c r="DK194" s="64">
        <f>(DK23/$ET$15)*DK88</f>
        <v>0</v>
      </c>
      <c r="DL194" s="64">
        <f>(DL23/$ET$15)*DL88</f>
        <v>0</v>
      </c>
      <c r="DM194" s="64">
        <f>(DM23/$ET$15)*DM88</f>
        <v>0</v>
      </c>
      <c r="DN194" s="64">
        <f>(DN23/$ET$15)*DN88</f>
        <v>0</v>
      </c>
      <c r="DO194" s="64">
        <f>(DO23/$ET$15)*DO88</f>
        <v>0</v>
      </c>
      <c r="DP194" s="64">
        <f>(DP23/$ET$15)*DP88</f>
        <v>0</v>
      </c>
      <c r="DQ194" s="64">
        <f>(DQ23/$ET$15)*DQ88</f>
        <v>0</v>
      </c>
      <c r="DR194" s="64">
        <f>(DR23/$ET$15)*DR88</f>
        <v>0</v>
      </c>
      <c r="DS194" s="64">
        <f>(DS23/$ET$15)*DS88</f>
        <v>0</v>
      </c>
      <c r="DT194" s="64">
        <f>(DT23/$ET$15)*DT88</f>
        <v>0</v>
      </c>
      <c r="DU194" s="64">
        <f>(DU23/$ET$15)*DU88</f>
        <v>0</v>
      </c>
      <c r="DV194" s="64">
        <f>(DV23/$ET$15)*DV88</f>
        <v>0</v>
      </c>
      <c r="DW194" s="64">
        <f>(DW23/$ET$15)*DW88</f>
        <v>0</v>
      </c>
      <c r="DX194" s="64">
        <f>(DX23/$ET$15)*DX88</f>
        <v>0</v>
      </c>
      <c r="DY194" s="64">
        <f>(DY23/$ET$15)*DY88</f>
        <v>0</v>
      </c>
      <c r="DZ194" s="64">
        <f>(DZ23/$ET$15)*DZ88</f>
        <v>0</v>
      </c>
      <c r="EA194" s="64">
        <f>(EA23/$ET$15)*EA88</f>
        <v>0</v>
      </c>
      <c r="EB194" s="64">
        <f>(EB23/$ET$15)*EB88</f>
        <v>0</v>
      </c>
      <c r="EC194" s="64">
        <f>(EC23/$ET$15)*EC88</f>
        <v>0</v>
      </c>
      <c r="ED194" s="64">
        <f>(ED23/$ET$15)*ED88</f>
        <v>0</v>
      </c>
      <c r="EE194" s="64">
        <f>(EE23/$ET$15)*EE88</f>
        <v>0</v>
      </c>
      <c r="EF194" s="64">
        <f>(EF23/$ET$15)*EF88</f>
        <v>0</v>
      </c>
      <c r="EG194" s="64">
        <f>(EG23/$ET$15)*EG88</f>
        <v>0</v>
      </c>
      <c r="EH194" s="64">
        <f>(EH23/$ET$15)*EH88</f>
        <v>0</v>
      </c>
      <c r="EI194" s="64">
        <f>(EI23/$ET$15)*EI88</f>
        <v>0</v>
      </c>
      <c r="EJ194" s="64">
        <f>(EJ23/$ET$15)*EJ88</f>
        <v>0</v>
      </c>
      <c r="EK194" s="64">
        <f>(EK23/$ET$15)*EK88</f>
        <v>0</v>
      </c>
      <c r="EL194" s="64">
        <f>(EL23/$ET$15)*EL88</f>
        <v>0.20935029219663115</v>
      </c>
      <c r="EM194" s="64">
        <f>(EM23/$ET$15)*EM88</f>
        <v>0.88930904090752838</v>
      </c>
      <c r="EN194" s="64">
        <f>(EN23/$ET$15)*EN88</f>
        <v>0</v>
      </c>
      <c r="EO194" s="64">
        <f>(EO23/$ET$15)*EO88</f>
        <v>0</v>
      </c>
      <c r="EP194" s="64">
        <f>(EP23/$ET$15)*EP88</f>
        <v>0</v>
      </c>
      <c r="EQ194" s="64">
        <f>(EQ23/$ET$15)*EQ88</f>
        <v>0</v>
      </c>
      <c r="ER194" s="64">
        <f>(ER23/$ET$15)*ER88</f>
        <v>0</v>
      </c>
      <c r="ES194" s="64">
        <f>(ES23/$ET$15)*ES88</f>
        <v>0</v>
      </c>
    </row>
    <row r="195" spans="1:149" x14ac:dyDescent="0.3">
      <c r="A195" s="37" t="s">
        <v>21</v>
      </c>
      <c r="B195" s="64">
        <f>(B24/$ET$15)*B89</f>
        <v>0</v>
      </c>
      <c r="C195" s="64">
        <f>(C24/$ET$15)*C89</f>
        <v>0</v>
      </c>
      <c r="D195" s="64">
        <f>(D24/$ET$15)*D89</f>
        <v>0</v>
      </c>
      <c r="E195" s="64">
        <f>(E24/$ET$15)*E89</f>
        <v>0</v>
      </c>
      <c r="F195" s="64">
        <f>(F24/$ET$15)*F89</f>
        <v>0</v>
      </c>
      <c r="G195" s="64">
        <f>(G24/$ET$15)*G89</f>
        <v>0</v>
      </c>
      <c r="H195" s="64">
        <f>(H24/$ET$15)*H89</f>
        <v>0</v>
      </c>
      <c r="I195" s="64">
        <f>(I24/$ET$15)*I89</f>
        <v>0</v>
      </c>
      <c r="J195" s="64">
        <f>(J24/$ET$15)*J89</f>
        <v>0</v>
      </c>
      <c r="K195" s="64">
        <f>(K24/$ET$15)*K89</f>
        <v>0</v>
      </c>
      <c r="L195" s="64">
        <f>(L24/$ET$15)*L89</f>
        <v>0</v>
      </c>
      <c r="M195" s="64">
        <f>(M24/$ET$15)*M89</f>
        <v>0</v>
      </c>
      <c r="N195" s="64">
        <f>(N24/$ET$15)*N89</f>
        <v>0</v>
      </c>
      <c r="O195" s="64">
        <f>(O24/$ET$15)*O89</f>
        <v>0</v>
      </c>
      <c r="P195" s="64">
        <f>(P24/$ET$15)*P89</f>
        <v>0</v>
      </c>
      <c r="Q195" s="64">
        <f>(Q24/$ET$15)*Q89</f>
        <v>0</v>
      </c>
      <c r="R195" s="64">
        <f>(R24/$ET$15)*R89</f>
        <v>0</v>
      </c>
      <c r="S195" s="64">
        <f>(S24/$ET$15)*S89</f>
        <v>0</v>
      </c>
      <c r="T195" s="64">
        <f>(T24/$ET$15)*T89</f>
        <v>0</v>
      </c>
      <c r="U195" s="64">
        <f>(U24/$ET$15)*U89</f>
        <v>5.7174286696459271</v>
      </c>
      <c r="V195" s="64">
        <f>(V24/$ET$15)*V89</f>
        <v>0</v>
      </c>
      <c r="W195" s="64">
        <f>(W24/$ET$15)*W89</f>
        <v>0</v>
      </c>
      <c r="X195" s="64">
        <f>(X24/$ET$15)*X89</f>
        <v>0</v>
      </c>
      <c r="Y195" s="64">
        <f>(Y24/$ET$15)*Y89</f>
        <v>0</v>
      </c>
      <c r="Z195" s="64">
        <f>(Z24/$ET$15)*Z89</f>
        <v>0</v>
      </c>
      <c r="AA195" s="64">
        <f>(AA24/$ET$15)*AA89</f>
        <v>0</v>
      </c>
      <c r="AB195" s="64">
        <f>(AB24/$ET$15)*AB89</f>
        <v>0</v>
      </c>
      <c r="AC195" s="64">
        <f>(AC24/$ET$15)*AC89</f>
        <v>0</v>
      </c>
      <c r="AD195" s="64">
        <f>(AD24/$ET$15)*AD89</f>
        <v>0</v>
      </c>
      <c r="AE195" s="64">
        <f>(AE24/$ET$15)*AE89</f>
        <v>0</v>
      </c>
      <c r="AF195" s="64">
        <f>(AF24/$ET$15)*AF89</f>
        <v>0</v>
      </c>
      <c r="AG195" s="64">
        <f>(AG24/$ET$15)*AG89</f>
        <v>0</v>
      </c>
      <c r="AH195" s="64">
        <f>(AH24/$ET$15)*AH89</f>
        <v>0</v>
      </c>
      <c r="AI195" s="64">
        <f>(AI24/$ET$15)*AI89</f>
        <v>2.4077002406325194</v>
      </c>
      <c r="AJ195" s="64">
        <f>(AJ24/$ET$15)*AJ89</f>
        <v>0.66173942935716745</v>
      </c>
      <c r="AK195" s="64">
        <f>(AK24/$ET$15)*AK89</f>
        <v>1.3877621175661741</v>
      </c>
      <c r="AL195" s="64">
        <f>(AL24/$ET$15)*AL89</f>
        <v>0</v>
      </c>
      <c r="AM195" s="64">
        <f>(AM24/$ET$15)*AM89</f>
        <v>0</v>
      </c>
      <c r="AN195" s="64">
        <f>(AN24/$ET$15)*AN89</f>
        <v>0</v>
      </c>
      <c r="AO195" s="64">
        <f>(AO24/$ET$15)*AO89</f>
        <v>0</v>
      </c>
      <c r="AP195" s="64">
        <f>(AP24/$ET$15)*AP89</f>
        <v>0</v>
      </c>
      <c r="AQ195" s="64">
        <f>(AQ24/$ET$15)*AQ89</f>
        <v>0</v>
      </c>
      <c r="AR195" s="64">
        <f>(AR24/$ET$15)*AR89</f>
        <v>0</v>
      </c>
      <c r="AS195" s="64">
        <f>(AS24/$ET$15)*AS89</f>
        <v>0</v>
      </c>
      <c r="AT195" s="64">
        <f>(AT24/$ET$15)*AT89</f>
        <v>0.17531797868683396</v>
      </c>
      <c r="AU195" s="64">
        <f>(AU24/$ET$15)*AU89</f>
        <v>0</v>
      </c>
      <c r="AV195" s="64">
        <f>(AV24/$ET$15)*AV89</f>
        <v>0</v>
      </c>
      <c r="AW195" s="64">
        <f>(AW24/$ET$15)*AW89</f>
        <v>0</v>
      </c>
      <c r="AX195" s="64">
        <f>(AX24/$ET$15)*AX89</f>
        <v>0</v>
      </c>
      <c r="AY195" s="64">
        <f>(AY24/$ET$15)*AY89</f>
        <v>0</v>
      </c>
      <c r="AZ195" s="64">
        <f>(AZ24/$ET$15)*AZ89</f>
        <v>0</v>
      </c>
      <c r="BA195" s="64">
        <f>(BA24/$ET$15)*BA89</f>
        <v>0</v>
      </c>
      <c r="BB195" s="64">
        <f>(BB24/$ET$15)*BB89</f>
        <v>0</v>
      </c>
      <c r="BC195" s="64">
        <f>(BC24/$ET$15)*BC89</f>
        <v>0</v>
      </c>
      <c r="BD195" s="64">
        <f>(BD24/$ET$15)*BD89</f>
        <v>0</v>
      </c>
      <c r="BE195" s="64">
        <f>(BE24/$ET$15)*BE89</f>
        <v>0</v>
      </c>
      <c r="BF195" s="64">
        <f>(BF24/$ET$15)*BF89</f>
        <v>0</v>
      </c>
      <c r="BG195" s="64">
        <f>(BG24/$ET$15)*BG89</f>
        <v>0</v>
      </c>
      <c r="BH195" s="64">
        <f>(BH24/$ET$15)*BH89</f>
        <v>0</v>
      </c>
      <c r="BI195" s="64">
        <f>(BI24/$ET$15)*BI89</f>
        <v>0</v>
      </c>
      <c r="BJ195" s="64">
        <f>(BJ24/$ET$15)*BJ89</f>
        <v>0</v>
      </c>
      <c r="BK195" s="64">
        <f>(BK24/$ET$15)*BK89</f>
        <v>0</v>
      </c>
      <c r="BL195" s="64">
        <f>(BL24/$ET$15)*BL89</f>
        <v>0</v>
      </c>
      <c r="BM195" s="64">
        <f>(BM24/$ET$15)*BM89</f>
        <v>0</v>
      </c>
      <c r="BN195" s="64">
        <f>(BN24/$ET$15)*BN89</f>
        <v>0</v>
      </c>
      <c r="BO195" s="64">
        <f>(BO24/$ET$15)*BO89</f>
        <v>0</v>
      </c>
      <c r="BP195" s="64">
        <f>(BP24/$ET$15)*BP89</f>
        <v>0</v>
      </c>
      <c r="BQ195" s="64">
        <f>(BQ24/$ET$15)*BQ89</f>
        <v>0</v>
      </c>
      <c r="BR195" s="64">
        <f>(BR24/$ET$15)*BR89</f>
        <v>0</v>
      </c>
      <c r="BS195" s="64">
        <f>(BS24/$ET$15)*BS89</f>
        <v>0</v>
      </c>
      <c r="BT195" s="64">
        <f>(BT24/$ET$15)*BT89</f>
        <v>0</v>
      </c>
      <c r="BU195" s="64">
        <f>(BU24/$ET$15)*BU89</f>
        <v>0</v>
      </c>
      <c r="BV195" s="64">
        <f>(BV24/$ET$15)*BV89</f>
        <v>0</v>
      </c>
      <c r="BW195" s="64">
        <f>(BW24/$ET$15)*BW89</f>
        <v>0</v>
      </c>
      <c r="BX195" s="64">
        <f>(BX24/$ET$15)*BX89</f>
        <v>0</v>
      </c>
      <c r="BY195" s="64">
        <f>(BY24/$ET$15)*BY89</f>
        <v>0</v>
      </c>
      <c r="BZ195" s="64">
        <f>(BZ24/$ET$15)*BZ89</f>
        <v>0</v>
      </c>
      <c r="CA195" s="64">
        <f>(CA24/$ET$15)*CA89</f>
        <v>0</v>
      </c>
      <c r="CB195" s="64">
        <f>(CB24/$ET$15)*CB89</f>
        <v>0</v>
      </c>
      <c r="CC195" s="64">
        <f>(CC24/$ET$15)*CC89</f>
        <v>0</v>
      </c>
      <c r="CD195" s="64">
        <f>(CD24/$ET$15)*CD89</f>
        <v>0</v>
      </c>
      <c r="CE195" s="64">
        <f>(CE24/$ET$15)*CE89</f>
        <v>0</v>
      </c>
      <c r="CF195" s="64">
        <f>(CF24/$ET$15)*CF89</f>
        <v>0</v>
      </c>
      <c r="CG195" s="64">
        <f>(CG24/$ET$15)*CG89</f>
        <v>0</v>
      </c>
      <c r="CH195" s="64">
        <f>(CH24/$ET$15)*CH89</f>
        <v>0</v>
      </c>
      <c r="CI195" s="64">
        <f>(CI24/$ET$15)*CI89</f>
        <v>0</v>
      </c>
      <c r="CJ195" s="64">
        <f>(CJ24/$ET$15)*CJ89</f>
        <v>1.5290477827432107</v>
      </c>
      <c r="CK195" s="64">
        <f>(CK24/$ET$15)*CK89</f>
        <v>0</v>
      </c>
      <c r="CL195" s="64">
        <f>(CL24/$ET$15)*CL89</f>
        <v>0</v>
      </c>
      <c r="CM195" s="64">
        <f>(CM24/$ET$15)*CM89</f>
        <v>0</v>
      </c>
      <c r="CN195" s="64">
        <f>(CN24/$ET$15)*CN89</f>
        <v>0</v>
      </c>
      <c r="CO195" s="64">
        <f>(CO24/$ET$15)*CO89</f>
        <v>1.3520110003437609</v>
      </c>
      <c r="CP195" s="64">
        <f>(CP24/$ET$15)*CP89</f>
        <v>0</v>
      </c>
      <c r="CQ195" s="64">
        <f>(CQ24/$ET$15)*CQ89</f>
        <v>0</v>
      </c>
      <c r="CR195" s="64">
        <f>(CR24/$ET$15)*CR89</f>
        <v>0</v>
      </c>
      <c r="CS195" s="64">
        <f>(CS24/$ET$15)*CS89</f>
        <v>0</v>
      </c>
      <c r="CT195" s="64">
        <f>(CT24/$ET$15)*CT89</f>
        <v>0</v>
      </c>
      <c r="CU195" s="64">
        <f>(CU24/$ET$15)*CU89</f>
        <v>0</v>
      </c>
      <c r="CV195" s="64">
        <f>(CV24/$ET$15)*CV89</f>
        <v>0</v>
      </c>
      <c r="CW195" s="64">
        <f>(CW24/$ET$15)*CW89</f>
        <v>0</v>
      </c>
      <c r="CX195" s="64">
        <f>(CX24/$ET$15)*CX89</f>
        <v>0</v>
      </c>
      <c r="CY195" s="64">
        <f>(CY24/$ET$15)*CY89</f>
        <v>0</v>
      </c>
      <c r="CZ195" s="64">
        <f>(CZ24/$ET$15)*CZ89</f>
        <v>0</v>
      </c>
      <c r="DA195" s="64">
        <f>(DA24/$ET$15)*DA89</f>
        <v>0.47163973874183568</v>
      </c>
      <c r="DB195" s="64">
        <f>(DB24/$ET$15)*DB89</f>
        <v>0</v>
      </c>
      <c r="DC195" s="64">
        <f>(DC24/$ET$15)*DC89</f>
        <v>3.5238913716053628</v>
      </c>
      <c r="DD195" s="64">
        <f>(DD24/$ET$15)*DD89</f>
        <v>0</v>
      </c>
      <c r="DE195" s="64">
        <f>(DE24/$ET$15)*DE89</f>
        <v>0</v>
      </c>
      <c r="DF195" s="64">
        <f>(DF24/$ET$15)*DF89</f>
        <v>0</v>
      </c>
      <c r="DG195" s="64">
        <f>(DG24/$ET$15)*DG89</f>
        <v>0</v>
      </c>
      <c r="DH195" s="64">
        <f>(DH24/$ET$15)*DH89</f>
        <v>0</v>
      </c>
      <c r="DI195" s="64">
        <f>(DI24/$ET$15)*DI89</f>
        <v>0</v>
      </c>
      <c r="DJ195" s="64">
        <f>(DJ24/$ET$15)*DJ89</f>
        <v>0</v>
      </c>
      <c r="DK195" s="64">
        <f>(DK24/$ET$15)*DK89</f>
        <v>0</v>
      </c>
      <c r="DL195" s="64">
        <f>(DL24/$ET$15)*DL89</f>
        <v>0</v>
      </c>
      <c r="DM195" s="64">
        <f>(DM24/$ET$15)*DM89</f>
        <v>0</v>
      </c>
      <c r="DN195" s="64">
        <f>(DN24/$ET$15)*DN89</f>
        <v>0</v>
      </c>
      <c r="DO195" s="64">
        <f>(DO24/$ET$15)*DO89</f>
        <v>0</v>
      </c>
      <c r="DP195" s="64">
        <f>(DP24/$ET$15)*DP89</f>
        <v>0</v>
      </c>
      <c r="DQ195" s="64">
        <f>(DQ24/$ET$15)*DQ89</f>
        <v>0</v>
      </c>
      <c r="DR195" s="64">
        <f>(DR24/$ET$15)*DR89</f>
        <v>0</v>
      </c>
      <c r="DS195" s="64">
        <f>(DS24/$ET$15)*DS89</f>
        <v>0</v>
      </c>
      <c r="DT195" s="64">
        <f>(DT24/$ET$15)*DT89</f>
        <v>0</v>
      </c>
      <c r="DU195" s="64">
        <f>(DU24/$ET$15)*DU89</f>
        <v>5.7751804743898245E-2</v>
      </c>
      <c r="DV195" s="64">
        <f>(DV24/$ET$15)*DV89</f>
        <v>0</v>
      </c>
      <c r="DW195" s="64">
        <f>(DW24/$ET$15)*DW89</f>
        <v>0</v>
      </c>
      <c r="DX195" s="64">
        <f>(DX24/$ET$15)*DX89</f>
        <v>0</v>
      </c>
      <c r="DY195" s="64">
        <f>(DY24/$ET$15)*DY89</f>
        <v>0</v>
      </c>
      <c r="DZ195" s="64">
        <f>(DZ24/$ET$15)*DZ89</f>
        <v>0</v>
      </c>
      <c r="EA195" s="64">
        <f>(EA24/$ET$15)*EA89</f>
        <v>2.8934341698178065</v>
      </c>
      <c r="EB195" s="64">
        <f>(EB24/$ET$15)*EB89</f>
        <v>0</v>
      </c>
      <c r="EC195" s="64">
        <f>(EC24/$ET$15)*EC89</f>
        <v>0</v>
      </c>
      <c r="ED195" s="64">
        <f>(ED24/$ET$15)*ED89</f>
        <v>0</v>
      </c>
      <c r="EE195" s="64">
        <f>(EE24/$ET$15)*EE89</f>
        <v>0</v>
      </c>
      <c r="EF195" s="64">
        <f>(EF24/$ET$15)*EF89</f>
        <v>0</v>
      </c>
      <c r="EG195" s="64">
        <f>(EG24/$ET$15)*EG89</f>
        <v>0</v>
      </c>
      <c r="EH195" s="64">
        <f>(EH24/$ET$15)*EH89</f>
        <v>0</v>
      </c>
      <c r="EI195" s="64">
        <f>(EI24/$ET$15)*EI89</f>
        <v>0</v>
      </c>
      <c r="EJ195" s="64">
        <f>(EJ24/$ET$15)*EJ89</f>
        <v>0</v>
      </c>
      <c r="EK195" s="64">
        <f>(EK24/$ET$15)*EK89</f>
        <v>0.67136473014781706</v>
      </c>
      <c r="EL195" s="64">
        <f>(EL24/$ET$15)*EL89</f>
        <v>0</v>
      </c>
      <c r="EM195" s="64">
        <f>(EM24/$ET$15)*EM89</f>
        <v>0</v>
      </c>
      <c r="EN195" s="64">
        <f>(EN24/$ET$15)*EN89</f>
        <v>0</v>
      </c>
      <c r="EO195" s="64">
        <f>(EO24/$ET$15)*EO89</f>
        <v>0</v>
      </c>
      <c r="EP195" s="64">
        <f>(EP24/$ET$15)*EP89</f>
        <v>0</v>
      </c>
      <c r="EQ195" s="64">
        <f>(EQ24/$ET$15)*EQ89</f>
        <v>2.437951185974562</v>
      </c>
      <c r="ER195" s="64">
        <f>(ER24/$ET$15)*ER89</f>
        <v>0</v>
      </c>
      <c r="ES195" s="64">
        <f>(ES24/$ET$15)*ES89</f>
        <v>3.833276039876246</v>
      </c>
    </row>
    <row r="196" spans="1:149" x14ac:dyDescent="0.3">
      <c r="A196" s="37" t="s">
        <v>5</v>
      </c>
      <c r="B196" s="64">
        <f>(B25/$ET$15)*B90</f>
        <v>0</v>
      </c>
      <c r="C196" s="64">
        <f>(C25/$ET$15)*C90</f>
        <v>0</v>
      </c>
      <c r="D196" s="64">
        <f>(D25/$ET$15)*D90</f>
        <v>0</v>
      </c>
      <c r="E196" s="64">
        <f>(E25/$ET$15)*E90</f>
        <v>0</v>
      </c>
      <c r="F196" s="64">
        <f>(F25/$ET$15)*F90</f>
        <v>0</v>
      </c>
      <c r="G196" s="64">
        <f>(G25/$ET$15)*G90</f>
        <v>0</v>
      </c>
      <c r="H196" s="64">
        <f>(H25/$ET$15)*H90</f>
        <v>0</v>
      </c>
      <c r="I196" s="64">
        <f>(I25/$ET$15)*I90</f>
        <v>0</v>
      </c>
      <c r="J196" s="64">
        <f>(J25/$ET$15)*J90</f>
        <v>0</v>
      </c>
      <c r="K196" s="64">
        <f>(K25/$ET$15)*K90</f>
        <v>0</v>
      </c>
      <c r="L196" s="64">
        <f>(L25/$ET$15)*L90</f>
        <v>0.66173942935716745</v>
      </c>
      <c r="M196" s="64">
        <f>(M25/$ET$15)*M90</f>
        <v>0</v>
      </c>
      <c r="N196" s="64">
        <f>(N25/$ET$15)*N90</f>
        <v>0</v>
      </c>
      <c r="O196" s="64">
        <f>(O25/$ET$15)*O90</f>
        <v>0</v>
      </c>
      <c r="P196" s="64">
        <f>(P25/$ET$15)*P90</f>
        <v>0</v>
      </c>
      <c r="Q196" s="64">
        <f>(Q25/$ET$15)*Q90</f>
        <v>0</v>
      </c>
      <c r="R196" s="64">
        <f>(R25/$ET$15)*R90</f>
        <v>0</v>
      </c>
      <c r="S196" s="64">
        <f>(S25/$ET$15)*S90</f>
        <v>0</v>
      </c>
      <c r="T196" s="64">
        <f>(T25/$ET$15)*T90</f>
        <v>0</v>
      </c>
      <c r="U196" s="64">
        <f>(U25/$ET$15)*U90</f>
        <v>0</v>
      </c>
      <c r="V196" s="64">
        <f>(V25/$ET$15)*V90</f>
        <v>0</v>
      </c>
      <c r="W196" s="64">
        <f>(W25/$ET$15)*W90</f>
        <v>0</v>
      </c>
      <c r="X196" s="64">
        <f>(X25/$ET$15)*X90</f>
        <v>0</v>
      </c>
      <c r="Y196" s="64">
        <f>(Y25/$ET$15)*Y90</f>
        <v>0</v>
      </c>
      <c r="Z196" s="64">
        <f>(Z25/$ET$15)*Z90</f>
        <v>7.150223444482641E-2</v>
      </c>
      <c r="AA196" s="64">
        <f>(AA25/$ET$15)*AA90</f>
        <v>0</v>
      </c>
      <c r="AB196" s="64">
        <f>(AB25/$ET$15)*AB90</f>
        <v>0</v>
      </c>
      <c r="AC196" s="64">
        <f>(AC25/$ET$15)*AC90</f>
        <v>0</v>
      </c>
      <c r="AD196" s="64">
        <f>(AD25/$ET$15)*AD90</f>
        <v>0</v>
      </c>
      <c r="AE196" s="64">
        <f>(AE25/$ET$15)*AE90</f>
        <v>0</v>
      </c>
      <c r="AF196" s="64">
        <f>(AF25/$ET$15)*AF90</f>
        <v>0</v>
      </c>
      <c r="AG196" s="64">
        <f>(AG25/$ET$15)*AG90</f>
        <v>0</v>
      </c>
      <c r="AH196" s="64">
        <f>(AH25/$ET$15)*AH90</f>
        <v>0</v>
      </c>
      <c r="AI196" s="64">
        <f>(AI25/$ET$15)*AI90</f>
        <v>0</v>
      </c>
      <c r="AJ196" s="64">
        <f>(AJ25/$ET$15)*AJ90</f>
        <v>0</v>
      </c>
      <c r="AK196" s="64">
        <f>(AK25/$ET$15)*AK90</f>
        <v>0</v>
      </c>
      <c r="AL196" s="64">
        <f>(AL25/$ET$15)*AL90</f>
        <v>0.10312822275696117</v>
      </c>
      <c r="AM196" s="64">
        <f>(AM25/$ET$15)*AM90</f>
        <v>0</v>
      </c>
      <c r="AN196" s="64">
        <f>(AN25/$ET$15)*AN90</f>
        <v>0</v>
      </c>
      <c r="AO196" s="64">
        <f>(AO25/$ET$15)*AO90</f>
        <v>0</v>
      </c>
      <c r="AP196" s="64">
        <f>(AP25/$ET$15)*AP90</f>
        <v>0</v>
      </c>
      <c r="AQ196" s="64">
        <f>(AQ25/$ET$15)*AQ90</f>
        <v>0</v>
      </c>
      <c r="AR196" s="64">
        <f>(AR25/$ET$15)*AR90</f>
        <v>0</v>
      </c>
      <c r="AS196" s="64">
        <f>(AS25/$ET$15)*AS90</f>
        <v>0</v>
      </c>
      <c r="AT196" s="64">
        <f>(AT25/$ET$15)*AT90</f>
        <v>0</v>
      </c>
      <c r="AU196" s="64">
        <f>(AU25/$ET$15)*AU90</f>
        <v>0</v>
      </c>
      <c r="AV196" s="64">
        <f>(AV25/$ET$15)*AV90</f>
        <v>0</v>
      </c>
      <c r="AW196" s="64">
        <f>(AW25/$ET$15)*AW90</f>
        <v>0</v>
      </c>
      <c r="AX196" s="64">
        <f>(AX25/$ET$15)*AX90</f>
        <v>0</v>
      </c>
      <c r="AY196" s="64">
        <f>(AY25/$ET$15)*AY90</f>
        <v>0</v>
      </c>
      <c r="AZ196" s="64">
        <f>(AZ25/$ET$15)*AZ90</f>
        <v>0</v>
      </c>
      <c r="BA196" s="64">
        <f>(BA25/$ET$15)*BA90</f>
        <v>0</v>
      </c>
      <c r="BB196" s="64">
        <f>(BB25/$ET$15)*BB90</f>
        <v>0</v>
      </c>
      <c r="BC196" s="64">
        <f>(BC25/$ET$15)*BC90</f>
        <v>0</v>
      </c>
      <c r="BD196" s="64">
        <f>(BD25/$ET$15)*BD90</f>
        <v>0</v>
      </c>
      <c r="BE196" s="64">
        <f>(BE25/$ET$15)*BE90</f>
        <v>0</v>
      </c>
      <c r="BF196" s="64">
        <f>(BF25/$ET$15)*BF90</f>
        <v>0</v>
      </c>
      <c r="BG196" s="64">
        <f>(BG25/$ET$15)*BG90</f>
        <v>0</v>
      </c>
      <c r="BH196" s="64">
        <f>(BH25/$ET$15)*BH90</f>
        <v>0</v>
      </c>
      <c r="BI196" s="64">
        <f>(BI25/$ET$15)*BI90</f>
        <v>0</v>
      </c>
      <c r="BJ196" s="64">
        <f>(BJ25/$ET$15)*BJ90</f>
        <v>0</v>
      </c>
      <c r="BK196" s="64">
        <f>(BK25/$ET$15)*BK90</f>
        <v>0</v>
      </c>
      <c r="BL196" s="64">
        <f>(BL25/$ET$15)*BL90</f>
        <v>0</v>
      </c>
      <c r="BM196" s="64">
        <f>(BM25/$ET$15)*BM90</f>
        <v>0</v>
      </c>
      <c r="BN196" s="64">
        <f>(BN25/$ET$15)*BN90</f>
        <v>0</v>
      </c>
      <c r="BO196" s="64">
        <f>(BO25/$ET$15)*BO90</f>
        <v>0</v>
      </c>
      <c r="BP196" s="64">
        <f>(BP25/$ET$15)*BP90</f>
        <v>0</v>
      </c>
      <c r="BQ196" s="64">
        <f>(BQ25/$ET$15)*BQ90</f>
        <v>0</v>
      </c>
      <c r="BR196" s="64">
        <f>(BR25/$ET$15)*BR90</f>
        <v>0</v>
      </c>
      <c r="BS196" s="64">
        <f>(BS25/$ET$15)*BS90</f>
        <v>0</v>
      </c>
      <c r="BT196" s="64">
        <f>(BT25/$ET$15)*BT90</f>
        <v>0</v>
      </c>
      <c r="BU196" s="64">
        <f>(BU25/$ET$15)*BU90</f>
        <v>0</v>
      </c>
      <c r="BV196" s="64">
        <f>(BV25/$ET$15)*BV90</f>
        <v>0</v>
      </c>
      <c r="BW196" s="64">
        <f>(BW25/$ET$15)*BW90</f>
        <v>0</v>
      </c>
      <c r="BX196" s="64">
        <f>(BX25/$ET$15)*BX90</f>
        <v>0</v>
      </c>
      <c r="BY196" s="64">
        <f>(BY25/$ET$15)*BY90</f>
        <v>0</v>
      </c>
      <c r="BZ196" s="64">
        <f>(BZ25/$ET$15)*BZ90</f>
        <v>0</v>
      </c>
      <c r="CA196" s="64">
        <f>(CA25/$ET$15)*CA90</f>
        <v>0</v>
      </c>
      <c r="CB196" s="64">
        <f>(CB25/$ET$15)*CB90</f>
        <v>0</v>
      </c>
      <c r="CC196" s="64">
        <f>(CC25/$ET$15)*CC90</f>
        <v>0</v>
      </c>
      <c r="CD196" s="64">
        <f>(CD25/$ET$15)*CD90</f>
        <v>0</v>
      </c>
      <c r="CE196" s="64">
        <f>(CE25/$ET$15)*CE90</f>
        <v>0</v>
      </c>
      <c r="CF196" s="64">
        <f>(CF25/$ET$15)*CF90</f>
        <v>2.6050189068408391</v>
      </c>
      <c r="CG196" s="64">
        <f>(CG25/$ET$15)*CG90</f>
        <v>0</v>
      </c>
      <c r="CH196" s="64">
        <f>(CH25/$ET$15)*CH90</f>
        <v>0</v>
      </c>
      <c r="CI196" s="64">
        <f>(CI25/$ET$15)*CI90</f>
        <v>0</v>
      </c>
      <c r="CJ196" s="64">
        <f>(CJ25/$ET$15)*CJ90</f>
        <v>0</v>
      </c>
      <c r="CK196" s="64">
        <f>(CK25/$ET$15)*CK90</f>
        <v>0</v>
      </c>
      <c r="CL196" s="64">
        <f>(CL25/$ET$15)*CL90</f>
        <v>0</v>
      </c>
      <c r="CM196" s="64">
        <f>(CM25/$ET$15)*CM90</f>
        <v>0</v>
      </c>
      <c r="CN196" s="64">
        <f>(CN25/$ET$15)*CN90</f>
        <v>0</v>
      </c>
      <c r="CO196" s="64">
        <f>(CO25/$ET$15)*CO90</f>
        <v>0</v>
      </c>
      <c r="CP196" s="64">
        <f>(CP25/$ET$15)*CP90</f>
        <v>0</v>
      </c>
      <c r="CQ196" s="64">
        <f>(CQ25/$ET$15)*CQ90</f>
        <v>0</v>
      </c>
      <c r="CR196" s="64">
        <f>(CR25/$ET$15)*CR90</f>
        <v>0</v>
      </c>
      <c r="CS196" s="64">
        <f>(CS25/$ET$15)*CS90</f>
        <v>0</v>
      </c>
      <c r="CT196" s="64">
        <f>(CT25/$ET$15)*CT90</f>
        <v>1.2787899621863184</v>
      </c>
      <c r="CU196" s="64">
        <f>(CU25/$ET$15)*CU90</f>
        <v>0</v>
      </c>
      <c r="CV196" s="64">
        <f>(CV25/$ET$15)*CV90</f>
        <v>0</v>
      </c>
      <c r="CW196" s="64">
        <f>(CW25/$ET$15)*CW90</f>
        <v>0</v>
      </c>
      <c r="CX196" s="64">
        <f>(CX25/$ET$15)*CX90</f>
        <v>0</v>
      </c>
      <c r="CY196" s="64">
        <f>(CY25/$ET$15)*CY90</f>
        <v>0</v>
      </c>
      <c r="CZ196" s="64">
        <f>(CZ25/$ET$15)*CZ90</f>
        <v>0</v>
      </c>
      <c r="DA196" s="64">
        <f>(DA25/$ET$15)*DA90</f>
        <v>0</v>
      </c>
      <c r="DB196" s="64">
        <f>(DB25/$ET$15)*DB90</f>
        <v>0</v>
      </c>
      <c r="DC196" s="64">
        <f>(DC25/$ET$15)*DC90</f>
        <v>0</v>
      </c>
      <c r="DD196" s="64">
        <f>(DD25/$ET$15)*DD90</f>
        <v>0</v>
      </c>
      <c r="DE196" s="64">
        <f>(DE25/$ET$15)*DE90</f>
        <v>0</v>
      </c>
      <c r="DF196" s="64">
        <f>(DF25/$ET$15)*DF90</f>
        <v>0</v>
      </c>
      <c r="DG196" s="64">
        <f>(DG25/$ET$15)*DG90</f>
        <v>0</v>
      </c>
      <c r="DH196" s="64">
        <f>(DH25/$ET$15)*DH90</f>
        <v>0</v>
      </c>
      <c r="DI196" s="64">
        <f>(DI25/$ET$15)*DI90</f>
        <v>0</v>
      </c>
      <c r="DJ196" s="64">
        <f>(DJ25/$ET$15)*DJ90</f>
        <v>0</v>
      </c>
      <c r="DK196" s="64">
        <f>(DK25/$ET$15)*DK90</f>
        <v>0</v>
      </c>
      <c r="DL196" s="64">
        <f>(DL25/$ET$15)*DL90</f>
        <v>0</v>
      </c>
      <c r="DM196" s="64">
        <f>(DM25/$ET$15)*DM90</f>
        <v>0</v>
      </c>
      <c r="DN196" s="64">
        <f>(DN25/$ET$15)*DN90</f>
        <v>0</v>
      </c>
      <c r="DO196" s="64">
        <f>(DO25/$ET$15)*DO90</f>
        <v>0</v>
      </c>
      <c r="DP196" s="64">
        <f>(DP25/$ET$15)*DP90</f>
        <v>0</v>
      </c>
      <c r="DQ196" s="64">
        <f>(DQ25/$ET$15)*DQ90</f>
        <v>0</v>
      </c>
      <c r="DR196" s="64">
        <f>(DR25/$ET$15)*DR90</f>
        <v>0</v>
      </c>
      <c r="DS196" s="64">
        <f>(DS25/$ET$15)*DS90</f>
        <v>0</v>
      </c>
      <c r="DT196" s="64">
        <f>(DT25/$ET$15)*DT90</f>
        <v>0</v>
      </c>
      <c r="DU196" s="64">
        <f>(DU25/$ET$15)*DU90</f>
        <v>0</v>
      </c>
      <c r="DV196" s="64">
        <f>(DV25/$ET$15)*DV90</f>
        <v>0</v>
      </c>
      <c r="DW196" s="64">
        <f>(DW25/$ET$15)*DW90</f>
        <v>0</v>
      </c>
      <c r="DX196" s="64">
        <f>(DX25/$ET$15)*DX90</f>
        <v>0</v>
      </c>
      <c r="DY196" s="64">
        <f>(DY25/$ET$15)*DY90</f>
        <v>0</v>
      </c>
      <c r="DZ196" s="64">
        <f>(DZ25/$ET$15)*DZ90</f>
        <v>0</v>
      </c>
      <c r="EA196" s="64">
        <f>(EA25/$ET$15)*EA90</f>
        <v>0</v>
      </c>
      <c r="EB196" s="64">
        <f>(EB25/$ET$15)*EB90</f>
        <v>0</v>
      </c>
      <c r="EC196" s="64">
        <f>(EC25/$ET$15)*EC90</f>
        <v>0</v>
      </c>
      <c r="ED196" s="64">
        <f>(ED25/$ET$15)*ED90</f>
        <v>0</v>
      </c>
      <c r="EE196" s="64">
        <f>(EE25/$ET$15)*EE90</f>
        <v>0</v>
      </c>
      <c r="EF196" s="64">
        <f>(EF25/$ET$15)*EF90</f>
        <v>0</v>
      </c>
      <c r="EG196" s="64">
        <f>(EG25/$ET$15)*EG90</f>
        <v>0</v>
      </c>
      <c r="EH196" s="64">
        <f>(EH25/$ET$15)*EH90</f>
        <v>0</v>
      </c>
      <c r="EI196" s="64">
        <f>(EI25/$ET$15)*EI90</f>
        <v>0</v>
      </c>
      <c r="EJ196" s="64">
        <f>(EJ25/$ET$15)*EJ90</f>
        <v>0</v>
      </c>
      <c r="EK196" s="64">
        <f>(EK25/$ET$15)*EK90</f>
        <v>0</v>
      </c>
      <c r="EL196" s="64">
        <f>(EL25/$ET$15)*EL90</f>
        <v>0</v>
      </c>
      <c r="EM196" s="64">
        <f>(EM25/$ET$15)*EM90</f>
        <v>0</v>
      </c>
      <c r="EN196" s="64">
        <f>(EN25/$ET$15)*EN90</f>
        <v>0</v>
      </c>
      <c r="EO196" s="64">
        <f>(EO25/$ET$15)*EO90</f>
        <v>0</v>
      </c>
      <c r="EP196" s="64">
        <f>(EP25/$ET$15)*EP90</f>
        <v>0</v>
      </c>
      <c r="EQ196" s="64">
        <f>(EQ25/$ET$15)*EQ90</f>
        <v>0</v>
      </c>
      <c r="ER196" s="64">
        <f>(ER25/$ET$15)*ER90</f>
        <v>0</v>
      </c>
      <c r="ES196" s="64">
        <f>(ES25/$ET$15)*ES90</f>
        <v>0</v>
      </c>
    </row>
    <row r="197" spans="1:149" x14ac:dyDescent="0.3">
      <c r="A197" s="37" t="s">
        <v>16</v>
      </c>
      <c r="B197" s="64">
        <f>(B26/$ET$15)*B91</f>
        <v>0</v>
      </c>
      <c r="C197" s="64">
        <f>(C26/$ET$15)*C91</f>
        <v>0</v>
      </c>
      <c r="D197" s="64">
        <f>(D26/$ET$15)*D91</f>
        <v>0</v>
      </c>
      <c r="E197" s="64">
        <f>(E26/$ET$15)*E91</f>
        <v>0</v>
      </c>
      <c r="F197" s="64">
        <f>(F26/$ET$15)*F91</f>
        <v>0</v>
      </c>
      <c r="G197" s="64">
        <f>(G26/$ET$15)*G91</f>
        <v>0</v>
      </c>
      <c r="H197" s="64">
        <f>(H26/$ET$15)*H91</f>
        <v>0</v>
      </c>
      <c r="I197" s="64">
        <f>(I26/$ET$15)*I91</f>
        <v>0</v>
      </c>
      <c r="J197" s="64">
        <f>(J26/$ET$15)*J91</f>
        <v>0</v>
      </c>
      <c r="K197" s="64">
        <f>(K26/$ET$15)*K91</f>
        <v>0</v>
      </c>
      <c r="L197" s="64">
        <f>(L26/$ET$15)*L91</f>
        <v>0</v>
      </c>
      <c r="M197" s="64">
        <f>(M26/$ET$15)*M91</f>
        <v>0</v>
      </c>
      <c r="N197" s="64">
        <f>(N26/$ET$15)*N91</f>
        <v>0</v>
      </c>
      <c r="O197" s="64">
        <f>(O26/$ET$15)*O91</f>
        <v>0</v>
      </c>
      <c r="P197" s="64">
        <f>(P26/$ET$15)*P91</f>
        <v>0</v>
      </c>
      <c r="Q197" s="64">
        <f>(Q26/$ET$15)*Q91</f>
        <v>0</v>
      </c>
      <c r="R197" s="64">
        <f>(R26/$ET$15)*R91</f>
        <v>0</v>
      </c>
      <c r="S197" s="64">
        <f>(S26/$ET$15)*S91</f>
        <v>0</v>
      </c>
      <c r="T197" s="64">
        <f>(T26/$ET$15)*T91</f>
        <v>0</v>
      </c>
      <c r="U197" s="64">
        <f>(U26/$ET$15)*U91</f>
        <v>0</v>
      </c>
      <c r="V197" s="64">
        <f>(V26/$ET$15)*V91</f>
        <v>0</v>
      </c>
      <c r="W197" s="64">
        <f>(W26/$ET$15)*W91</f>
        <v>0</v>
      </c>
      <c r="X197" s="64">
        <f>(X26/$ET$15)*X91</f>
        <v>0</v>
      </c>
      <c r="Y197" s="64">
        <f>(Y26/$ET$15)*Y91</f>
        <v>0</v>
      </c>
      <c r="Z197" s="64">
        <f>(Z26/$ET$15)*Z91</f>
        <v>0</v>
      </c>
      <c r="AA197" s="64">
        <f>(AA26/$ET$15)*AA91</f>
        <v>0</v>
      </c>
      <c r="AB197" s="64">
        <f>(AB26/$ET$15)*AB91</f>
        <v>0</v>
      </c>
      <c r="AC197" s="64">
        <f>(AC26/$ET$15)*AC91</f>
        <v>0</v>
      </c>
      <c r="AD197" s="64">
        <f>(AD26/$ET$15)*AD91</f>
        <v>0</v>
      </c>
      <c r="AE197" s="64">
        <f>(AE26/$ET$15)*AE91</f>
        <v>0</v>
      </c>
      <c r="AF197" s="64">
        <f>(AF26/$ET$15)*AF91</f>
        <v>0</v>
      </c>
      <c r="AG197" s="64">
        <f>(AG26/$ET$15)*AG91</f>
        <v>0</v>
      </c>
      <c r="AH197" s="64">
        <f>(AH26/$ET$15)*AH91</f>
        <v>0</v>
      </c>
      <c r="AI197" s="64">
        <f>(AI26/$ET$15)*AI91</f>
        <v>0</v>
      </c>
      <c r="AJ197" s="64">
        <f>(AJ26/$ET$15)*AJ91</f>
        <v>0</v>
      </c>
      <c r="AK197" s="64">
        <f>(AK26/$ET$15)*AK91</f>
        <v>0</v>
      </c>
      <c r="AL197" s="64">
        <f>(AL26/$ET$15)*AL91</f>
        <v>0</v>
      </c>
      <c r="AM197" s="64">
        <f>(AM26/$ET$15)*AM91</f>
        <v>0</v>
      </c>
      <c r="AN197" s="64">
        <f>(AN26/$ET$15)*AN91</f>
        <v>0</v>
      </c>
      <c r="AO197" s="64">
        <f>(AO26/$ET$15)*AO91</f>
        <v>0</v>
      </c>
      <c r="AP197" s="64">
        <f>(AP26/$ET$15)*AP91</f>
        <v>0</v>
      </c>
      <c r="AQ197" s="64">
        <f>(AQ26/$ET$15)*AQ91</f>
        <v>0</v>
      </c>
      <c r="AR197" s="64">
        <f>(AR26/$ET$15)*AR91</f>
        <v>0</v>
      </c>
      <c r="AS197" s="64">
        <f>(AS26/$ET$15)*AS91</f>
        <v>0</v>
      </c>
      <c r="AT197" s="64">
        <f>(AT26/$ET$15)*AT91</f>
        <v>0</v>
      </c>
      <c r="AU197" s="64">
        <f>(AU26/$ET$15)*AU91</f>
        <v>0</v>
      </c>
      <c r="AV197" s="64">
        <f>(AV26/$ET$15)*AV91</f>
        <v>0</v>
      </c>
      <c r="AW197" s="64">
        <f>(AW26/$ET$15)*AW91</f>
        <v>0</v>
      </c>
      <c r="AX197" s="64">
        <f>(AX26/$ET$15)*AX91</f>
        <v>0</v>
      </c>
      <c r="AY197" s="64">
        <f>(AY26/$ET$15)*AY91</f>
        <v>0</v>
      </c>
      <c r="AZ197" s="64">
        <f>(AZ26/$ET$15)*AZ91</f>
        <v>0</v>
      </c>
      <c r="BA197" s="64">
        <f>(BA26/$ET$15)*BA91</f>
        <v>0</v>
      </c>
      <c r="BB197" s="64">
        <f>(BB26/$ET$15)*BB91</f>
        <v>0</v>
      </c>
      <c r="BC197" s="64">
        <f>(BC26/$ET$15)*BC91</f>
        <v>0</v>
      </c>
      <c r="BD197" s="64">
        <f>(BD26/$ET$15)*BD91</f>
        <v>0</v>
      </c>
      <c r="BE197" s="64">
        <f>(BE26/$ET$15)*BE91</f>
        <v>0</v>
      </c>
      <c r="BF197" s="64">
        <f>(BF26/$ET$15)*BF91</f>
        <v>0</v>
      </c>
      <c r="BG197" s="64">
        <f>(BG26/$ET$15)*BG91</f>
        <v>0</v>
      </c>
      <c r="BH197" s="64">
        <f>(BH26/$ET$15)*BH91</f>
        <v>0</v>
      </c>
      <c r="BI197" s="64">
        <f>(BI26/$ET$15)*BI91</f>
        <v>0</v>
      </c>
      <c r="BJ197" s="64">
        <f>(BJ26/$ET$15)*BJ91</f>
        <v>0</v>
      </c>
      <c r="BK197" s="64">
        <f>(BK26/$ET$15)*BK91</f>
        <v>0</v>
      </c>
      <c r="BL197" s="64">
        <f>(BL26/$ET$15)*BL91</f>
        <v>0</v>
      </c>
      <c r="BM197" s="64">
        <f>(BM26/$ET$15)*BM91</f>
        <v>0</v>
      </c>
      <c r="BN197" s="64">
        <f>(BN26/$ET$15)*BN91</f>
        <v>0</v>
      </c>
      <c r="BO197" s="64">
        <f>(BO26/$ET$15)*BO91</f>
        <v>0</v>
      </c>
      <c r="BP197" s="64">
        <f>(BP26/$ET$15)*BP91</f>
        <v>0</v>
      </c>
      <c r="BQ197" s="64">
        <f>(BQ26/$ET$15)*BQ91</f>
        <v>0</v>
      </c>
      <c r="BR197" s="64">
        <f>(BR26/$ET$15)*BR91</f>
        <v>0</v>
      </c>
      <c r="BS197" s="64">
        <f>(BS26/$ET$15)*BS91</f>
        <v>0</v>
      </c>
      <c r="BT197" s="64">
        <f>(BT26/$ET$15)*BT91</f>
        <v>0</v>
      </c>
      <c r="BU197" s="64">
        <f>(BU26/$ET$15)*BU91</f>
        <v>0</v>
      </c>
      <c r="BV197" s="64">
        <f>(BV26/$ET$15)*BV91</f>
        <v>0</v>
      </c>
      <c r="BW197" s="64">
        <f>(BW26/$ET$15)*BW91</f>
        <v>0</v>
      </c>
      <c r="BX197" s="64">
        <f>(BX26/$ET$15)*BX91</f>
        <v>0</v>
      </c>
      <c r="BY197" s="64">
        <f>(BY26/$ET$15)*BY91</f>
        <v>0</v>
      </c>
      <c r="BZ197" s="64">
        <f>(BZ26/$ET$15)*BZ91</f>
        <v>0</v>
      </c>
      <c r="CA197" s="64">
        <f>(CA26/$ET$15)*CA91</f>
        <v>0</v>
      </c>
      <c r="CB197" s="64">
        <f>(CB26/$ET$15)*CB91</f>
        <v>0</v>
      </c>
      <c r="CC197" s="64">
        <f>(CC26/$ET$15)*CC91</f>
        <v>0</v>
      </c>
      <c r="CD197" s="64">
        <f>(CD26/$ET$15)*CD91</f>
        <v>0</v>
      </c>
      <c r="CE197" s="64">
        <f>(CE26/$ET$15)*CE91</f>
        <v>0</v>
      </c>
      <c r="CF197" s="64">
        <f>(CF26/$ET$15)*CF91</f>
        <v>0</v>
      </c>
      <c r="CG197" s="64">
        <f>(CG26/$ET$15)*CG91</f>
        <v>0</v>
      </c>
      <c r="CH197" s="64">
        <f>(CH26/$ET$15)*CH91</f>
        <v>0</v>
      </c>
      <c r="CI197" s="64">
        <f>(CI26/$ET$15)*CI91</f>
        <v>0</v>
      </c>
      <c r="CJ197" s="64">
        <f>(CJ26/$ET$15)*CJ91</f>
        <v>0</v>
      </c>
      <c r="CK197" s="64">
        <f>(CK26/$ET$15)*CK91</f>
        <v>0</v>
      </c>
      <c r="CL197" s="64">
        <f>(CL26/$ET$15)*CL91</f>
        <v>0</v>
      </c>
      <c r="CM197" s="64">
        <f>(CM26/$ET$15)*CM91</f>
        <v>0</v>
      </c>
      <c r="CN197" s="64">
        <f>(CN26/$ET$15)*CN91</f>
        <v>0</v>
      </c>
      <c r="CO197" s="64">
        <f>(CO26/$ET$15)*CO91</f>
        <v>0</v>
      </c>
      <c r="CP197" s="64">
        <f>(CP26/$ET$15)*CP91</f>
        <v>0</v>
      </c>
      <c r="CQ197" s="64">
        <f>(CQ26/$ET$15)*CQ91</f>
        <v>0</v>
      </c>
      <c r="CR197" s="64">
        <f>(CR26/$ET$15)*CR91</f>
        <v>0</v>
      </c>
      <c r="CS197" s="64">
        <f>(CS26/$ET$15)*CS91</f>
        <v>0</v>
      </c>
      <c r="CT197" s="64">
        <f>(CT26/$ET$15)*CT91</f>
        <v>0</v>
      </c>
      <c r="CU197" s="64">
        <f>(CU26/$ET$15)*CU91</f>
        <v>0</v>
      </c>
      <c r="CV197" s="64">
        <f>(CV26/$ET$15)*CV91</f>
        <v>0</v>
      </c>
      <c r="CW197" s="64">
        <f>(CW26/$ET$15)*CW91</f>
        <v>0</v>
      </c>
      <c r="CX197" s="64">
        <f>(CX26/$ET$15)*CX91</f>
        <v>0</v>
      </c>
      <c r="CY197" s="64">
        <f>(CY26/$ET$15)*CY91</f>
        <v>0</v>
      </c>
      <c r="CZ197" s="64">
        <f>(CZ26/$ET$15)*CZ91</f>
        <v>0</v>
      </c>
      <c r="DA197" s="64">
        <f>(DA26/$ET$15)*DA91</f>
        <v>0</v>
      </c>
      <c r="DB197" s="64">
        <f>(DB26/$ET$15)*DB91</f>
        <v>0</v>
      </c>
      <c r="DC197" s="64">
        <f>(DC26/$ET$15)*DC91</f>
        <v>0</v>
      </c>
      <c r="DD197" s="64">
        <f>(DD26/$ET$15)*DD91</f>
        <v>0</v>
      </c>
      <c r="DE197" s="64">
        <f>(DE26/$ET$15)*DE91</f>
        <v>0</v>
      </c>
      <c r="DF197" s="64">
        <f>(DF26/$ET$15)*DF91</f>
        <v>0</v>
      </c>
      <c r="DG197" s="64">
        <f>(DG26/$ET$15)*DG91</f>
        <v>0</v>
      </c>
      <c r="DH197" s="64">
        <f>(DH26/$ET$15)*DH91</f>
        <v>0</v>
      </c>
      <c r="DI197" s="64">
        <f>(DI26/$ET$15)*DI91</f>
        <v>0</v>
      </c>
      <c r="DJ197" s="64">
        <f>(DJ26/$ET$15)*DJ91</f>
        <v>0</v>
      </c>
      <c r="DK197" s="64">
        <f>(DK26/$ET$15)*DK91</f>
        <v>0</v>
      </c>
      <c r="DL197" s="64">
        <f>(DL26/$ET$15)*DL91</f>
        <v>0</v>
      </c>
      <c r="DM197" s="64">
        <f>(DM26/$ET$15)*DM91</f>
        <v>0</v>
      </c>
      <c r="DN197" s="64">
        <f>(DN26/$ET$15)*DN91</f>
        <v>0</v>
      </c>
      <c r="DO197" s="64">
        <f>(DO26/$ET$15)*DO91</f>
        <v>0</v>
      </c>
      <c r="DP197" s="64">
        <f>(DP26/$ET$15)*DP91</f>
        <v>0</v>
      </c>
      <c r="DQ197" s="64">
        <f>(DQ26/$ET$15)*DQ91</f>
        <v>0</v>
      </c>
      <c r="DR197" s="64">
        <f>(DR26/$ET$15)*DR91</f>
        <v>0</v>
      </c>
      <c r="DS197" s="64">
        <f>(DS26/$ET$15)*DS91</f>
        <v>0</v>
      </c>
      <c r="DT197" s="64">
        <f>(DT26/$ET$15)*DT91</f>
        <v>0</v>
      </c>
      <c r="DU197" s="64">
        <f>(DU26/$ET$15)*DU91</f>
        <v>0</v>
      </c>
      <c r="DV197" s="64">
        <f>(DV26/$ET$15)*DV91</f>
        <v>0</v>
      </c>
      <c r="DW197" s="64">
        <f>(DW26/$ET$15)*DW91</f>
        <v>0</v>
      </c>
      <c r="DX197" s="64">
        <f>(DX26/$ET$15)*DX91</f>
        <v>0</v>
      </c>
      <c r="DY197" s="64">
        <f>(DY26/$ET$15)*DY91</f>
        <v>0</v>
      </c>
      <c r="DZ197" s="64">
        <f>(DZ26/$ET$15)*DZ91</f>
        <v>0</v>
      </c>
      <c r="EA197" s="64">
        <f>(EA26/$ET$15)*EA91</f>
        <v>0</v>
      </c>
      <c r="EB197" s="64">
        <f>(EB26/$ET$15)*EB91</f>
        <v>0</v>
      </c>
      <c r="EC197" s="64">
        <f>(EC26/$ET$15)*EC91</f>
        <v>0</v>
      </c>
      <c r="ED197" s="64">
        <f>(ED26/$ET$15)*ED91</f>
        <v>0</v>
      </c>
      <c r="EE197" s="64">
        <f>(EE26/$ET$15)*EE91</f>
        <v>0</v>
      </c>
      <c r="EF197" s="64">
        <f>(EF26/$ET$15)*EF91</f>
        <v>0</v>
      </c>
      <c r="EG197" s="64">
        <f>(EG26/$ET$15)*EG91</f>
        <v>0</v>
      </c>
      <c r="EH197" s="64">
        <f>(EH26/$ET$15)*EH91</f>
        <v>0</v>
      </c>
      <c r="EI197" s="64">
        <f>(EI26/$ET$15)*EI91</f>
        <v>0</v>
      </c>
      <c r="EJ197" s="64">
        <f>(EJ26/$ET$15)*EJ91</f>
        <v>0</v>
      </c>
      <c r="EK197" s="64">
        <f>(EK26/$ET$15)*EK91</f>
        <v>0</v>
      </c>
      <c r="EL197" s="64">
        <f>(EL26/$ET$15)*EL91</f>
        <v>0</v>
      </c>
      <c r="EM197" s="64">
        <f>(EM26/$ET$15)*EM91</f>
        <v>0</v>
      </c>
      <c r="EN197" s="64">
        <f>(EN26/$ET$15)*EN91</f>
        <v>0</v>
      </c>
      <c r="EO197" s="64">
        <f>(EO26/$ET$15)*EO91</f>
        <v>0</v>
      </c>
      <c r="EP197" s="64">
        <f>(EP26/$ET$15)*EP91</f>
        <v>0</v>
      </c>
      <c r="EQ197" s="64">
        <f>(EQ26/$ET$15)*EQ91</f>
        <v>0</v>
      </c>
      <c r="ER197" s="64">
        <f>(ER26/$ET$15)*ER91</f>
        <v>0</v>
      </c>
      <c r="ES197" s="64">
        <f>(ES26/$ET$15)*ES91</f>
        <v>0</v>
      </c>
    </row>
    <row r="198" spans="1:149" x14ac:dyDescent="0.3">
      <c r="A198" s="37" t="s">
        <v>17</v>
      </c>
      <c r="B198" s="64">
        <f>(B27/$ET$15)*B92</f>
        <v>0</v>
      </c>
      <c r="C198" s="64">
        <f>(C27/$ET$15)*C92</f>
        <v>0</v>
      </c>
      <c r="D198" s="64">
        <f>(D27/$ET$15)*D92</f>
        <v>0</v>
      </c>
      <c r="E198" s="64">
        <f>(E27/$ET$15)*E92</f>
        <v>0</v>
      </c>
      <c r="F198" s="64">
        <f>(F27/$ET$15)*F92</f>
        <v>0</v>
      </c>
      <c r="G198" s="64">
        <f>(G27/$ET$15)*G92</f>
        <v>0</v>
      </c>
      <c r="H198" s="64">
        <f>(H27/$ET$15)*H92</f>
        <v>0</v>
      </c>
      <c r="I198" s="64">
        <f>(I27/$ET$15)*I92</f>
        <v>0</v>
      </c>
      <c r="J198" s="64">
        <f>(J27/$ET$15)*J92</f>
        <v>0</v>
      </c>
      <c r="K198" s="64">
        <f>(K27/$ET$15)*K92</f>
        <v>0</v>
      </c>
      <c r="L198" s="64">
        <f>(L27/$ET$15)*L92</f>
        <v>0</v>
      </c>
      <c r="M198" s="64">
        <f>(M27/$ET$15)*M92</f>
        <v>0</v>
      </c>
      <c r="N198" s="64">
        <f>(N27/$ET$15)*N92</f>
        <v>0</v>
      </c>
      <c r="O198" s="64">
        <f>(O27/$ET$15)*O92</f>
        <v>0</v>
      </c>
      <c r="P198" s="64">
        <f>(P27/$ET$15)*P92</f>
        <v>0</v>
      </c>
      <c r="Q198" s="64">
        <f>(Q27/$ET$15)*Q92</f>
        <v>0</v>
      </c>
      <c r="R198" s="64">
        <f>(R27/$ET$15)*R92</f>
        <v>0</v>
      </c>
      <c r="S198" s="64">
        <f>(S27/$ET$15)*S92</f>
        <v>0</v>
      </c>
      <c r="T198" s="64">
        <f>(T27/$ET$15)*T92</f>
        <v>0</v>
      </c>
      <c r="U198" s="64">
        <f>(U27/$ET$15)*U92</f>
        <v>0</v>
      </c>
      <c r="V198" s="64">
        <f>(V27/$ET$15)*V92</f>
        <v>0</v>
      </c>
      <c r="W198" s="64">
        <f>(W27/$ET$15)*W92</f>
        <v>0</v>
      </c>
      <c r="X198" s="64">
        <f>(X27/$ET$15)*X92</f>
        <v>0</v>
      </c>
      <c r="Y198" s="64">
        <f>(Y27/$ET$15)*Y92</f>
        <v>0</v>
      </c>
      <c r="Z198" s="64">
        <f>(Z27/$ET$15)*Z92</f>
        <v>0</v>
      </c>
      <c r="AA198" s="64">
        <f>(AA27/$ET$15)*AA92</f>
        <v>0</v>
      </c>
      <c r="AB198" s="64">
        <f>(AB27/$ET$15)*AB92</f>
        <v>0</v>
      </c>
      <c r="AC198" s="64">
        <f>(AC27/$ET$15)*AC92</f>
        <v>0</v>
      </c>
      <c r="AD198" s="64">
        <f>(AD27/$ET$15)*AD92</f>
        <v>0</v>
      </c>
      <c r="AE198" s="64">
        <f>(AE27/$ET$15)*AE92</f>
        <v>0</v>
      </c>
      <c r="AF198" s="64">
        <f>(AF27/$ET$15)*AF92</f>
        <v>0</v>
      </c>
      <c r="AG198" s="64">
        <f>(AG27/$ET$15)*AG92</f>
        <v>0</v>
      </c>
      <c r="AH198" s="64">
        <f>(AH27/$ET$15)*AH92</f>
        <v>0</v>
      </c>
      <c r="AI198" s="64">
        <f>(AI27/$ET$15)*AI92</f>
        <v>0</v>
      </c>
      <c r="AJ198" s="64">
        <f>(AJ27/$ET$15)*AJ92</f>
        <v>0</v>
      </c>
      <c r="AK198" s="64">
        <f>(AK27/$ET$15)*AK92</f>
        <v>0</v>
      </c>
      <c r="AL198" s="64">
        <f>(AL27/$ET$15)*AL92</f>
        <v>0</v>
      </c>
      <c r="AM198" s="64">
        <f>(AM27/$ET$15)*AM92</f>
        <v>0</v>
      </c>
      <c r="AN198" s="64">
        <f>(AN27/$ET$15)*AN92</f>
        <v>0</v>
      </c>
      <c r="AO198" s="64">
        <f>(AO27/$ET$15)*AO92</f>
        <v>0</v>
      </c>
      <c r="AP198" s="64">
        <f>(AP27/$ET$15)*AP92</f>
        <v>0</v>
      </c>
      <c r="AQ198" s="64">
        <f>(AQ27/$ET$15)*AQ92</f>
        <v>0</v>
      </c>
      <c r="AR198" s="64">
        <f>(AR27/$ET$15)*AR92</f>
        <v>0</v>
      </c>
      <c r="AS198" s="64">
        <f>(AS27/$ET$15)*AS92</f>
        <v>0</v>
      </c>
      <c r="AT198" s="64">
        <f>(AT27/$ET$15)*AT92</f>
        <v>0</v>
      </c>
      <c r="AU198" s="64">
        <f>(AU27/$ET$15)*AU92</f>
        <v>0</v>
      </c>
      <c r="AV198" s="64">
        <f>(AV27/$ET$15)*AV92</f>
        <v>0</v>
      </c>
      <c r="AW198" s="64">
        <f>(AW27/$ET$15)*AW92</f>
        <v>0</v>
      </c>
      <c r="AX198" s="64">
        <f>(AX27/$ET$15)*AX92</f>
        <v>0</v>
      </c>
      <c r="AY198" s="64">
        <f>(AY27/$ET$15)*AY92</f>
        <v>0</v>
      </c>
      <c r="AZ198" s="64">
        <f>(AZ27/$ET$15)*AZ92</f>
        <v>0</v>
      </c>
      <c r="BA198" s="64">
        <f>(BA27/$ET$15)*BA92</f>
        <v>0</v>
      </c>
      <c r="BB198" s="64">
        <f>(BB27/$ET$15)*BB92</f>
        <v>0</v>
      </c>
      <c r="BC198" s="64">
        <f>(BC27/$ET$15)*BC92</f>
        <v>0</v>
      </c>
      <c r="BD198" s="64">
        <f>(BD27/$ET$15)*BD92</f>
        <v>0</v>
      </c>
      <c r="BE198" s="64">
        <f>(BE27/$ET$15)*BE92</f>
        <v>0</v>
      </c>
      <c r="BF198" s="64">
        <f>(BF27/$ET$15)*BF92</f>
        <v>0</v>
      </c>
      <c r="BG198" s="64">
        <f>(BG27/$ET$15)*BG92</f>
        <v>0</v>
      </c>
      <c r="BH198" s="64">
        <f>(BH27/$ET$15)*BH92</f>
        <v>0</v>
      </c>
      <c r="BI198" s="64">
        <f>(BI27/$ET$15)*BI92</f>
        <v>0</v>
      </c>
      <c r="BJ198" s="64">
        <f>(BJ27/$ET$15)*BJ92</f>
        <v>0</v>
      </c>
      <c r="BK198" s="64">
        <f>(BK27/$ET$15)*BK92</f>
        <v>0</v>
      </c>
      <c r="BL198" s="64">
        <f>(BL27/$ET$15)*BL92</f>
        <v>0</v>
      </c>
      <c r="BM198" s="64">
        <f>(BM27/$ET$15)*BM92</f>
        <v>0</v>
      </c>
      <c r="BN198" s="64">
        <f>(BN27/$ET$15)*BN92</f>
        <v>0</v>
      </c>
      <c r="BO198" s="64">
        <f>(BO27/$ET$15)*BO92</f>
        <v>0</v>
      </c>
      <c r="BP198" s="64">
        <f>(BP27/$ET$15)*BP92</f>
        <v>0</v>
      </c>
      <c r="BQ198" s="64">
        <f>(BQ27/$ET$15)*BQ92</f>
        <v>0</v>
      </c>
      <c r="BR198" s="64">
        <f>(BR27/$ET$15)*BR92</f>
        <v>0</v>
      </c>
      <c r="BS198" s="64">
        <f>(BS27/$ET$15)*BS92</f>
        <v>0</v>
      </c>
      <c r="BT198" s="64">
        <f>(BT27/$ET$15)*BT92</f>
        <v>0</v>
      </c>
      <c r="BU198" s="64">
        <f>(BU27/$ET$15)*BU92</f>
        <v>0</v>
      </c>
      <c r="BV198" s="64">
        <f>(BV27/$ET$15)*BV92</f>
        <v>0</v>
      </c>
      <c r="BW198" s="64">
        <f>(BW27/$ET$15)*BW92</f>
        <v>0</v>
      </c>
      <c r="BX198" s="64">
        <f>(BX27/$ET$15)*BX92</f>
        <v>0</v>
      </c>
      <c r="BY198" s="64">
        <f>(BY27/$ET$15)*BY92</f>
        <v>0</v>
      </c>
      <c r="BZ198" s="64">
        <f>(BZ27/$ET$15)*BZ92</f>
        <v>0</v>
      </c>
      <c r="CA198" s="64">
        <f>(CA27/$ET$15)*CA92</f>
        <v>0</v>
      </c>
      <c r="CB198" s="64">
        <f>(CB27/$ET$15)*CB92</f>
        <v>0</v>
      </c>
      <c r="CC198" s="64">
        <f>(CC27/$ET$15)*CC92</f>
        <v>0</v>
      </c>
      <c r="CD198" s="64">
        <f>(CD27/$ET$15)*CD92</f>
        <v>0</v>
      </c>
      <c r="CE198" s="64">
        <f>(CE27/$ET$15)*CE92</f>
        <v>0</v>
      </c>
      <c r="CF198" s="64">
        <f>(CF27/$ET$15)*CF92</f>
        <v>0</v>
      </c>
      <c r="CG198" s="64">
        <f>(CG27/$ET$15)*CG92</f>
        <v>0</v>
      </c>
      <c r="CH198" s="64">
        <f>(CH27/$ET$15)*CH92</f>
        <v>0</v>
      </c>
      <c r="CI198" s="64">
        <f>(CI27/$ET$15)*CI92</f>
        <v>0</v>
      </c>
      <c r="CJ198" s="64">
        <f>(CJ27/$ET$15)*CJ92</f>
        <v>0</v>
      </c>
      <c r="CK198" s="64">
        <f>(CK27/$ET$15)*CK92</f>
        <v>0</v>
      </c>
      <c r="CL198" s="64">
        <f>(CL27/$ET$15)*CL92</f>
        <v>0</v>
      </c>
      <c r="CM198" s="64">
        <f>(CM27/$ET$15)*CM92</f>
        <v>0</v>
      </c>
      <c r="CN198" s="64">
        <f>(CN27/$ET$15)*CN92</f>
        <v>0</v>
      </c>
      <c r="CO198" s="64">
        <f>(CO27/$ET$15)*CO92</f>
        <v>0</v>
      </c>
      <c r="CP198" s="64">
        <f>(CP27/$ET$15)*CP92</f>
        <v>0</v>
      </c>
      <c r="CQ198" s="64">
        <f>(CQ27/$ET$15)*CQ92</f>
        <v>0</v>
      </c>
      <c r="CR198" s="64">
        <f>(CR27/$ET$15)*CR92</f>
        <v>0</v>
      </c>
      <c r="CS198" s="64">
        <f>(CS27/$ET$15)*CS92</f>
        <v>0</v>
      </c>
      <c r="CT198" s="64">
        <f>(CT27/$ET$15)*CT92</f>
        <v>0</v>
      </c>
      <c r="CU198" s="64">
        <f>(CU27/$ET$15)*CU92</f>
        <v>0</v>
      </c>
      <c r="CV198" s="64">
        <f>(CV27/$ET$15)*CV92</f>
        <v>0</v>
      </c>
      <c r="CW198" s="64">
        <f>(CW27/$ET$15)*CW92</f>
        <v>0</v>
      </c>
      <c r="CX198" s="64">
        <f>(CX27/$ET$15)*CX92</f>
        <v>0</v>
      </c>
      <c r="CY198" s="64">
        <f>(CY27/$ET$15)*CY92</f>
        <v>0</v>
      </c>
      <c r="CZ198" s="64">
        <f>(CZ27/$ET$15)*CZ92</f>
        <v>0</v>
      </c>
      <c r="DA198" s="64">
        <f>(DA27/$ET$15)*DA92</f>
        <v>0</v>
      </c>
      <c r="DB198" s="64">
        <f>(DB27/$ET$15)*DB92</f>
        <v>0</v>
      </c>
      <c r="DC198" s="64">
        <f>(DC27/$ET$15)*DC92</f>
        <v>0</v>
      </c>
      <c r="DD198" s="64">
        <f>(DD27/$ET$15)*DD92</f>
        <v>0</v>
      </c>
      <c r="DE198" s="64">
        <f>(DE27/$ET$15)*DE92</f>
        <v>0</v>
      </c>
      <c r="DF198" s="64">
        <f>(DF27/$ET$15)*DF92</f>
        <v>0</v>
      </c>
      <c r="DG198" s="64">
        <f>(DG27/$ET$15)*DG92</f>
        <v>0</v>
      </c>
      <c r="DH198" s="64">
        <f>(DH27/$ET$15)*DH92</f>
        <v>0</v>
      </c>
      <c r="DI198" s="64">
        <f>(DI27/$ET$15)*DI92</f>
        <v>0</v>
      </c>
      <c r="DJ198" s="64">
        <f>(DJ27/$ET$15)*DJ92</f>
        <v>0</v>
      </c>
      <c r="DK198" s="64">
        <f>(DK27/$ET$15)*DK92</f>
        <v>0</v>
      </c>
      <c r="DL198" s="64">
        <f>(DL27/$ET$15)*DL92</f>
        <v>0</v>
      </c>
      <c r="DM198" s="64">
        <f>(DM27/$ET$15)*DM92</f>
        <v>0</v>
      </c>
      <c r="DN198" s="64">
        <f>(DN27/$ET$15)*DN92</f>
        <v>0</v>
      </c>
      <c r="DO198" s="64">
        <f>(DO27/$ET$15)*DO92</f>
        <v>0</v>
      </c>
      <c r="DP198" s="64">
        <f>(DP27/$ET$15)*DP92</f>
        <v>0</v>
      </c>
      <c r="DQ198" s="64">
        <f>(DQ27/$ET$15)*DQ92</f>
        <v>0</v>
      </c>
      <c r="DR198" s="64">
        <f>(DR27/$ET$15)*DR92</f>
        <v>0</v>
      </c>
      <c r="DS198" s="64">
        <f>(DS27/$ET$15)*DS92</f>
        <v>0</v>
      </c>
      <c r="DT198" s="64">
        <f>(DT27/$ET$15)*DT92</f>
        <v>0</v>
      </c>
      <c r="DU198" s="64">
        <f>(DU27/$ET$15)*DU92</f>
        <v>0</v>
      </c>
      <c r="DV198" s="64">
        <f>(DV27/$ET$15)*DV92</f>
        <v>0</v>
      </c>
      <c r="DW198" s="64">
        <f>(DW27/$ET$15)*DW92</f>
        <v>0</v>
      </c>
      <c r="DX198" s="64">
        <f>(DX27/$ET$15)*DX92</f>
        <v>0</v>
      </c>
      <c r="DY198" s="64">
        <f>(DY27/$ET$15)*DY92</f>
        <v>0</v>
      </c>
      <c r="DZ198" s="64">
        <f>(DZ27/$ET$15)*DZ92</f>
        <v>0</v>
      </c>
      <c r="EA198" s="64">
        <f>(EA27/$ET$15)*EA92</f>
        <v>0</v>
      </c>
      <c r="EB198" s="64">
        <f>(EB27/$ET$15)*EB92</f>
        <v>0</v>
      </c>
      <c r="EC198" s="64">
        <f>(EC27/$ET$15)*EC92</f>
        <v>0</v>
      </c>
      <c r="ED198" s="64">
        <f>(ED27/$ET$15)*ED92</f>
        <v>0</v>
      </c>
      <c r="EE198" s="64">
        <f>(EE27/$ET$15)*EE92</f>
        <v>0</v>
      </c>
      <c r="EF198" s="64">
        <f>(EF27/$ET$15)*EF92</f>
        <v>0</v>
      </c>
      <c r="EG198" s="64">
        <f>(EG27/$ET$15)*EG92</f>
        <v>0</v>
      </c>
      <c r="EH198" s="64">
        <f>(EH27/$ET$15)*EH92</f>
        <v>0</v>
      </c>
      <c r="EI198" s="64">
        <f>(EI27/$ET$15)*EI92</f>
        <v>0</v>
      </c>
      <c r="EJ198" s="64">
        <f>(EJ27/$ET$15)*EJ92</f>
        <v>0</v>
      </c>
      <c r="EK198" s="64">
        <f>(EK27/$ET$15)*EK92</f>
        <v>0</v>
      </c>
      <c r="EL198" s="64">
        <f>(EL27/$ET$15)*EL92</f>
        <v>0</v>
      </c>
      <c r="EM198" s="64">
        <f>(EM27/$ET$15)*EM92</f>
        <v>0</v>
      </c>
      <c r="EN198" s="64">
        <f>(EN27/$ET$15)*EN92</f>
        <v>0</v>
      </c>
      <c r="EO198" s="64">
        <f>(EO27/$ET$15)*EO92</f>
        <v>0</v>
      </c>
      <c r="EP198" s="64">
        <f>(EP27/$ET$15)*EP92</f>
        <v>0</v>
      </c>
      <c r="EQ198" s="64">
        <f>(EQ27/$ET$15)*EQ92</f>
        <v>0</v>
      </c>
      <c r="ER198" s="64">
        <f>(ER27/$ET$15)*ER92</f>
        <v>0</v>
      </c>
      <c r="ES198" s="64">
        <f>(ES27/$ET$15)*ES92</f>
        <v>0</v>
      </c>
    </row>
    <row r="199" spans="1:149" x14ac:dyDescent="0.3">
      <c r="A199" s="37" t="s">
        <v>29</v>
      </c>
      <c r="B199" s="64">
        <f>(B28/$ET$15)*B93</f>
        <v>0</v>
      </c>
      <c r="C199" s="64">
        <f>(C28/$ET$15)*C93</f>
        <v>0</v>
      </c>
      <c r="D199" s="64">
        <f>(D28/$ET$15)*D93</f>
        <v>0</v>
      </c>
      <c r="E199" s="64">
        <f>(E28/$ET$15)*E93</f>
        <v>0</v>
      </c>
      <c r="F199" s="64">
        <f>(F28/$ET$15)*F93</f>
        <v>0</v>
      </c>
      <c r="G199" s="64">
        <f>(G28/$ET$15)*G93</f>
        <v>0</v>
      </c>
      <c r="H199" s="64">
        <f>(H28/$ET$15)*H93</f>
        <v>0</v>
      </c>
      <c r="I199" s="64">
        <f>(I28/$ET$15)*I93</f>
        <v>0</v>
      </c>
      <c r="J199" s="64">
        <f>(J28/$ET$15)*J93</f>
        <v>0</v>
      </c>
      <c r="K199" s="64">
        <f>(K28/$ET$15)*K93</f>
        <v>0</v>
      </c>
      <c r="L199" s="64">
        <f>(L28/$ET$15)*L93</f>
        <v>0</v>
      </c>
      <c r="M199" s="64">
        <f>(M28/$ET$15)*M93</f>
        <v>0</v>
      </c>
      <c r="N199" s="64">
        <f>(N28/$ET$15)*N93</f>
        <v>0</v>
      </c>
      <c r="O199" s="64">
        <f>(O28/$ET$15)*O93</f>
        <v>0</v>
      </c>
      <c r="P199" s="64">
        <f>(P28/$ET$15)*P93</f>
        <v>0</v>
      </c>
      <c r="Q199" s="64">
        <f>(Q28/$ET$15)*Q93</f>
        <v>0.91887246476452389</v>
      </c>
      <c r="R199" s="64">
        <f>(R28/$ET$15)*R93</f>
        <v>0</v>
      </c>
      <c r="S199" s="64">
        <f>(S28/$ET$15)*S93</f>
        <v>0</v>
      </c>
      <c r="T199" s="64">
        <f>(T28/$ET$15)*T93</f>
        <v>0</v>
      </c>
      <c r="U199" s="64">
        <f>(U28/$ET$15)*U93</f>
        <v>0</v>
      </c>
      <c r="V199" s="64">
        <f>(V28/$ET$15)*V93</f>
        <v>0</v>
      </c>
      <c r="W199" s="64">
        <f>(W28/$ET$15)*W93</f>
        <v>0</v>
      </c>
      <c r="X199" s="64">
        <f>(X28/$ET$15)*X93</f>
        <v>0</v>
      </c>
      <c r="Y199" s="64">
        <f>(Y28/$ET$15)*Y93</f>
        <v>0</v>
      </c>
      <c r="Z199" s="64">
        <f>(Z28/$ET$15)*Z93</f>
        <v>0</v>
      </c>
      <c r="AA199" s="64">
        <f>(AA28/$ET$15)*AA93</f>
        <v>0</v>
      </c>
      <c r="AB199" s="64">
        <f>(AB28/$ET$15)*AB93</f>
        <v>0.77139910622206942</v>
      </c>
      <c r="AC199" s="64">
        <f>(AC28/$ET$15)*AC93</f>
        <v>0</v>
      </c>
      <c r="AD199" s="64">
        <f>(AD28/$ET$15)*AD93</f>
        <v>0</v>
      </c>
      <c r="AE199" s="64">
        <f>(AE28/$ET$15)*AE93</f>
        <v>0</v>
      </c>
      <c r="AF199" s="64">
        <f>(AF28/$ET$15)*AF93</f>
        <v>0</v>
      </c>
      <c r="AG199" s="64">
        <f>(AG28/$ET$15)*AG93</f>
        <v>0</v>
      </c>
      <c r="AH199" s="64">
        <f>(AH28/$ET$15)*AH93</f>
        <v>0</v>
      </c>
      <c r="AI199" s="64">
        <f>(AI28/$ET$15)*AI93</f>
        <v>0</v>
      </c>
      <c r="AJ199" s="64">
        <f>(AJ28/$ET$15)*AJ93</f>
        <v>0</v>
      </c>
      <c r="AK199" s="64">
        <f>(AK28/$ET$15)*AK93</f>
        <v>0</v>
      </c>
      <c r="AL199" s="64">
        <f>(AL28/$ET$15)*AL93</f>
        <v>0</v>
      </c>
      <c r="AM199" s="64">
        <f>(AM28/$ET$15)*AM93</f>
        <v>0</v>
      </c>
      <c r="AN199" s="64">
        <f>(AN28/$ET$15)*AN93</f>
        <v>0</v>
      </c>
      <c r="AO199" s="64">
        <f>(AO28/$ET$15)*AO93</f>
        <v>0</v>
      </c>
      <c r="AP199" s="64">
        <f>(AP28/$ET$15)*AP93</f>
        <v>0</v>
      </c>
      <c r="AQ199" s="64">
        <f>(AQ28/$ET$15)*AQ93</f>
        <v>0</v>
      </c>
      <c r="AR199" s="64">
        <f>(AR28/$ET$15)*AR93</f>
        <v>0</v>
      </c>
      <c r="AS199" s="64">
        <f>(AS28/$ET$15)*AS93</f>
        <v>0</v>
      </c>
      <c r="AT199" s="64">
        <f>(AT28/$ET$15)*AT93</f>
        <v>0</v>
      </c>
      <c r="AU199" s="64">
        <f>(AU28/$ET$15)*AU93</f>
        <v>0</v>
      </c>
      <c r="AV199" s="64">
        <f>(AV28/$ET$15)*AV93</f>
        <v>0</v>
      </c>
      <c r="AW199" s="64">
        <f>(AW28/$ET$15)*AW93</f>
        <v>0</v>
      </c>
      <c r="AX199" s="64">
        <f>(AX28/$ET$15)*AX93</f>
        <v>0</v>
      </c>
      <c r="AY199" s="64">
        <f>(AY28/$ET$15)*AY93</f>
        <v>0</v>
      </c>
      <c r="AZ199" s="64">
        <f>(AZ28/$ET$15)*AZ93</f>
        <v>0</v>
      </c>
      <c r="BA199" s="64">
        <f>(BA28/$ET$15)*BA93</f>
        <v>0</v>
      </c>
      <c r="BB199" s="64">
        <f>(BB28/$ET$15)*BB93</f>
        <v>0</v>
      </c>
      <c r="BC199" s="64">
        <f>(BC28/$ET$15)*BC93</f>
        <v>0</v>
      </c>
      <c r="BD199" s="64">
        <f>(BD28/$ET$15)*BD93</f>
        <v>0</v>
      </c>
      <c r="BE199" s="64">
        <f>(BE28/$ET$15)*BE93</f>
        <v>0.29219663114472327</v>
      </c>
      <c r="BF199" s="64">
        <f>(BF28/$ET$15)*BF93</f>
        <v>0</v>
      </c>
      <c r="BG199" s="64">
        <f>(BG28/$ET$15)*BG93</f>
        <v>0</v>
      </c>
      <c r="BH199" s="64">
        <f>(BH28/$ET$15)*BH93</f>
        <v>0</v>
      </c>
      <c r="BI199" s="64">
        <f>(BI28/$ET$15)*BI93</f>
        <v>0</v>
      </c>
      <c r="BJ199" s="64">
        <f>(BJ28/$ET$15)*BJ93</f>
        <v>0</v>
      </c>
      <c r="BK199" s="64">
        <f>(BK28/$ET$15)*BK93</f>
        <v>0</v>
      </c>
      <c r="BL199" s="64">
        <f>(BL28/$ET$15)*BL93</f>
        <v>0</v>
      </c>
      <c r="BM199" s="64">
        <f>(BM28/$ET$15)*BM93</f>
        <v>0</v>
      </c>
      <c r="BN199" s="64">
        <f>(BN28/$ET$15)*BN93</f>
        <v>0</v>
      </c>
      <c r="BO199" s="64">
        <f>(BO28/$ET$15)*BO93</f>
        <v>0</v>
      </c>
      <c r="BP199" s="64">
        <f>(BP28/$ET$15)*BP93</f>
        <v>0</v>
      </c>
      <c r="BQ199" s="64">
        <f>(BQ28/$ET$15)*BQ93</f>
        <v>0</v>
      </c>
      <c r="BR199" s="64">
        <f>(BR28/$ET$15)*BR93</f>
        <v>0</v>
      </c>
      <c r="BS199" s="64">
        <f>(BS28/$ET$15)*BS93</f>
        <v>0</v>
      </c>
      <c r="BT199" s="64">
        <f>(BT28/$ET$15)*BT93</f>
        <v>0</v>
      </c>
      <c r="BU199" s="64">
        <f>(BU28/$ET$15)*BU93</f>
        <v>0</v>
      </c>
      <c r="BV199" s="64">
        <f>(BV28/$ET$15)*BV93</f>
        <v>0</v>
      </c>
      <c r="BW199" s="64">
        <f>(BW28/$ET$15)*BW93</f>
        <v>0.94671708490890349</v>
      </c>
      <c r="BX199" s="64">
        <f>(BX28/$ET$15)*BX93</f>
        <v>0</v>
      </c>
      <c r="BY199" s="64">
        <f>(BY28/$ET$15)*BY93</f>
        <v>0</v>
      </c>
      <c r="BZ199" s="64">
        <f>(BZ28/$ET$15)*BZ93</f>
        <v>0</v>
      </c>
      <c r="CA199" s="64">
        <f>(CA28/$ET$15)*CA93</f>
        <v>0</v>
      </c>
      <c r="CB199" s="64">
        <f>(CB28/$ET$15)*CB93</f>
        <v>0</v>
      </c>
      <c r="CC199" s="64">
        <f>(CC28/$ET$15)*CC93</f>
        <v>0</v>
      </c>
      <c r="CD199" s="64">
        <f>(CD28/$ET$15)*CD93</f>
        <v>0</v>
      </c>
      <c r="CE199" s="64">
        <f>(CE28/$ET$15)*CE93</f>
        <v>0</v>
      </c>
      <c r="CF199" s="64">
        <f>(CF28/$ET$15)*CF93</f>
        <v>0</v>
      </c>
      <c r="CG199" s="64">
        <f>(CG28/$ET$15)*CG93</f>
        <v>0</v>
      </c>
      <c r="CH199" s="64">
        <f>(CH28/$ET$15)*CH93</f>
        <v>0</v>
      </c>
      <c r="CI199" s="64">
        <f>(CI28/$ET$15)*CI93</f>
        <v>0</v>
      </c>
      <c r="CJ199" s="64">
        <f>(CJ28/$ET$15)*CJ93</f>
        <v>0</v>
      </c>
      <c r="CK199" s="64">
        <f>(CK28/$ET$15)*CK93</f>
        <v>0</v>
      </c>
      <c r="CL199" s="64">
        <f>(CL28/$ET$15)*CL93</f>
        <v>0</v>
      </c>
      <c r="CM199" s="64">
        <f>(CM28/$ET$15)*CM93</f>
        <v>0</v>
      </c>
      <c r="CN199" s="64">
        <f>(CN28/$ET$15)*CN93</f>
        <v>0</v>
      </c>
      <c r="CO199" s="64">
        <f>(CO28/$ET$15)*CO93</f>
        <v>0</v>
      </c>
      <c r="CP199" s="64">
        <f>(CP28/$ET$15)*CP93</f>
        <v>0</v>
      </c>
      <c r="CQ199" s="64">
        <f>(CQ28/$ET$15)*CQ93</f>
        <v>0</v>
      </c>
      <c r="CR199" s="64">
        <f>(CR28/$ET$15)*CR93</f>
        <v>0</v>
      </c>
      <c r="CS199" s="64">
        <f>(CS28/$ET$15)*CS93</f>
        <v>0</v>
      </c>
      <c r="CT199" s="64">
        <f>(CT28/$ET$15)*CT93</f>
        <v>0</v>
      </c>
      <c r="CU199" s="64">
        <f>(CU28/$ET$15)*CU93</f>
        <v>0</v>
      </c>
      <c r="CV199" s="64">
        <f>(CV28/$ET$15)*CV93</f>
        <v>0</v>
      </c>
      <c r="CW199" s="64">
        <f>(CW28/$ET$15)*CW93</f>
        <v>0</v>
      </c>
      <c r="CX199" s="64">
        <f>(CX28/$ET$15)*CX93</f>
        <v>0</v>
      </c>
      <c r="CY199" s="64">
        <f>(CY28/$ET$15)*CY93</f>
        <v>0</v>
      </c>
      <c r="CZ199" s="64">
        <f>(CZ28/$ET$15)*CZ93</f>
        <v>0</v>
      </c>
      <c r="DA199" s="64">
        <f>(DA28/$ET$15)*DA93</f>
        <v>0</v>
      </c>
      <c r="DB199" s="64">
        <f>(DB28/$ET$15)*DB93</f>
        <v>0.42282571330354074</v>
      </c>
      <c r="DC199" s="64">
        <f>(DC28/$ET$15)*DC93</f>
        <v>0</v>
      </c>
      <c r="DD199" s="64">
        <f>(DD28/$ET$15)*DD93</f>
        <v>0</v>
      </c>
      <c r="DE199" s="64">
        <f>(DE28/$ET$15)*DE93</f>
        <v>0</v>
      </c>
      <c r="DF199" s="64">
        <f>(DF28/$ET$15)*DF93</f>
        <v>0</v>
      </c>
      <c r="DG199" s="64">
        <f>(DG28/$ET$15)*DG93</f>
        <v>0</v>
      </c>
      <c r="DH199" s="64">
        <f>(DH28/$ET$15)*DH93</f>
        <v>0</v>
      </c>
      <c r="DI199" s="64">
        <f>(DI28/$ET$15)*DI93</f>
        <v>0</v>
      </c>
      <c r="DJ199" s="64">
        <f>(DJ28/$ET$15)*DJ93</f>
        <v>0</v>
      </c>
      <c r="DK199" s="64">
        <f>(DK28/$ET$15)*DK93</f>
        <v>0</v>
      </c>
      <c r="DL199" s="64">
        <f>(DL28/$ET$15)*DL93</f>
        <v>0</v>
      </c>
      <c r="DM199" s="64">
        <f>(DM28/$ET$15)*DM93</f>
        <v>0</v>
      </c>
      <c r="DN199" s="64">
        <f>(DN28/$ET$15)*DN93</f>
        <v>0</v>
      </c>
      <c r="DO199" s="64">
        <f>(DO28/$ET$15)*DO93</f>
        <v>0</v>
      </c>
      <c r="DP199" s="64">
        <f>(DP28/$ET$15)*DP93</f>
        <v>0</v>
      </c>
      <c r="DQ199" s="64">
        <f>(DQ28/$ET$15)*DQ93</f>
        <v>0</v>
      </c>
      <c r="DR199" s="64">
        <f>(DR28/$ET$15)*DR93</f>
        <v>0</v>
      </c>
      <c r="DS199" s="64">
        <f>(DS28/$ET$15)*DS93</f>
        <v>0</v>
      </c>
      <c r="DT199" s="64">
        <f>(DT28/$ET$15)*DT93</f>
        <v>0</v>
      </c>
      <c r="DU199" s="64">
        <f>(DU28/$ET$15)*DU93</f>
        <v>0</v>
      </c>
      <c r="DV199" s="64">
        <f>(DV28/$ET$15)*DV93</f>
        <v>0</v>
      </c>
      <c r="DW199" s="64">
        <f>(DW28/$ET$15)*DW93</f>
        <v>0</v>
      </c>
      <c r="DX199" s="64">
        <f>(DX28/$ET$15)*DX93</f>
        <v>0</v>
      </c>
      <c r="DY199" s="64">
        <f>(DY28/$ET$15)*DY93</f>
        <v>0</v>
      </c>
      <c r="DZ199" s="64">
        <f>(DZ28/$ET$15)*DZ93</f>
        <v>0</v>
      </c>
      <c r="EA199" s="64">
        <f>(EA28/$ET$15)*EA93</f>
        <v>0</v>
      </c>
      <c r="EB199" s="64">
        <f>(EB28/$ET$15)*EB93</f>
        <v>0</v>
      </c>
      <c r="EC199" s="64">
        <f>(EC28/$ET$15)*EC93</f>
        <v>0</v>
      </c>
      <c r="ED199" s="64">
        <f>(ED28/$ET$15)*ED93</f>
        <v>0</v>
      </c>
      <c r="EE199" s="64">
        <f>(EE28/$ET$15)*EE93</f>
        <v>0</v>
      </c>
      <c r="EF199" s="64">
        <f>(EF28/$ET$15)*EF93</f>
        <v>0</v>
      </c>
      <c r="EG199" s="64">
        <f>(EG28/$ET$15)*EG93</f>
        <v>0</v>
      </c>
      <c r="EH199" s="64">
        <f>(EH28/$ET$15)*EH93</f>
        <v>0</v>
      </c>
      <c r="EI199" s="64">
        <f>(EI28/$ET$15)*EI93</f>
        <v>0</v>
      </c>
      <c r="EJ199" s="64">
        <f>(EJ28/$ET$15)*EJ93</f>
        <v>0</v>
      </c>
      <c r="EK199" s="64">
        <f>(EK28/$ET$15)*EK93</f>
        <v>0</v>
      </c>
      <c r="EL199" s="64">
        <f>(EL28/$ET$15)*EL93</f>
        <v>0</v>
      </c>
      <c r="EM199" s="64">
        <f>(EM28/$ET$15)*EM93</f>
        <v>0</v>
      </c>
      <c r="EN199" s="64">
        <f>(EN28/$ET$15)*EN93</f>
        <v>0</v>
      </c>
      <c r="EO199" s="64">
        <f>(EO28/$ET$15)*EO93</f>
        <v>0</v>
      </c>
      <c r="EP199" s="64">
        <f>(EP28/$ET$15)*EP93</f>
        <v>0</v>
      </c>
      <c r="EQ199" s="64">
        <f>(EQ28/$ET$15)*EQ93</f>
        <v>0</v>
      </c>
      <c r="ER199" s="64">
        <f>(ER28/$ET$15)*ER93</f>
        <v>0</v>
      </c>
      <c r="ES199" s="64">
        <f>(ES28/$ET$15)*ES93</f>
        <v>0</v>
      </c>
    </row>
    <row r="200" spans="1:149" x14ac:dyDescent="0.3">
      <c r="A200" s="37" t="s">
        <v>22</v>
      </c>
      <c r="B200" s="64">
        <f>(B29/$ET$15)*B94</f>
        <v>0</v>
      </c>
      <c r="C200" s="64">
        <f>(C29/$ET$15)*C94</f>
        <v>0</v>
      </c>
      <c r="D200" s="64">
        <f>(D29/$ET$15)*D94</f>
        <v>0</v>
      </c>
      <c r="E200" s="64">
        <f>(E29/$ET$15)*E94</f>
        <v>0</v>
      </c>
      <c r="F200" s="64">
        <f>(F29/$ET$15)*F94</f>
        <v>0</v>
      </c>
      <c r="G200" s="64">
        <f>(G29/$ET$15)*G94</f>
        <v>0</v>
      </c>
      <c r="H200" s="64">
        <f>(H29/$ET$15)*H94</f>
        <v>0</v>
      </c>
      <c r="I200" s="64">
        <f>(I29/$ET$15)*I94</f>
        <v>0</v>
      </c>
      <c r="J200" s="64">
        <f>(J29/$ET$15)*J94</f>
        <v>0</v>
      </c>
      <c r="K200" s="64">
        <f>(K29/$ET$15)*K94</f>
        <v>0</v>
      </c>
      <c r="L200" s="64">
        <f>(L29/$ET$15)*L94</f>
        <v>0</v>
      </c>
      <c r="M200" s="64">
        <f>(M29/$ET$15)*M94</f>
        <v>0</v>
      </c>
      <c r="N200" s="64">
        <f>(N29/$ET$15)*N94</f>
        <v>0</v>
      </c>
      <c r="O200" s="64">
        <f>(O29/$ET$15)*O94</f>
        <v>0</v>
      </c>
      <c r="P200" s="64">
        <f>(P29/$ET$15)*P94</f>
        <v>0</v>
      </c>
      <c r="Q200" s="64">
        <f>(Q29/$ET$15)*Q94</f>
        <v>0</v>
      </c>
      <c r="R200" s="64">
        <f>(R29/$ET$15)*R94</f>
        <v>0</v>
      </c>
      <c r="S200" s="64">
        <f>(S29/$ET$15)*S94</f>
        <v>0</v>
      </c>
      <c r="T200" s="64">
        <f>(T29/$ET$15)*T94</f>
        <v>0</v>
      </c>
      <c r="U200" s="64">
        <f>(U29/$ET$15)*U94</f>
        <v>0</v>
      </c>
      <c r="V200" s="64">
        <f>(V29/$ET$15)*V94</f>
        <v>0</v>
      </c>
      <c r="W200" s="64">
        <f>(W29/$ET$15)*W94</f>
        <v>0</v>
      </c>
      <c r="X200" s="64">
        <f>(X29/$ET$15)*X94</f>
        <v>0</v>
      </c>
      <c r="Y200" s="64">
        <f>(Y29/$ET$15)*Y94</f>
        <v>0</v>
      </c>
      <c r="Z200" s="64">
        <f>(Z29/$ET$15)*Z94</f>
        <v>0</v>
      </c>
      <c r="AA200" s="64">
        <f>(AA29/$ET$15)*AA94</f>
        <v>0</v>
      </c>
      <c r="AB200" s="64">
        <f>(AB29/$ET$15)*AB94</f>
        <v>0</v>
      </c>
      <c r="AC200" s="64">
        <f>(AC29/$ET$15)*AC94</f>
        <v>0</v>
      </c>
      <c r="AD200" s="64">
        <f>(AD29/$ET$15)*AD94</f>
        <v>0</v>
      </c>
      <c r="AE200" s="64">
        <f>(AE29/$ET$15)*AE94</f>
        <v>0</v>
      </c>
      <c r="AF200" s="64">
        <f>(AF29/$ET$15)*AF94</f>
        <v>0</v>
      </c>
      <c r="AG200" s="64">
        <f>(AG29/$ET$15)*AG94</f>
        <v>0</v>
      </c>
      <c r="AH200" s="64">
        <f>(AH29/$ET$15)*AH94</f>
        <v>0</v>
      </c>
      <c r="AI200" s="64">
        <f>(AI29/$ET$15)*AI94</f>
        <v>0</v>
      </c>
      <c r="AJ200" s="64">
        <f>(AJ29/$ET$15)*AJ94</f>
        <v>0</v>
      </c>
      <c r="AK200" s="64">
        <f>(AK29/$ET$15)*AK94</f>
        <v>0</v>
      </c>
      <c r="AL200" s="64">
        <f>(AL29/$ET$15)*AL94</f>
        <v>0</v>
      </c>
      <c r="AM200" s="64">
        <f>(AM29/$ET$15)*AM94</f>
        <v>0</v>
      </c>
      <c r="AN200" s="64">
        <f>(AN29/$ET$15)*AN94</f>
        <v>0</v>
      </c>
      <c r="AO200" s="64">
        <f>(AO29/$ET$15)*AO94</f>
        <v>0</v>
      </c>
      <c r="AP200" s="64">
        <f>(AP29/$ET$15)*AP94</f>
        <v>0</v>
      </c>
      <c r="AQ200" s="64">
        <f>(AQ29/$ET$15)*AQ94</f>
        <v>0</v>
      </c>
      <c r="AR200" s="64">
        <f>(AR29/$ET$15)*AR94</f>
        <v>0</v>
      </c>
      <c r="AS200" s="64">
        <f>(AS29/$ET$15)*AS94</f>
        <v>0</v>
      </c>
      <c r="AT200" s="64">
        <f>(AT29/$ET$15)*AT94</f>
        <v>0</v>
      </c>
      <c r="AU200" s="64">
        <f>(AU29/$ET$15)*AU94</f>
        <v>0</v>
      </c>
      <c r="AV200" s="64">
        <f>(AV29/$ET$15)*AV94</f>
        <v>0</v>
      </c>
      <c r="AW200" s="64">
        <f>(AW29/$ET$15)*AW94</f>
        <v>0</v>
      </c>
      <c r="AX200" s="64">
        <f>(AX29/$ET$15)*AX94</f>
        <v>0</v>
      </c>
      <c r="AY200" s="64">
        <f>(AY29/$ET$15)*AY94</f>
        <v>0</v>
      </c>
      <c r="AZ200" s="64">
        <f>(AZ29/$ET$15)*AZ94</f>
        <v>3.448607768992781</v>
      </c>
      <c r="BA200" s="64">
        <f>(BA29/$ET$15)*BA94</f>
        <v>0</v>
      </c>
      <c r="BB200" s="64">
        <f>(BB29/$ET$15)*BB94</f>
        <v>0.14644207631488484</v>
      </c>
      <c r="BC200" s="64">
        <f>(BC29/$ET$15)*BC94</f>
        <v>5.4963905122035062</v>
      </c>
      <c r="BD200" s="64">
        <f>(BD29/$ET$15)*BD94</f>
        <v>0</v>
      </c>
      <c r="BE200" s="64">
        <f>(BE29/$ET$15)*BE94</f>
        <v>0</v>
      </c>
      <c r="BF200" s="64">
        <f>(BF29/$ET$15)*BF94</f>
        <v>0</v>
      </c>
      <c r="BG200" s="64">
        <f>(BG29/$ET$15)*BG94</f>
        <v>0</v>
      </c>
      <c r="BH200" s="64">
        <f>(BH29/$ET$15)*BH94</f>
        <v>0</v>
      </c>
      <c r="BI200" s="64">
        <f>(BI29/$ET$15)*BI94</f>
        <v>0</v>
      </c>
      <c r="BJ200" s="64">
        <f>(BJ29/$ET$15)*BJ94</f>
        <v>0</v>
      </c>
      <c r="BK200" s="64">
        <f>(BK29/$ET$15)*BK94</f>
        <v>0</v>
      </c>
      <c r="BL200" s="64">
        <f>(BL29/$ET$15)*BL94</f>
        <v>0</v>
      </c>
      <c r="BM200" s="64">
        <f>(BM29/$ET$15)*BM94</f>
        <v>0</v>
      </c>
      <c r="BN200" s="64">
        <f>(BN29/$ET$15)*BN94</f>
        <v>3.0938466827088349</v>
      </c>
      <c r="BO200" s="64">
        <f>(BO29/$ET$15)*BO94</f>
        <v>0</v>
      </c>
      <c r="BP200" s="64">
        <f>(BP29/$ET$15)*BP94</f>
        <v>0</v>
      </c>
      <c r="BQ200" s="64">
        <f>(BQ29/$ET$15)*BQ94</f>
        <v>0</v>
      </c>
      <c r="BR200" s="64">
        <f>(BR29/$ET$15)*BR94</f>
        <v>0</v>
      </c>
      <c r="BS200" s="64">
        <f>(BS29/$ET$15)*BS94</f>
        <v>0</v>
      </c>
      <c r="BT200" s="64">
        <f>(BT29/$ET$15)*BT94</f>
        <v>0</v>
      </c>
      <c r="BU200" s="64">
        <f>(BU29/$ET$15)*BU94</f>
        <v>0</v>
      </c>
      <c r="BV200" s="64">
        <f>(BV29/$ET$15)*BV94</f>
        <v>0</v>
      </c>
      <c r="BW200" s="64">
        <f>(BW29/$ET$15)*BW94</f>
        <v>0</v>
      </c>
      <c r="BX200" s="64">
        <f>(BX29/$ET$15)*BX94</f>
        <v>0</v>
      </c>
      <c r="BY200" s="64">
        <f>(BY29/$ET$15)*BY94</f>
        <v>0</v>
      </c>
      <c r="BZ200" s="64">
        <f>(BZ29/$ET$15)*BZ94</f>
        <v>0</v>
      </c>
      <c r="CA200" s="64">
        <f>(CA29/$ET$15)*CA94</f>
        <v>0</v>
      </c>
      <c r="CB200" s="64">
        <f>(CB29/$ET$15)*CB94</f>
        <v>1.5221725678927467</v>
      </c>
      <c r="CC200" s="64">
        <f>(CC29/$ET$15)*CC94</f>
        <v>0</v>
      </c>
      <c r="CD200" s="64">
        <f>(CD29/$ET$15)*CD94</f>
        <v>0</v>
      </c>
      <c r="CE200" s="64">
        <f>(CE29/$ET$15)*CE94</f>
        <v>0</v>
      </c>
      <c r="CF200" s="64">
        <f>(CF29/$ET$15)*CF94</f>
        <v>0</v>
      </c>
      <c r="CG200" s="64">
        <f>(CG29/$ET$15)*CG94</f>
        <v>0</v>
      </c>
      <c r="CH200" s="64">
        <f>(CH29/$ET$15)*CH94</f>
        <v>0</v>
      </c>
      <c r="CI200" s="64">
        <f>(CI29/$ET$15)*CI94</f>
        <v>0</v>
      </c>
      <c r="CJ200" s="64">
        <f>(CJ29/$ET$15)*CJ94</f>
        <v>0</v>
      </c>
      <c r="CK200" s="64">
        <f>(CK29/$ET$15)*CK94</f>
        <v>0</v>
      </c>
      <c r="CL200" s="64">
        <f>(CL29/$ET$15)*CL94</f>
        <v>0</v>
      </c>
      <c r="CM200" s="64">
        <f>(CM29/$ET$15)*CM94</f>
        <v>0</v>
      </c>
      <c r="CN200" s="64">
        <f>(CN29/$ET$15)*CN94</f>
        <v>0</v>
      </c>
      <c r="CO200" s="64">
        <f>(CO29/$ET$15)*CO94</f>
        <v>0</v>
      </c>
      <c r="CP200" s="64">
        <f>(CP29/$ET$15)*CP94</f>
        <v>0</v>
      </c>
      <c r="CQ200" s="64">
        <f>(CQ29/$ET$15)*CQ94</f>
        <v>0</v>
      </c>
      <c r="CR200" s="64">
        <f>(CR29/$ET$15)*CR94</f>
        <v>0</v>
      </c>
      <c r="CS200" s="64">
        <f>(CS29/$ET$15)*CS94</f>
        <v>0</v>
      </c>
      <c r="CT200" s="64">
        <f>(CT29/$ET$15)*CT94</f>
        <v>0</v>
      </c>
      <c r="CU200" s="64">
        <f>(CU29/$ET$15)*CU94</f>
        <v>0</v>
      </c>
      <c r="CV200" s="64">
        <f>(CV29/$ET$15)*CV94</f>
        <v>0</v>
      </c>
      <c r="CW200" s="64">
        <f>(CW29/$ET$15)*CW94</f>
        <v>0</v>
      </c>
      <c r="CX200" s="64">
        <f>(CX29/$ET$15)*CX94</f>
        <v>0</v>
      </c>
      <c r="CY200" s="64">
        <f>(CY29/$ET$15)*CY94</f>
        <v>0</v>
      </c>
      <c r="CZ200" s="64">
        <f>(CZ29/$ET$15)*CZ94</f>
        <v>0</v>
      </c>
      <c r="DA200" s="64">
        <f>(DA29/$ET$15)*DA94</f>
        <v>0</v>
      </c>
      <c r="DB200" s="64">
        <f>(DB29/$ET$15)*DB94</f>
        <v>0</v>
      </c>
      <c r="DC200" s="64">
        <f>(DC29/$ET$15)*DC94</f>
        <v>0</v>
      </c>
      <c r="DD200" s="64">
        <f>(DD29/$ET$15)*DD94</f>
        <v>0</v>
      </c>
      <c r="DE200" s="64">
        <f>(DE29/$ET$15)*DE94</f>
        <v>0</v>
      </c>
      <c r="DF200" s="64">
        <f>(DF29/$ET$15)*DF94</f>
        <v>0</v>
      </c>
      <c r="DG200" s="64">
        <f>(DG29/$ET$15)*DG94</f>
        <v>0</v>
      </c>
      <c r="DH200" s="64">
        <f>(DH29/$ET$15)*DH94</f>
        <v>0</v>
      </c>
      <c r="DI200" s="64">
        <f>(DI29/$ET$15)*DI94</f>
        <v>0</v>
      </c>
      <c r="DJ200" s="64">
        <f>(DJ29/$ET$15)*DJ94</f>
        <v>0</v>
      </c>
      <c r="DK200" s="64">
        <f>(DK29/$ET$15)*DK94</f>
        <v>0</v>
      </c>
      <c r="DL200" s="64">
        <f>(DL29/$ET$15)*DL94</f>
        <v>0</v>
      </c>
      <c r="DM200" s="64">
        <f>(DM29/$ET$15)*DM94</f>
        <v>0</v>
      </c>
      <c r="DN200" s="64">
        <f>(DN29/$ET$15)*DN94</f>
        <v>0</v>
      </c>
      <c r="DO200" s="64">
        <f>(DO29/$ET$15)*DO94</f>
        <v>0</v>
      </c>
      <c r="DP200" s="64">
        <f>(DP29/$ET$15)*DP94</f>
        <v>0</v>
      </c>
      <c r="DQ200" s="64">
        <f>(DQ29/$ET$15)*DQ94</f>
        <v>0</v>
      </c>
      <c r="DR200" s="64">
        <f>(DR29/$ET$15)*DR94</f>
        <v>0</v>
      </c>
      <c r="DS200" s="64">
        <f>(DS29/$ET$15)*DS94</f>
        <v>0</v>
      </c>
      <c r="DT200" s="64">
        <f>(DT29/$ET$15)*DT94</f>
        <v>0</v>
      </c>
      <c r="DU200" s="64">
        <f>(DU29/$ET$15)*DU94</f>
        <v>0</v>
      </c>
      <c r="DV200" s="64">
        <f>(DV29/$ET$15)*DV94</f>
        <v>0</v>
      </c>
      <c r="DW200" s="64">
        <f>(DW29/$ET$15)*DW94</f>
        <v>0</v>
      </c>
      <c r="DX200" s="64">
        <f>(DX29/$ET$15)*DX94</f>
        <v>0</v>
      </c>
      <c r="DY200" s="64">
        <f>(DY29/$ET$15)*DY94</f>
        <v>0</v>
      </c>
      <c r="DZ200" s="64">
        <f>(DZ29/$ET$15)*DZ94</f>
        <v>0</v>
      </c>
      <c r="EA200" s="64">
        <f>(EA29/$ET$15)*EA94</f>
        <v>0</v>
      </c>
      <c r="EB200" s="64">
        <f>(EB29/$ET$15)*EB94</f>
        <v>0</v>
      </c>
      <c r="EC200" s="64">
        <f>(EC29/$ET$15)*EC94</f>
        <v>0</v>
      </c>
      <c r="ED200" s="64">
        <f>(ED29/$ET$15)*ED94</f>
        <v>0</v>
      </c>
      <c r="EE200" s="64">
        <f>(EE29/$ET$15)*EE94</f>
        <v>0</v>
      </c>
      <c r="EF200" s="64">
        <f>(EF29/$ET$15)*EF94</f>
        <v>0</v>
      </c>
      <c r="EG200" s="64">
        <f>(EG29/$ET$15)*EG94</f>
        <v>0</v>
      </c>
      <c r="EH200" s="64">
        <f>(EH29/$ET$15)*EH94</f>
        <v>0</v>
      </c>
      <c r="EI200" s="64">
        <f>(EI29/$ET$15)*EI94</f>
        <v>0</v>
      </c>
      <c r="EJ200" s="64">
        <f>(EJ29/$ET$15)*EJ94</f>
        <v>5.15125472671021</v>
      </c>
      <c r="EK200" s="64">
        <f>(EK29/$ET$15)*EK94</f>
        <v>0</v>
      </c>
      <c r="EL200" s="64">
        <f>(EL29/$ET$15)*EL94</f>
        <v>0</v>
      </c>
      <c r="EM200" s="64">
        <f>(EM29/$ET$15)*EM94</f>
        <v>0</v>
      </c>
      <c r="EN200" s="64">
        <f>(EN29/$ET$15)*EN94</f>
        <v>0</v>
      </c>
      <c r="EO200" s="64">
        <f>(EO29/$ET$15)*EO94</f>
        <v>0</v>
      </c>
      <c r="EP200" s="64">
        <f>(EP29/$ET$15)*EP94</f>
        <v>0</v>
      </c>
      <c r="EQ200" s="64">
        <f>(EQ29/$ET$15)*EQ94</f>
        <v>0</v>
      </c>
      <c r="ER200" s="64">
        <f>(ER29/$ET$15)*ER94</f>
        <v>1.512547267102097</v>
      </c>
      <c r="ES200" s="64">
        <f>(ES29/$ET$15)*ES94</f>
        <v>0</v>
      </c>
    </row>
    <row r="201" spans="1:149" x14ac:dyDescent="0.3">
      <c r="A201" s="37" t="s">
        <v>7</v>
      </c>
      <c r="B201" s="64">
        <f>(B30/$ET$15)*B95</f>
        <v>0</v>
      </c>
      <c r="C201" s="64">
        <f>(C30/$ET$15)*C95</f>
        <v>0</v>
      </c>
      <c r="D201" s="64">
        <f>(D30/$ET$15)*D95</f>
        <v>0</v>
      </c>
      <c r="E201" s="64">
        <f>(E30/$ET$15)*E95</f>
        <v>0</v>
      </c>
      <c r="F201" s="64">
        <f>(F30/$ET$15)*F95</f>
        <v>0</v>
      </c>
      <c r="G201" s="64">
        <f>(G30/$ET$15)*G95</f>
        <v>0</v>
      </c>
      <c r="H201" s="64">
        <f>(H30/$ET$15)*H95</f>
        <v>0</v>
      </c>
      <c r="I201" s="64">
        <f>(I30/$ET$15)*I95</f>
        <v>0</v>
      </c>
      <c r="J201" s="64">
        <f>(J30/$ET$15)*J95</f>
        <v>0</v>
      </c>
      <c r="K201" s="64">
        <f>(K30/$ET$15)*K95</f>
        <v>0</v>
      </c>
      <c r="L201" s="64">
        <f>(L30/$ET$15)*L95</f>
        <v>0</v>
      </c>
      <c r="M201" s="64">
        <f>(M30/$ET$15)*M95</f>
        <v>0</v>
      </c>
      <c r="N201" s="64">
        <f>(N30/$ET$15)*N95</f>
        <v>0</v>
      </c>
      <c r="O201" s="64">
        <f>(O30/$ET$15)*O95</f>
        <v>0</v>
      </c>
      <c r="P201" s="64">
        <f>(P30/$ET$15)*P95</f>
        <v>0</v>
      </c>
      <c r="Q201" s="64">
        <f>(Q30/$ET$15)*Q95</f>
        <v>0</v>
      </c>
      <c r="R201" s="64">
        <f>(R30/$ET$15)*R95</f>
        <v>0</v>
      </c>
      <c r="S201" s="64">
        <f>(S30/$ET$15)*S95</f>
        <v>0</v>
      </c>
      <c r="T201" s="64">
        <f>(T30/$ET$15)*T95</f>
        <v>0</v>
      </c>
      <c r="U201" s="64">
        <f>(U30/$ET$15)*U95</f>
        <v>0</v>
      </c>
      <c r="V201" s="64">
        <f>(V30/$ET$15)*V95</f>
        <v>0</v>
      </c>
      <c r="W201" s="64">
        <f>(W30/$ET$15)*W95</f>
        <v>0</v>
      </c>
      <c r="X201" s="64">
        <f>(X30/$ET$15)*X95</f>
        <v>0</v>
      </c>
      <c r="Y201" s="64">
        <f>(Y30/$ET$15)*Y95</f>
        <v>0</v>
      </c>
      <c r="Z201" s="64">
        <f>(Z30/$ET$15)*Z95</f>
        <v>0</v>
      </c>
      <c r="AA201" s="64">
        <f>(AA30/$ET$15)*AA95</f>
        <v>0</v>
      </c>
      <c r="AB201" s="64">
        <f>(AB30/$ET$15)*AB95</f>
        <v>0</v>
      </c>
      <c r="AC201" s="64">
        <f>(AC30/$ET$15)*AC95</f>
        <v>0</v>
      </c>
      <c r="AD201" s="64">
        <f>(AD30/$ET$15)*AD95</f>
        <v>0</v>
      </c>
      <c r="AE201" s="64">
        <f>(AE30/$ET$15)*AE95</f>
        <v>0</v>
      </c>
      <c r="AF201" s="64">
        <f>(AF30/$ET$15)*AF95</f>
        <v>0</v>
      </c>
      <c r="AG201" s="64">
        <f>(AG30/$ET$15)*AG95</f>
        <v>0</v>
      </c>
      <c r="AH201" s="64">
        <f>(AH30/$ET$15)*AH95</f>
        <v>0</v>
      </c>
      <c r="AI201" s="64">
        <f>(AI30/$ET$15)*AI95</f>
        <v>0</v>
      </c>
      <c r="AJ201" s="64">
        <f>(AJ30/$ET$15)*AJ95</f>
        <v>0</v>
      </c>
      <c r="AK201" s="64">
        <f>(AK30/$ET$15)*AK95</f>
        <v>0</v>
      </c>
      <c r="AL201" s="64">
        <f>(AL30/$ET$15)*AL95</f>
        <v>0</v>
      </c>
      <c r="AM201" s="64">
        <f>(AM30/$ET$15)*AM95</f>
        <v>0</v>
      </c>
      <c r="AN201" s="64">
        <f>(AN30/$ET$15)*AN95</f>
        <v>0</v>
      </c>
      <c r="AO201" s="64">
        <f>(AO30/$ET$15)*AO95</f>
        <v>0</v>
      </c>
      <c r="AP201" s="64">
        <f>(AP30/$ET$15)*AP95</f>
        <v>0</v>
      </c>
      <c r="AQ201" s="64">
        <f>(AQ30/$ET$15)*AQ95</f>
        <v>0</v>
      </c>
      <c r="AR201" s="64">
        <f>(AR30/$ET$15)*AR95</f>
        <v>0</v>
      </c>
      <c r="AS201" s="64">
        <f>(AS30/$ET$15)*AS95</f>
        <v>0</v>
      </c>
      <c r="AT201" s="64">
        <f>(AT30/$ET$15)*AT95</f>
        <v>0</v>
      </c>
      <c r="AU201" s="64">
        <f>(AU30/$ET$15)*AU95</f>
        <v>0</v>
      </c>
      <c r="AV201" s="64">
        <f>(AV30/$ET$15)*AV95</f>
        <v>0</v>
      </c>
      <c r="AW201" s="64">
        <f>(AW30/$ET$15)*AW95</f>
        <v>0</v>
      </c>
      <c r="AX201" s="64">
        <f>(AX30/$ET$15)*AX95</f>
        <v>0</v>
      </c>
      <c r="AY201" s="64">
        <f>(AY30/$ET$15)*AY95</f>
        <v>0</v>
      </c>
      <c r="AZ201" s="64">
        <f>(AZ30/$ET$15)*AZ95</f>
        <v>0</v>
      </c>
      <c r="BA201" s="64">
        <f>(BA30/$ET$15)*BA95</f>
        <v>0</v>
      </c>
      <c r="BB201" s="64">
        <f>(BB30/$ET$15)*BB95</f>
        <v>0</v>
      </c>
      <c r="BC201" s="64">
        <f>(BC30/$ET$15)*BC95</f>
        <v>0</v>
      </c>
      <c r="BD201" s="64">
        <f>(BD30/$ET$15)*BD95</f>
        <v>0</v>
      </c>
      <c r="BE201" s="64">
        <f>(BE30/$ET$15)*BE95</f>
        <v>0</v>
      </c>
      <c r="BF201" s="64">
        <f>(BF30/$ET$15)*BF95</f>
        <v>0</v>
      </c>
      <c r="BG201" s="64">
        <f>(BG30/$ET$15)*BG95</f>
        <v>0</v>
      </c>
      <c r="BH201" s="64">
        <f>(BH30/$ET$15)*BH95</f>
        <v>0</v>
      </c>
      <c r="BI201" s="64">
        <f>(BI30/$ET$15)*BI95</f>
        <v>0</v>
      </c>
      <c r="BJ201" s="64">
        <f>(BJ30/$ET$15)*BJ95</f>
        <v>0</v>
      </c>
      <c r="BK201" s="64">
        <f>(BK30/$ET$15)*BK95</f>
        <v>0</v>
      </c>
      <c r="BL201" s="64">
        <f>(BL30/$ET$15)*BL95</f>
        <v>0</v>
      </c>
      <c r="BM201" s="64">
        <f>(BM30/$ET$15)*BM95</f>
        <v>0</v>
      </c>
      <c r="BN201" s="64">
        <f>(BN30/$ET$15)*BN95</f>
        <v>0</v>
      </c>
      <c r="BO201" s="64">
        <f>(BO30/$ET$15)*BO95</f>
        <v>0</v>
      </c>
      <c r="BP201" s="64">
        <f>(BP30/$ET$15)*BP95</f>
        <v>0</v>
      </c>
      <c r="BQ201" s="64">
        <f>(BQ30/$ET$15)*BQ95</f>
        <v>0</v>
      </c>
      <c r="BR201" s="64">
        <f>(BR30/$ET$15)*BR95</f>
        <v>0</v>
      </c>
      <c r="BS201" s="64">
        <f>(BS30/$ET$15)*BS95</f>
        <v>0</v>
      </c>
      <c r="BT201" s="64">
        <f>(BT30/$ET$15)*BT95</f>
        <v>0</v>
      </c>
      <c r="BU201" s="64">
        <f>(BU30/$ET$15)*BU95</f>
        <v>0</v>
      </c>
      <c r="BV201" s="64">
        <f>(BV30/$ET$15)*BV95</f>
        <v>0</v>
      </c>
      <c r="BW201" s="64">
        <f>(BW30/$ET$15)*BW95</f>
        <v>0</v>
      </c>
      <c r="BX201" s="64">
        <f>(BX30/$ET$15)*BX95</f>
        <v>0</v>
      </c>
      <c r="BY201" s="64">
        <f>(BY30/$ET$15)*BY95</f>
        <v>0</v>
      </c>
      <c r="BZ201" s="64">
        <f>(BZ30/$ET$15)*BZ95</f>
        <v>0</v>
      </c>
      <c r="CA201" s="64">
        <f>(CA30/$ET$15)*CA95</f>
        <v>0</v>
      </c>
      <c r="CB201" s="64">
        <f>(CB30/$ET$15)*CB95</f>
        <v>0</v>
      </c>
      <c r="CC201" s="64">
        <f>(CC30/$ET$15)*CC95</f>
        <v>0</v>
      </c>
      <c r="CD201" s="64">
        <f>(CD30/$ET$15)*CD95</f>
        <v>0</v>
      </c>
      <c r="CE201" s="64">
        <f>(CE30/$ET$15)*CE95</f>
        <v>0</v>
      </c>
      <c r="CF201" s="64">
        <f>(CF30/$ET$15)*CF95</f>
        <v>0</v>
      </c>
      <c r="CG201" s="64">
        <f>(CG30/$ET$15)*CG95</f>
        <v>0</v>
      </c>
      <c r="CH201" s="64">
        <f>(CH30/$ET$15)*CH95</f>
        <v>0</v>
      </c>
      <c r="CI201" s="64">
        <f>(CI30/$ET$15)*CI95</f>
        <v>0</v>
      </c>
      <c r="CJ201" s="64">
        <f>(CJ30/$ET$15)*CJ95</f>
        <v>0</v>
      </c>
      <c r="CK201" s="64">
        <f>(CK30/$ET$15)*CK95</f>
        <v>0</v>
      </c>
      <c r="CL201" s="64">
        <f>(CL30/$ET$15)*CL95</f>
        <v>0</v>
      </c>
      <c r="CM201" s="64">
        <f>(CM30/$ET$15)*CM95</f>
        <v>0</v>
      </c>
      <c r="CN201" s="64">
        <f>(CN30/$ET$15)*CN95</f>
        <v>0</v>
      </c>
      <c r="CO201" s="64">
        <f>(CO30/$ET$15)*CO95</f>
        <v>0</v>
      </c>
      <c r="CP201" s="64">
        <f>(CP30/$ET$15)*CP95</f>
        <v>0</v>
      </c>
      <c r="CQ201" s="64">
        <f>(CQ30/$ET$15)*CQ95</f>
        <v>0</v>
      </c>
      <c r="CR201" s="64">
        <f>(CR30/$ET$15)*CR95</f>
        <v>0</v>
      </c>
      <c r="CS201" s="64">
        <f>(CS30/$ET$15)*CS95</f>
        <v>0</v>
      </c>
      <c r="CT201" s="64">
        <f>(CT30/$ET$15)*CT95</f>
        <v>0</v>
      </c>
      <c r="CU201" s="64">
        <f>(CU30/$ET$15)*CU95</f>
        <v>0</v>
      </c>
      <c r="CV201" s="64">
        <f>(CV30/$ET$15)*CV95</f>
        <v>0</v>
      </c>
      <c r="CW201" s="64">
        <f>(CW30/$ET$15)*CW95</f>
        <v>0</v>
      </c>
      <c r="CX201" s="64">
        <f>(CX30/$ET$15)*CX95</f>
        <v>0</v>
      </c>
      <c r="CY201" s="64">
        <f>(CY30/$ET$15)*CY95</f>
        <v>0</v>
      </c>
      <c r="CZ201" s="64">
        <f>(CZ30/$ET$15)*CZ95</f>
        <v>0</v>
      </c>
      <c r="DA201" s="64">
        <f>(DA30/$ET$15)*DA95</f>
        <v>0</v>
      </c>
      <c r="DB201" s="64">
        <f>(DB30/$ET$15)*DB95</f>
        <v>0</v>
      </c>
      <c r="DC201" s="64">
        <f>(DC30/$ET$15)*DC95</f>
        <v>0</v>
      </c>
      <c r="DD201" s="64">
        <f>(DD30/$ET$15)*DD95</f>
        <v>0</v>
      </c>
      <c r="DE201" s="64">
        <f>(DE30/$ET$15)*DE95</f>
        <v>0</v>
      </c>
      <c r="DF201" s="64">
        <f>(DF30/$ET$15)*DF95</f>
        <v>0</v>
      </c>
      <c r="DG201" s="64">
        <f>(DG30/$ET$15)*DG95</f>
        <v>0</v>
      </c>
      <c r="DH201" s="64">
        <f>(DH30/$ET$15)*DH95</f>
        <v>0</v>
      </c>
      <c r="DI201" s="64">
        <f>(DI30/$ET$15)*DI95</f>
        <v>0</v>
      </c>
      <c r="DJ201" s="64">
        <f>(DJ30/$ET$15)*DJ95</f>
        <v>0</v>
      </c>
      <c r="DK201" s="64">
        <f>(DK30/$ET$15)*DK95</f>
        <v>0</v>
      </c>
      <c r="DL201" s="64">
        <f>(DL30/$ET$15)*DL95</f>
        <v>0</v>
      </c>
      <c r="DM201" s="64">
        <f>(DM30/$ET$15)*DM95</f>
        <v>0</v>
      </c>
      <c r="DN201" s="64">
        <f>(DN30/$ET$15)*DN95</f>
        <v>0</v>
      </c>
      <c r="DO201" s="64">
        <f>(DO30/$ET$15)*DO95</f>
        <v>0</v>
      </c>
      <c r="DP201" s="64">
        <f>(DP30/$ET$15)*DP95</f>
        <v>0</v>
      </c>
      <c r="DQ201" s="64">
        <f>(DQ30/$ET$15)*DQ95</f>
        <v>0</v>
      </c>
      <c r="DR201" s="64">
        <f>(DR30/$ET$15)*DR95</f>
        <v>0</v>
      </c>
      <c r="DS201" s="64">
        <f>(DS30/$ET$15)*DS95</f>
        <v>0</v>
      </c>
      <c r="DT201" s="64">
        <f>(DT30/$ET$15)*DT95</f>
        <v>0</v>
      </c>
      <c r="DU201" s="64">
        <f>(DU30/$ET$15)*DU95</f>
        <v>0</v>
      </c>
      <c r="DV201" s="64">
        <f>(DV30/$ET$15)*DV95</f>
        <v>0</v>
      </c>
      <c r="DW201" s="64">
        <f>(DW30/$ET$15)*DW95</f>
        <v>0</v>
      </c>
      <c r="DX201" s="64">
        <f>(DX30/$ET$15)*DX95</f>
        <v>0</v>
      </c>
      <c r="DY201" s="64">
        <f>(DY30/$ET$15)*DY95</f>
        <v>0</v>
      </c>
      <c r="DZ201" s="64">
        <f>(DZ30/$ET$15)*DZ95</f>
        <v>0</v>
      </c>
      <c r="EA201" s="64">
        <f>(EA30/$ET$15)*EA95</f>
        <v>0</v>
      </c>
      <c r="EB201" s="64">
        <f>(EB30/$ET$15)*EB95</f>
        <v>0</v>
      </c>
      <c r="EC201" s="64">
        <f>(EC30/$ET$15)*EC95</f>
        <v>0</v>
      </c>
      <c r="ED201" s="64">
        <f>(ED30/$ET$15)*ED95</f>
        <v>0</v>
      </c>
      <c r="EE201" s="64">
        <f>(EE30/$ET$15)*EE95</f>
        <v>0</v>
      </c>
      <c r="EF201" s="64">
        <f>(EF30/$ET$15)*EF95</f>
        <v>0</v>
      </c>
      <c r="EG201" s="64">
        <f>(EG30/$ET$15)*EG95</f>
        <v>0</v>
      </c>
      <c r="EH201" s="64">
        <f>(EH30/$ET$15)*EH95</f>
        <v>0</v>
      </c>
      <c r="EI201" s="64">
        <f>(EI30/$ET$15)*EI95</f>
        <v>0</v>
      </c>
      <c r="EJ201" s="64">
        <f>(EJ30/$ET$15)*EJ95</f>
        <v>0</v>
      </c>
      <c r="EK201" s="64">
        <f>(EK30/$ET$15)*EK95</f>
        <v>0</v>
      </c>
      <c r="EL201" s="64">
        <f>(EL30/$ET$15)*EL95</f>
        <v>0</v>
      </c>
      <c r="EM201" s="64">
        <f>(EM30/$ET$15)*EM95</f>
        <v>0</v>
      </c>
      <c r="EN201" s="64">
        <f>(EN30/$ET$15)*EN95</f>
        <v>0</v>
      </c>
      <c r="EO201" s="64">
        <f>(EO30/$ET$15)*EO95</f>
        <v>0</v>
      </c>
      <c r="EP201" s="64">
        <f>(EP30/$ET$15)*EP95</f>
        <v>0</v>
      </c>
      <c r="EQ201" s="64">
        <f>(EQ30/$ET$15)*EQ95</f>
        <v>0</v>
      </c>
      <c r="ER201" s="64">
        <f>(ER30/$ET$15)*ER95</f>
        <v>0</v>
      </c>
      <c r="ES201" s="64">
        <f>(ES30/$ET$15)*ES95</f>
        <v>0</v>
      </c>
    </row>
    <row r="202" spans="1:149" x14ac:dyDescent="0.3">
      <c r="A202" s="37" t="s">
        <v>18</v>
      </c>
      <c r="B202" s="64">
        <f>(B31/$ET$15)*B96</f>
        <v>0</v>
      </c>
      <c r="C202" s="64">
        <f>(C31/$ET$15)*C96</f>
        <v>4.1952561017531798</v>
      </c>
      <c r="D202" s="64">
        <f>(D31/$ET$15)*D96</f>
        <v>0</v>
      </c>
      <c r="E202" s="64">
        <f>(E31/$ET$15)*E96</f>
        <v>0</v>
      </c>
      <c r="F202" s="64">
        <f>(F31/$ET$15)*F96</f>
        <v>0</v>
      </c>
      <c r="G202" s="64">
        <f>(G31/$ET$15)*G96</f>
        <v>0</v>
      </c>
      <c r="H202" s="64">
        <f>(H31/$ET$15)*H96</f>
        <v>0</v>
      </c>
      <c r="I202" s="64">
        <f>(I31/$ET$15)*I96</f>
        <v>0</v>
      </c>
      <c r="J202" s="64">
        <f>(J31/$ET$15)*J96</f>
        <v>1.2289446545204539</v>
      </c>
      <c r="K202" s="64">
        <f>(K31/$ET$15)*K96</f>
        <v>0</v>
      </c>
      <c r="L202" s="64">
        <f>(L31/$ET$15)*L96</f>
        <v>0</v>
      </c>
      <c r="M202" s="64">
        <f>(M31/$ET$15)*M96</f>
        <v>0</v>
      </c>
      <c r="N202" s="64">
        <f>(N31/$ET$15)*N96</f>
        <v>0</v>
      </c>
      <c r="O202" s="64">
        <f>(O31/$ET$15)*O96</f>
        <v>0</v>
      </c>
      <c r="P202" s="64">
        <f>(P31/$ET$15)*P96</f>
        <v>0</v>
      </c>
      <c r="Q202" s="64">
        <f>(Q31/$ET$15)*Q96</f>
        <v>0</v>
      </c>
      <c r="R202" s="64">
        <f>(R31/$ET$15)*R96</f>
        <v>0</v>
      </c>
      <c r="S202" s="64">
        <f>(S31/$ET$15)*S96</f>
        <v>0</v>
      </c>
      <c r="T202" s="64">
        <f>(T31/$ET$15)*T96</f>
        <v>0</v>
      </c>
      <c r="U202" s="64">
        <f>(U31/$ET$15)*U96</f>
        <v>0</v>
      </c>
      <c r="V202" s="64">
        <f>(V31/$ET$15)*V96</f>
        <v>0</v>
      </c>
      <c r="W202" s="64">
        <f>(W31/$ET$15)*W96</f>
        <v>0</v>
      </c>
      <c r="X202" s="64">
        <f>(X31/$ET$15)*X96</f>
        <v>3.1990374699209347</v>
      </c>
      <c r="Y202" s="64">
        <f>(Y31/$ET$15)*Y96</f>
        <v>0</v>
      </c>
      <c r="Z202" s="64">
        <f>(Z31/$ET$15)*Z96</f>
        <v>0</v>
      </c>
      <c r="AA202" s="64">
        <f>(AA31/$ET$15)*AA96</f>
        <v>1.6122378824338262</v>
      </c>
      <c r="AB202" s="64">
        <f>(AB31/$ET$15)*AB96</f>
        <v>0</v>
      </c>
      <c r="AC202" s="64">
        <f>(AC31/$ET$15)*AC96</f>
        <v>0</v>
      </c>
      <c r="AD202" s="64">
        <f>(AD31/$ET$15)*AD96</f>
        <v>0</v>
      </c>
      <c r="AE202" s="64">
        <f>(AE31/$ET$15)*AE96</f>
        <v>0</v>
      </c>
      <c r="AF202" s="64">
        <f>(AF31/$ET$15)*AF96</f>
        <v>0</v>
      </c>
      <c r="AG202" s="64">
        <f>(AG31/$ET$15)*AG96</f>
        <v>0</v>
      </c>
      <c r="AH202" s="64">
        <f>(AH31/$ET$15)*AH96</f>
        <v>0</v>
      </c>
      <c r="AI202" s="64">
        <f>(AI31/$ET$15)*AI96</f>
        <v>0</v>
      </c>
      <c r="AJ202" s="64">
        <f>(AJ31/$ET$15)*AJ96</f>
        <v>0</v>
      </c>
      <c r="AK202" s="64">
        <f>(AK31/$ET$15)*AK96</f>
        <v>0</v>
      </c>
      <c r="AL202" s="64">
        <f>(AL31/$ET$15)*AL96</f>
        <v>0</v>
      </c>
      <c r="AM202" s="64">
        <f>(AM31/$ET$15)*AM96</f>
        <v>0</v>
      </c>
      <c r="AN202" s="64">
        <f>(AN31/$ET$15)*AN96</f>
        <v>0</v>
      </c>
      <c r="AO202" s="64">
        <f>(AO31/$ET$15)*AO96</f>
        <v>0</v>
      </c>
      <c r="AP202" s="64">
        <f>(AP31/$ET$15)*AP96</f>
        <v>0</v>
      </c>
      <c r="AQ202" s="64">
        <f>(AQ31/$ET$15)*AQ96</f>
        <v>0</v>
      </c>
      <c r="AR202" s="64">
        <f>(AR31/$ET$15)*AR96</f>
        <v>0</v>
      </c>
      <c r="AS202" s="64">
        <f>(AS31/$ET$15)*AS96</f>
        <v>0</v>
      </c>
      <c r="AT202" s="64">
        <f>(AT31/$ET$15)*AT96</f>
        <v>0</v>
      </c>
      <c r="AU202" s="64">
        <f>(AU31/$ET$15)*AU96</f>
        <v>0</v>
      </c>
      <c r="AV202" s="64">
        <f>(AV31/$ET$15)*AV96</f>
        <v>0</v>
      </c>
      <c r="AW202" s="64">
        <f>(AW31/$ET$15)*AW96</f>
        <v>0</v>
      </c>
      <c r="AX202" s="64">
        <f>(AX31/$ET$15)*AX96</f>
        <v>0</v>
      </c>
      <c r="AY202" s="64">
        <f>(AY31/$ET$15)*AY96</f>
        <v>0</v>
      </c>
      <c r="AZ202" s="64">
        <f>(AZ31/$ET$15)*AZ96</f>
        <v>0</v>
      </c>
      <c r="BA202" s="64">
        <f>(BA31/$ET$15)*BA96</f>
        <v>0</v>
      </c>
      <c r="BB202" s="64">
        <f>(BB31/$ET$15)*BB96</f>
        <v>0</v>
      </c>
      <c r="BC202" s="64">
        <f>(BC31/$ET$15)*BC96</f>
        <v>0</v>
      </c>
      <c r="BD202" s="64">
        <f>(BD31/$ET$15)*BD96</f>
        <v>0</v>
      </c>
      <c r="BE202" s="64">
        <f>(BE31/$ET$15)*BE96</f>
        <v>0</v>
      </c>
      <c r="BF202" s="64">
        <f>(BF31/$ET$15)*BF96</f>
        <v>0</v>
      </c>
      <c r="BG202" s="64">
        <f>(BG31/$ET$15)*BG96</f>
        <v>0</v>
      </c>
      <c r="BH202" s="64">
        <f>(BH31/$ET$15)*BH96</f>
        <v>0</v>
      </c>
      <c r="BI202" s="64">
        <f>(BI31/$ET$15)*BI96</f>
        <v>0</v>
      </c>
      <c r="BJ202" s="64">
        <f>(BJ31/$ET$15)*BJ96</f>
        <v>3.7490546579580615</v>
      </c>
      <c r="BK202" s="64">
        <f>(BK31/$ET$15)*BK96</f>
        <v>0</v>
      </c>
      <c r="BL202" s="64">
        <f>(BL31/$ET$15)*BL96</f>
        <v>0</v>
      </c>
      <c r="BM202" s="64">
        <f>(BM31/$ET$15)*BM96</f>
        <v>0</v>
      </c>
      <c r="BN202" s="64">
        <f>(BN31/$ET$15)*BN96</f>
        <v>0</v>
      </c>
      <c r="BO202" s="64">
        <f>(BO31/$ET$15)*BO96</f>
        <v>3.0608456514266069</v>
      </c>
      <c r="BP202" s="64">
        <f>(BP31/$ET$15)*BP96</f>
        <v>0</v>
      </c>
      <c r="BQ202" s="64">
        <f>(BQ31/$ET$15)*BQ96</f>
        <v>0.40391887246476454</v>
      </c>
      <c r="BR202" s="64">
        <f>(BR31/$ET$15)*BR96</f>
        <v>0</v>
      </c>
      <c r="BS202" s="64">
        <f>(BS31/$ET$15)*BS96</f>
        <v>2.408834651082846</v>
      </c>
      <c r="BT202" s="64">
        <f>(BT31/$ET$15)*BT96</f>
        <v>0</v>
      </c>
      <c r="BU202" s="64">
        <f>(BU31/$ET$15)*BU96</f>
        <v>0</v>
      </c>
      <c r="BV202" s="64">
        <f>(BV31/$ET$15)*BV96</f>
        <v>4.8655895496734276</v>
      </c>
      <c r="BW202" s="64">
        <f>(BW31/$ET$15)*BW96</f>
        <v>0</v>
      </c>
      <c r="BX202" s="64">
        <f>(BX31/$ET$15)*BX96</f>
        <v>3.9353729804056377</v>
      </c>
      <c r="BY202" s="64">
        <f>(BY31/$ET$15)*BY96</f>
        <v>0</v>
      </c>
      <c r="BZ202" s="64">
        <f>(BZ31/$ET$15)*BZ96</f>
        <v>0</v>
      </c>
      <c r="CA202" s="64">
        <f>(CA31/$ET$15)*CA96</f>
        <v>0</v>
      </c>
      <c r="CB202" s="64">
        <f>(CB31/$ET$15)*CB96</f>
        <v>0</v>
      </c>
      <c r="CC202" s="64">
        <f>(CC31/$ET$15)*CC96</f>
        <v>0</v>
      </c>
      <c r="CD202" s="64">
        <f>(CD31/$ET$15)*CD96</f>
        <v>0</v>
      </c>
      <c r="CE202" s="64">
        <f>(CE31/$ET$15)*CE96</f>
        <v>0</v>
      </c>
      <c r="CF202" s="64">
        <f>(CF31/$ET$15)*CF96</f>
        <v>0</v>
      </c>
      <c r="CG202" s="64">
        <f>(CG31/$ET$15)*CG96</f>
        <v>0.43485733929185288</v>
      </c>
      <c r="CH202" s="64">
        <f>(CH31/$ET$15)*CH96</f>
        <v>0</v>
      </c>
      <c r="CI202" s="64">
        <f>(CI31/$ET$15)*CI96</f>
        <v>0</v>
      </c>
      <c r="CJ202" s="64">
        <f>(CJ31/$ET$15)*CJ96</f>
        <v>0</v>
      </c>
      <c r="CK202" s="64">
        <f>(CK31/$ET$15)*CK96</f>
        <v>0.36816775524235129</v>
      </c>
      <c r="CL202" s="64">
        <f>(CL31/$ET$15)*CL96</f>
        <v>0</v>
      </c>
      <c r="CM202" s="64">
        <f>(CM31/$ET$15)*CM96</f>
        <v>0</v>
      </c>
      <c r="CN202" s="64">
        <f>(CN31/$ET$15)*CN96</f>
        <v>0</v>
      </c>
      <c r="CO202" s="64">
        <f>(CO31/$ET$15)*CO96</f>
        <v>0</v>
      </c>
      <c r="CP202" s="64">
        <f>(CP31/$ET$15)*CP96</f>
        <v>0</v>
      </c>
      <c r="CQ202" s="64">
        <f>(CQ31/$ET$15)*CQ96</f>
        <v>0</v>
      </c>
      <c r="CR202" s="64">
        <f>(CR31/$ET$15)*CR96</f>
        <v>0</v>
      </c>
      <c r="CS202" s="64">
        <f>(CS31/$ET$15)*CS96</f>
        <v>9.3434169817806811</v>
      </c>
      <c r="CT202" s="64">
        <f>(CT31/$ET$15)*CT96</f>
        <v>0</v>
      </c>
      <c r="CU202" s="64">
        <f>(CU31/$ET$15)*CU96</f>
        <v>0</v>
      </c>
      <c r="CV202" s="64">
        <f>(CV31/$ET$15)*CV96</f>
        <v>0</v>
      </c>
      <c r="CW202" s="64">
        <f>(CW31/$ET$15)*CW96</f>
        <v>0</v>
      </c>
      <c r="CX202" s="64">
        <f>(CX31/$ET$15)*CX96</f>
        <v>0</v>
      </c>
      <c r="CY202" s="64">
        <f>(CY31/$ET$15)*CY96</f>
        <v>0</v>
      </c>
      <c r="CZ202" s="64">
        <f>(CZ31/$ET$15)*CZ96</f>
        <v>0</v>
      </c>
      <c r="DA202" s="64">
        <f>(DA31/$ET$15)*DA96</f>
        <v>0</v>
      </c>
      <c r="DB202" s="64">
        <f>(DB31/$ET$15)*DB96</f>
        <v>0</v>
      </c>
      <c r="DC202" s="64">
        <f>(DC31/$ET$15)*DC96</f>
        <v>0</v>
      </c>
      <c r="DD202" s="64">
        <f>(DD31/$ET$15)*DD96</f>
        <v>0</v>
      </c>
      <c r="DE202" s="64">
        <f>(DE31/$ET$15)*DE96</f>
        <v>0</v>
      </c>
      <c r="DF202" s="64">
        <f>(DF31/$ET$15)*DF96</f>
        <v>0</v>
      </c>
      <c r="DG202" s="64">
        <f>(DG31/$ET$15)*DG96</f>
        <v>1.5537985562048815</v>
      </c>
      <c r="DH202" s="64">
        <f>(DH31/$ET$15)*DH96</f>
        <v>0.30525953936060501</v>
      </c>
      <c r="DI202" s="64">
        <f>(DI31/$ET$15)*DI96</f>
        <v>0</v>
      </c>
      <c r="DJ202" s="64">
        <f>(DJ31/$ET$15)*DJ96</f>
        <v>0</v>
      </c>
      <c r="DK202" s="64">
        <f>(DK31/$ET$15)*DK96</f>
        <v>0</v>
      </c>
      <c r="DL202" s="64">
        <f>(DL31/$ET$15)*DL96</f>
        <v>0</v>
      </c>
      <c r="DM202" s="64">
        <f>(DM31/$ET$15)*DM96</f>
        <v>0</v>
      </c>
      <c r="DN202" s="64">
        <f>(DN31/$ET$15)*DN96</f>
        <v>0</v>
      </c>
      <c r="DO202" s="64">
        <f>(DO31/$ET$15)*DO96</f>
        <v>2.9288415262976968</v>
      </c>
      <c r="DP202" s="64">
        <f>(DP31/$ET$15)*DP96</f>
        <v>0</v>
      </c>
      <c r="DQ202" s="64">
        <f>(DQ31/$ET$15)*DQ96</f>
        <v>0</v>
      </c>
      <c r="DR202" s="64">
        <f>(DR31/$ET$15)*DR96</f>
        <v>0</v>
      </c>
      <c r="DS202" s="64">
        <f>(DS31/$ET$15)*DS96</f>
        <v>0</v>
      </c>
      <c r="DT202" s="64">
        <f>(DT31/$ET$15)*DT96</f>
        <v>0</v>
      </c>
      <c r="DU202" s="64">
        <f>(DU31/$ET$15)*DU96</f>
        <v>0</v>
      </c>
      <c r="DV202" s="64">
        <f>(DV31/$ET$15)*DV96</f>
        <v>0</v>
      </c>
      <c r="DW202" s="64">
        <f>(DW31/$ET$15)*DW96</f>
        <v>0</v>
      </c>
      <c r="DX202" s="64">
        <f>(DX31/$ET$15)*DX96</f>
        <v>0</v>
      </c>
      <c r="DY202" s="64">
        <f>(DY31/$ET$15)*DY96</f>
        <v>0</v>
      </c>
      <c r="DZ202" s="64">
        <f>(DZ31/$ET$15)*DZ96</f>
        <v>0</v>
      </c>
      <c r="EA202" s="64">
        <f>(EA31/$ET$15)*EA96</f>
        <v>0</v>
      </c>
      <c r="EB202" s="64">
        <f>(EB31/$ET$15)*EB96</f>
        <v>0</v>
      </c>
      <c r="EC202" s="64">
        <f>(EC31/$ET$15)*EC96</f>
        <v>0</v>
      </c>
      <c r="ED202" s="64">
        <f>(ED31/$ET$15)*ED96</f>
        <v>0</v>
      </c>
      <c r="EE202" s="64">
        <f>(EE31/$ET$15)*EE96</f>
        <v>0</v>
      </c>
      <c r="EF202" s="64">
        <f>(EF31/$ET$15)*EF96</f>
        <v>0</v>
      </c>
      <c r="EG202" s="64">
        <f>(EG31/$ET$15)*EG96</f>
        <v>0</v>
      </c>
      <c r="EH202" s="64">
        <f>(EH31/$ET$15)*EH96</f>
        <v>0</v>
      </c>
      <c r="EI202" s="64">
        <f>(EI31/$ET$15)*EI96</f>
        <v>0</v>
      </c>
      <c r="EJ202" s="64">
        <f>(EJ31/$ET$15)*EJ96</f>
        <v>0</v>
      </c>
      <c r="EK202" s="64">
        <f>(EK31/$ET$15)*EK96</f>
        <v>0</v>
      </c>
      <c r="EL202" s="64">
        <f>(EL31/$ET$15)*EL96</f>
        <v>0</v>
      </c>
      <c r="EM202" s="64">
        <f>(EM31/$ET$15)*EM96</f>
        <v>0</v>
      </c>
      <c r="EN202" s="64">
        <f>(EN31/$ET$15)*EN96</f>
        <v>1.0835338604331386</v>
      </c>
      <c r="EO202" s="64">
        <f>(EO31/$ET$15)*EO96</f>
        <v>0.87830869714678594</v>
      </c>
      <c r="EP202" s="64">
        <f>(EP31/$ET$15)*EP96</f>
        <v>0</v>
      </c>
      <c r="EQ202" s="64">
        <f>(EQ31/$ET$15)*EQ96</f>
        <v>0</v>
      </c>
      <c r="ER202" s="64">
        <f>(ER31/$ET$15)*ER96</f>
        <v>0</v>
      </c>
      <c r="ES202" s="64">
        <f>(ES31/$ET$15)*ES96</f>
        <v>0</v>
      </c>
    </row>
    <row r="203" spans="1:149" x14ac:dyDescent="0.3">
      <c r="A203" s="37" t="s">
        <v>26</v>
      </c>
      <c r="B203" s="64">
        <f>(B32/$ET$15)*B97</f>
        <v>0</v>
      </c>
      <c r="C203" s="64">
        <f>(C32/$ET$15)*C97</f>
        <v>0</v>
      </c>
      <c r="D203" s="64">
        <f>(D32/$ET$15)*D97</f>
        <v>0</v>
      </c>
      <c r="E203" s="64">
        <f>(E32/$ET$15)*E97</f>
        <v>0</v>
      </c>
      <c r="F203" s="64">
        <f>(F32/$ET$15)*F97</f>
        <v>0</v>
      </c>
      <c r="G203" s="64">
        <f>(G32/$ET$15)*G97</f>
        <v>0</v>
      </c>
      <c r="H203" s="64">
        <f>(H32/$ET$15)*H97</f>
        <v>0</v>
      </c>
      <c r="I203" s="64">
        <f>(I32/$ET$15)*I97</f>
        <v>0</v>
      </c>
      <c r="J203" s="64">
        <f>(J32/$ET$15)*J97</f>
        <v>0</v>
      </c>
      <c r="K203" s="64">
        <f>(K32/$ET$15)*K97</f>
        <v>0</v>
      </c>
      <c r="L203" s="64">
        <f>(L32/$ET$15)*L97</f>
        <v>0</v>
      </c>
      <c r="M203" s="64">
        <f>(M32/$ET$15)*M97</f>
        <v>0</v>
      </c>
      <c r="N203" s="64">
        <f>(N32/$ET$15)*N97</f>
        <v>0</v>
      </c>
      <c r="O203" s="64">
        <f>(O32/$ET$15)*O97</f>
        <v>0</v>
      </c>
      <c r="P203" s="64">
        <f>(P32/$ET$15)*P97</f>
        <v>0</v>
      </c>
      <c r="Q203" s="64">
        <f>(Q32/$ET$15)*Q97</f>
        <v>0</v>
      </c>
      <c r="R203" s="64">
        <f>(R32/$ET$15)*R97</f>
        <v>0</v>
      </c>
      <c r="S203" s="64">
        <f>(S32/$ET$15)*S97</f>
        <v>0</v>
      </c>
      <c r="T203" s="64">
        <f>(T32/$ET$15)*T97</f>
        <v>0</v>
      </c>
      <c r="U203" s="64">
        <f>(U32/$ET$15)*U97</f>
        <v>0</v>
      </c>
      <c r="V203" s="64">
        <f>(V32/$ET$15)*V97</f>
        <v>0</v>
      </c>
      <c r="W203" s="64">
        <f>(W32/$ET$15)*W97</f>
        <v>0</v>
      </c>
      <c r="X203" s="64">
        <f>(X32/$ET$15)*X97</f>
        <v>0</v>
      </c>
      <c r="Y203" s="64">
        <f>(Y32/$ET$15)*Y97</f>
        <v>0</v>
      </c>
      <c r="Z203" s="64">
        <f>(Z32/$ET$15)*Z97</f>
        <v>0</v>
      </c>
      <c r="AA203" s="64">
        <f>(AA32/$ET$15)*AA97</f>
        <v>0</v>
      </c>
      <c r="AB203" s="64">
        <f>(AB32/$ET$15)*AB97</f>
        <v>0</v>
      </c>
      <c r="AC203" s="64">
        <f>(AC32/$ET$15)*AC97</f>
        <v>0</v>
      </c>
      <c r="AD203" s="64">
        <f>(AD32/$ET$15)*AD97</f>
        <v>0</v>
      </c>
      <c r="AE203" s="64">
        <f>(AE32/$ET$15)*AE97</f>
        <v>0</v>
      </c>
      <c r="AF203" s="64">
        <f>(AF32/$ET$15)*AF97</f>
        <v>0</v>
      </c>
      <c r="AG203" s="64">
        <f>(AG32/$ET$15)*AG97</f>
        <v>0</v>
      </c>
      <c r="AH203" s="64">
        <f>(AH32/$ET$15)*AH97</f>
        <v>0</v>
      </c>
      <c r="AI203" s="64">
        <f>(AI32/$ET$15)*AI97</f>
        <v>0</v>
      </c>
      <c r="AJ203" s="64">
        <f>(AJ32/$ET$15)*AJ97</f>
        <v>0</v>
      </c>
      <c r="AK203" s="64">
        <f>(AK32/$ET$15)*AK97</f>
        <v>0</v>
      </c>
      <c r="AL203" s="64">
        <f>(AL32/$ET$15)*AL97</f>
        <v>0</v>
      </c>
      <c r="AM203" s="64">
        <f>(AM32/$ET$15)*AM97</f>
        <v>0</v>
      </c>
      <c r="AN203" s="64">
        <f>(AN32/$ET$15)*AN97</f>
        <v>0</v>
      </c>
      <c r="AO203" s="64">
        <f>(AO32/$ET$15)*AO97</f>
        <v>0</v>
      </c>
      <c r="AP203" s="64">
        <f>(AP32/$ET$15)*AP97</f>
        <v>0</v>
      </c>
      <c r="AQ203" s="64">
        <f>(AQ32/$ET$15)*AQ97</f>
        <v>0</v>
      </c>
      <c r="AR203" s="64">
        <f>(AR32/$ET$15)*AR97</f>
        <v>0</v>
      </c>
      <c r="AS203" s="64">
        <f>(AS32/$ET$15)*AS97</f>
        <v>0</v>
      </c>
      <c r="AT203" s="64">
        <f>(AT32/$ET$15)*AT97</f>
        <v>0</v>
      </c>
      <c r="AU203" s="64">
        <f>(AU32/$ET$15)*AU97</f>
        <v>0</v>
      </c>
      <c r="AV203" s="64">
        <f>(AV32/$ET$15)*AV97</f>
        <v>0</v>
      </c>
      <c r="AW203" s="64">
        <f>(AW32/$ET$15)*AW97</f>
        <v>0</v>
      </c>
      <c r="AX203" s="64">
        <f>(AX32/$ET$15)*AX97</f>
        <v>0</v>
      </c>
      <c r="AY203" s="64">
        <f>(AY32/$ET$15)*AY97</f>
        <v>0</v>
      </c>
      <c r="AZ203" s="64">
        <f>(AZ32/$ET$15)*AZ97</f>
        <v>0</v>
      </c>
      <c r="BA203" s="64">
        <f>(BA32/$ET$15)*BA97</f>
        <v>0</v>
      </c>
      <c r="BB203" s="64">
        <f>(BB32/$ET$15)*BB97</f>
        <v>0</v>
      </c>
      <c r="BC203" s="64">
        <f>(BC32/$ET$15)*BC97</f>
        <v>0</v>
      </c>
      <c r="BD203" s="64">
        <f>(BD32/$ET$15)*BD97</f>
        <v>0</v>
      </c>
      <c r="BE203" s="64">
        <f>(BE32/$ET$15)*BE97</f>
        <v>0</v>
      </c>
      <c r="BF203" s="64">
        <f>(BF32/$ET$15)*BF97</f>
        <v>0</v>
      </c>
      <c r="BG203" s="64">
        <f>(BG32/$ET$15)*BG97</f>
        <v>0</v>
      </c>
      <c r="BH203" s="64">
        <f>(BH32/$ET$15)*BH97</f>
        <v>0</v>
      </c>
      <c r="BI203" s="64">
        <f>(BI32/$ET$15)*BI97</f>
        <v>0</v>
      </c>
      <c r="BJ203" s="64">
        <f>(BJ32/$ET$15)*BJ97</f>
        <v>0</v>
      </c>
      <c r="BK203" s="64">
        <f>(BK32/$ET$15)*BK97</f>
        <v>0</v>
      </c>
      <c r="BL203" s="64">
        <f>(BL32/$ET$15)*BL97</f>
        <v>0</v>
      </c>
      <c r="BM203" s="64">
        <f>(BM32/$ET$15)*BM97</f>
        <v>0</v>
      </c>
      <c r="BN203" s="64">
        <f>(BN32/$ET$15)*BN97</f>
        <v>0</v>
      </c>
      <c r="BO203" s="64">
        <f>(BO32/$ET$15)*BO97</f>
        <v>0</v>
      </c>
      <c r="BP203" s="64">
        <f>(BP32/$ET$15)*BP97</f>
        <v>0</v>
      </c>
      <c r="BQ203" s="64">
        <f>(BQ32/$ET$15)*BQ97</f>
        <v>0</v>
      </c>
      <c r="BR203" s="64">
        <f>(BR32/$ET$15)*BR97</f>
        <v>0</v>
      </c>
      <c r="BS203" s="64">
        <f>(BS32/$ET$15)*BS97</f>
        <v>0</v>
      </c>
      <c r="BT203" s="64">
        <f>(BT32/$ET$15)*BT97</f>
        <v>0</v>
      </c>
      <c r="BU203" s="64">
        <f>(BU32/$ET$15)*BU97</f>
        <v>0</v>
      </c>
      <c r="BV203" s="64">
        <f>(BV32/$ET$15)*BV97</f>
        <v>0</v>
      </c>
      <c r="BW203" s="64">
        <f>(BW32/$ET$15)*BW97</f>
        <v>0</v>
      </c>
      <c r="BX203" s="64">
        <f>(BX32/$ET$15)*BX97</f>
        <v>0</v>
      </c>
      <c r="BY203" s="64">
        <f>(BY32/$ET$15)*BY97</f>
        <v>0</v>
      </c>
      <c r="BZ203" s="64">
        <f>(BZ32/$ET$15)*BZ97</f>
        <v>0</v>
      </c>
      <c r="CA203" s="64">
        <f>(CA32/$ET$15)*CA97</f>
        <v>0</v>
      </c>
      <c r="CB203" s="64">
        <f>(CB32/$ET$15)*CB97</f>
        <v>0</v>
      </c>
      <c r="CC203" s="64">
        <f>(CC32/$ET$15)*CC97</f>
        <v>0</v>
      </c>
      <c r="CD203" s="64">
        <f>(CD32/$ET$15)*CD97</f>
        <v>0</v>
      </c>
      <c r="CE203" s="64">
        <f>(CE32/$ET$15)*CE97</f>
        <v>0</v>
      </c>
      <c r="CF203" s="64">
        <f>(CF32/$ET$15)*CF97</f>
        <v>0</v>
      </c>
      <c r="CG203" s="64">
        <f>(CG32/$ET$15)*CG97</f>
        <v>0</v>
      </c>
      <c r="CH203" s="64">
        <f>(CH32/$ET$15)*CH97</f>
        <v>0</v>
      </c>
      <c r="CI203" s="64">
        <f>(CI32/$ET$15)*CI97</f>
        <v>0</v>
      </c>
      <c r="CJ203" s="64">
        <f>(CJ32/$ET$15)*CJ97</f>
        <v>0</v>
      </c>
      <c r="CK203" s="64">
        <f>(CK32/$ET$15)*CK97</f>
        <v>0</v>
      </c>
      <c r="CL203" s="64">
        <f>(CL32/$ET$15)*CL97</f>
        <v>0</v>
      </c>
      <c r="CM203" s="64">
        <f>(CM32/$ET$15)*CM97</f>
        <v>0</v>
      </c>
      <c r="CN203" s="64">
        <f>(CN32/$ET$15)*CN97</f>
        <v>0</v>
      </c>
      <c r="CO203" s="64">
        <f>(CO32/$ET$15)*CO97</f>
        <v>0</v>
      </c>
      <c r="CP203" s="64">
        <f>(CP32/$ET$15)*CP97</f>
        <v>0</v>
      </c>
      <c r="CQ203" s="64">
        <f>(CQ32/$ET$15)*CQ97</f>
        <v>0</v>
      </c>
      <c r="CR203" s="64">
        <f>(CR32/$ET$15)*CR97</f>
        <v>0</v>
      </c>
      <c r="CS203" s="64">
        <f>(CS32/$ET$15)*CS97</f>
        <v>0</v>
      </c>
      <c r="CT203" s="64">
        <f>(CT32/$ET$15)*CT97</f>
        <v>0</v>
      </c>
      <c r="CU203" s="64">
        <f>(CU32/$ET$15)*CU97</f>
        <v>0</v>
      </c>
      <c r="CV203" s="64">
        <f>(CV32/$ET$15)*CV97</f>
        <v>0</v>
      </c>
      <c r="CW203" s="64">
        <f>(CW32/$ET$15)*CW97</f>
        <v>0</v>
      </c>
      <c r="CX203" s="64">
        <f>(CX32/$ET$15)*CX97</f>
        <v>0</v>
      </c>
      <c r="CY203" s="64">
        <f>(CY32/$ET$15)*CY97</f>
        <v>0</v>
      </c>
      <c r="CZ203" s="64">
        <f>(CZ32/$ET$15)*CZ97</f>
        <v>0</v>
      </c>
      <c r="DA203" s="64">
        <f>(DA32/$ET$15)*DA97</f>
        <v>0</v>
      </c>
      <c r="DB203" s="64">
        <f>(DB32/$ET$15)*DB97</f>
        <v>0</v>
      </c>
      <c r="DC203" s="64">
        <f>(DC32/$ET$15)*DC97</f>
        <v>0</v>
      </c>
      <c r="DD203" s="64">
        <f>(DD32/$ET$15)*DD97</f>
        <v>0</v>
      </c>
      <c r="DE203" s="64">
        <f>(DE32/$ET$15)*DE97</f>
        <v>0</v>
      </c>
      <c r="DF203" s="64">
        <f>(DF32/$ET$15)*DF97</f>
        <v>0</v>
      </c>
      <c r="DG203" s="64">
        <f>(DG32/$ET$15)*DG97</f>
        <v>0</v>
      </c>
      <c r="DH203" s="64">
        <f>(DH32/$ET$15)*DH97</f>
        <v>0</v>
      </c>
      <c r="DI203" s="64">
        <f>(DI32/$ET$15)*DI97</f>
        <v>0</v>
      </c>
      <c r="DJ203" s="64">
        <f>(DJ32/$ET$15)*DJ97</f>
        <v>0</v>
      </c>
      <c r="DK203" s="64">
        <f>(DK32/$ET$15)*DK97</f>
        <v>0</v>
      </c>
      <c r="DL203" s="64">
        <f>(DL32/$ET$15)*DL97</f>
        <v>0</v>
      </c>
      <c r="DM203" s="64">
        <f>(DM32/$ET$15)*DM97</f>
        <v>0</v>
      </c>
      <c r="DN203" s="64">
        <f>(DN32/$ET$15)*DN97</f>
        <v>0</v>
      </c>
      <c r="DO203" s="64">
        <f>(DO32/$ET$15)*DO97</f>
        <v>0</v>
      </c>
      <c r="DP203" s="64">
        <f>(DP32/$ET$15)*DP97</f>
        <v>0</v>
      </c>
      <c r="DQ203" s="64">
        <f>(DQ32/$ET$15)*DQ97</f>
        <v>0</v>
      </c>
      <c r="DR203" s="64">
        <f>(DR32/$ET$15)*DR97</f>
        <v>0</v>
      </c>
      <c r="DS203" s="64">
        <f>(DS32/$ET$15)*DS97</f>
        <v>0</v>
      </c>
      <c r="DT203" s="64">
        <f>(DT32/$ET$15)*DT97</f>
        <v>0</v>
      </c>
      <c r="DU203" s="64">
        <f>(DU32/$ET$15)*DU97</f>
        <v>0</v>
      </c>
      <c r="DV203" s="64">
        <f>(DV32/$ET$15)*DV97</f>
        <v>0</v>
      </c>
      <c r="DW203" s="64">
        <f>(DW32/$ET$15)*DW97</f>
        <v>0</v>
      </c>
      <c r="DX203" s="64">
        <f>(DX32/$ET$15)*DX97</f>
        <v>0</v>
      </c>
      <c r="DY203" s="64">
        <f>(DY32/$ET$15)*DY97</f>
        <v>0</v>
      </c>
      <c r="DZ203" s="64">
        <f>(DZ32/$ET$15)*DZ97</f>
        <v>0</v>
      </c>
      <c r="EA203" s="64">
        <f>(EA32/$ET$15)*EA97</f>
        <v>0</v>
      </c>
      <c r="EB203" s="64">
        <f>(EB32/$ET$15)*EB97</f>
        <v>0</v>
      </c>
      <c r="EC203" s="64">
        <f>(EC32/$ET$15)*EC97</f>
        <v>0</v>
      </c>
      <c r="ED203" s="64">
        <f>(ED32/$ET$15)*ED97</f>
        <v>0</v>
      </c>
      <c r="EE203" s="64">
        <f>(EE32/$ET$15)*EE97</f>
        <v>0</v>
      </c>
      <c r="EF203" s="64">
        <f>(EF32/$ET$15)*EF97</f>
        <v>0</v>
      </c>
      <c r="EG203" s="64">
        <f>(EG32/$ET$15)*EG97</f>
        <v>0</v>
      </c>
      <c r="EH203" s="64">
        <f>(EH32/$ET$15)*EH97</f>
        <v>0</v>
      </c>
      <c r="EI203" s="64">
        <f>(EI32/$ET$15)*EI97</f>
        <v>0</v>
      </c>
      <c r="EJ203" s="64">
        <f>(EJ32/$ET$15)*EJ97</f>
        <v>0</v>
      </c>
      <c r="EK203" s="64">
        <f>(EK32/$ET$15)*EK97</f>
        <v>0</v>
      </c>
      <c r="EL203" s="64">
        <f>(EL32/$ET$15)*EL97</f>
        <v>0</v>
      </c>
      <c r="EM203" s="64">
        <f>(EM32/$ET$15)*EM97</f>
        <v>0</v>
      </c>
      <c r="EN203" s="64">
        <f>(EN32/$ET$15)*EN97</f>
        <v>0</v>
      </c>
      <c r="EO203" s="64">
        <f>(EO32/$ET$15)*EO97</f>
        <v>0</v>
      </c>
      <c r="EP203" s="64">
        <f>(EP32/$ET$15)*EP97</f>
        <v>0</v>
      </c>
      <c r="EQ203" s="64">
        <f>(EQ32/$ET$15)*EQ97</f>
        <v>0</v>
      </c>
      <c r="ER203" s="64">
        <f>(ER32/$ET$15)*ER97</f>
        <v>0</v>
      </c>
      <c r="ES203" s="64">
        <f>(ES32/$ET$15)*ES97</f>
        <v>0</v>
      </c>
    </row>
    <row r="204" spans="1:149" x14ac:dyDescent="0.3">
      <c r="A204" s="37" t="s">
        <v>19</v>
      </c>
      <c r="B204" s="64">
        <f>(B33/$ET$15)*B98</f>
        <v>0</v>
      </c>
      <c r="C204" s="64">
        <f>(C33/$ET$15)*C98</f>
        <v>0</v>
      </c>
      <c r="D204" s="64">
        <f>(D33/$ET$15)*D98</f>
        <v>0</v>
      </c>
      <c r="E204" s="64">
        <f>(E33/$ET$15)*E98</f>
        <v>0</v>
      </c>
      <c r="F204" s="64">
        <f>(F33/$ET$15)*F98</f>
        <v>0</v>
      </c>
      <c r="G204" s="64">
        <f>(G33/$ET$15)*G98</f>
        <v>0</v>
      </c>
      <c r="H204" s="64">
        <f>(H33/$ET$15)*H98</f>
        <v>0</v>
      </c>
      <c r="I204" s="64">
        <f>(I33/$ET$15)*I98</f>
        <v>0</v>
      </c>
      <c r="J204" s="64">
        <f>(J33/$ET$15)*J98</f>
        <v>0</v>
      </c>
      <c r="K204" s="64">
        <f>(K33/$ET$15)*K98</f>
        <v>0</v>
      </c>
      <c r="L204" s="64">
        <f>(L33/$ET$15)*L98</f>
        <v>0</v>
      </c>
      <c r="M204" s="64">
        <f>(M33/$ET$15)*M98</f>
        <v>3.0360948779649366</v>
      </c>
      <c r="N204" s="64">
        <f>(N33/$ET$15)*N98</f>
        <v>0</v>
      </c>
      <c r="O204" s="64">
        <f>(O33/$ET$15)*O98</f>
        <v>0</v>
      </c>
      <c r="P204" s="64">
        <f>(P33/$ET$15)*P98</f>
        <v>0</v>
      </c>
      <c r="Q204" s="64">
        <f>(Q33/$ET$15)*Q98</f>
        <v>0</v>
      </c>
      <c r="R204" s="64">
        <f>(R33/$ET$15)*R98</f>
        <v>0.56651770367823995</v>
      </c>
      <c r="S204" s="64">
        <f>(S33/$ET$15)*S98</f>
        <v>0</v>
      </c>
      <c r="T204" s="64">
        <f>(T33/$ET$15)*T98</f>
        <v>0</v>
      </c>
      <c r="U204" s="64">
        <f>(U33/$ET$15)*U98</f>
        <v>0</v>
      </c>
      <c r="V204" s="64">
        <f>(V33/$ET$15)*V98</f>
        <v>0</v>
      </c>
      <c r="W204" s="64">
        <f>(W33/$ET$15)*W98</f>
        <v>0</v>
      </c>
      <c r="X204" s="64">
        <f>(X33/$ET$15)*X98</f>
        <v>0</v>
      </c>
      <c r="Y204" s="64">
        <f>(Y33/$ET$15)*Y98</f>
        <v>0</v>
      </c>
      <c r="Z204" s="64">
        <f>(Z33/$ET$15)*Z98</f>
        <v>0</v>
      </c>
      <c r="AA204" s="64">
        <f>(AA33/$ET$15)*AA98</f>
        <v>0</v>
      </c>
      <c r="AB204" s="64">
        <f>(AB33/$ET$15)*AB98</f>
        <v>0</v>
      </c>
      <c r="AC204" s="64">
        <f>(AC33/$ET$15)*AC98</f>
        <v>0</v>
      </c>
      <c r="AD204" s="64">
        <f>(AD33/$ET$15)*AD98</f>
        <v>0</v>
      </c>
      <c r="AE204" s="64">
        <f>(AE33/$ET$15)*AE98</f>
        <v>0</v>
      </c>
      <c r="AF204" s="64">
        <f>(AF33/$ET$15)*AF98</f>
        <v>0</v>
      </c>
      <c r="AG204" s="64">
        <f>(AG33/$ET$15)*AG98</f>
        <v>0</v>
      </c>
      <c r="AH204" s="64">
        <f>(AH33/$ET$15)*AH98</f>
        <v>0</v>
      </c>
      <c r="AI204" s="64">
        <f>(AI33/$ET$15)*AI98</f>
        <v>0</v>
      </c>
      <c r="AJ204" s="64">
        <f>(AJ33/$ET$15)*AJ98</f>
        <v>0</v>
      </c>
      <c r="AK204" s="64">
        <f>(AK33/$ET$15)*AK98</f>
        <v>0</v>
      </c>
      <c r="AL204" s="64">
        <f>(AL33/$ET$15)*AL98</f>
        <v>0</v>
      </c>
      <c r="AM204" s="64">
        <f>(AM33/$ET$15)*AM98</f>
        <v>0</v>
      </c>
      <c r="AN204" s="64">
        <f>(AN33/$ET$15)*AN98</f>
        <v>0</v>
      </c>
      <c r="AO204" s="64">
        <f>(AO33/$ET$15)*AO98</f>
        <v>0</v>
      </c>
      <c r="AP204" s="64">
        <f>(AP33/$ET$15)*AP98</f>
        <v>0</v>
      </c>
      <c r="AQ204" s="64">
        <f>(AQ33/$ET$15)*AQ98</f>
        <v>1.7545548298384326</v>
      </c>
      <c r="AR204" s="64">
        <f>(AR33/$ET$15)*AR98</f>
        <v>0</v>
      </c>
      <c r="AS204" s="64">
        <f>(AS33/$ET$15)*AS98</f>
        <v>0</v>
      </c>
      <c r="AT204" s="64">
        <f>(AT33/$ET$15)*AT98</f>
        <v>0</v>
      </c>
      <c r="AU204" s="64">
        <f>(AU33/$ET$15)*AU98</f>
        <v>0</v>
      </c>
      <c r="AV204" s="64">
        <f>(AV33/$ET$15)*AV98</f>
        <v>0.39601237538673079</v>
      </c>
      <c r="AW204" s="64">
        <f>(AW33/$ET$15)*AW98</f>
        <v>0</v>
      </c>
      <c r="AX204" s="64">
        <f>(AX33/$ET$15)*AX98</f>
        <v>0</v>
      </c>
      <c r="AY204" s="64">
        <f>(AY33/$ET$15)*AY98</f>
        <v>0</v>
      </c>
      <c r="AZ204" s="64">
        <f>(AZ33/$ET$15)*AZ98</f>
        <v>0</v>
      </c>
      <c r="BA204" s="64">
        <f>(BA33/$ET$15)*BA98</f>
        <v>0</v>
      </c>
      <c r="BB204" s="64">
        <f>(BB33/$ET$15)*BB98</f>
        <v>0</v>
      </c>
      <c r="BC204" s="64">
        <f>(BC33/$ET$15)*BC98</f>
        <v>0</v>
      </c>
      <c r="BD204" s="64">
        <f>(BD33/$ET$15)*BD98</f>
        <v>0</v>
      </c>
      <c r="BE204" s="64">
        <f>(BE33/$ET$15)*BE98</f>
        <v>0</v>
      </c>
      <c r="BF204" s="64">
        <f>(BF33/$ET$15)*BF98</f>
        <v>0</v>
      </c>
      <c r="BG204" s="64">
        <f>(BG33/$ET$15)*BG98</f>
        <v>0</v>
      </c>
      <c r="BH204" s="64">
        <f>(BH33/$ET$15)*BH98</f>
        <v>0</v>
      </c>
      <c r="BI204" s="64">
        <f>(BI33/$ET$15)*BI98</f>
        <v>0</v>
      </c>
      <c r="BJ204" s="64">
        <f>(BJ33/$ET$15)*BJ98</f>
        <v>0</v>
      </c>
      <c r="BK204" s="64">
        <f>(BK33/$ET$15)*BK98</f>
        <v>0</v>
      </c>
      <c r="BL204" s="64">
        <f>(BL33/$ET$15)*BL98</f>
        <v>0</v>
      </c>
      <c r="BM204" s="64">
        <f>(BM33/$ET$15)*BM98</f>
        <v>0</v>
      </c>
      <c r="BN204" s="64">
        <f>(BN33/$ET$15)*BN98</f>
        <v>0</v>
      </c>
      <c r="BO204" s="64">
        <f>(BO33/$ET$15)*BO98</f>
        <v>0</v>
      </c>
      <c r="BP204" s="64">
        <f>(BP33/$ET$15)*BP98</f>
        <v>0</v>
      </c>
      <c r="BQ204" s="64">
        <f>(BQ33/$ET$15)*BQ98</f>
        <v>0</v>
      </c>
      <c r="BR204" s="64">
        <f>(BR33/$ET$15)*BR98</f>
        <v>0</v>
      </c>
      <c r="BS204" s="64">
        <f>(BS33/$ET$15)*BS98</f>
        <v>0</v>
      </c>
      <c r="BT204" s="64">
        <f>(BT33/$ET$15)*BT98</f>
        <v>0</v>
      </c>
      <c r="BU204" s="64">
        <f>(BU33/$ET$15)*BU98</f>
        <v>0</v>
      </c>
      <c r="BV204" s="64">
        <f>(BV33/$ET$15)*BV98</f>
        <v>0</v>
      </c>
      <c r="BW204" s="64">
        <f>(BW33/$ET$15)*BW98</f>
        <v>0</v>
      </c>
      <c r="BX204" s="64">
        <f>(BX33/$ET$15)*BX98</f>
        <v>0</v>
      </c>
      <c r="BY204" s="64">
        <f>(BY33/$ET$15)*BY98</f>
        <v>0</v>
      </c>
      <c r="BZ204" s="64">
        <f>(BZ33/$ET$15)*BZ98</f>
        <v>0</v>
      </c>
      <c r="CA204" s="64">
        <f>(CA33/$ET$15)*CA98</f>
        <v>0</v>
      </c>
      <c r="CB204" s="64">
        <f>(CB33/$ET$15)*CB98</f>
        <v>0</v>
      </c>
      <c r="CC204" s="64">
        <f>(CC33/$ET$15)*CC98</f>
        <v>0</v>
      </c>
      <c r="CD204" s="64">
        <f>(CD33/$ET$15)*CD98</f>
        <v>0</v>
      </c>
      <c r="CE204" s="64">
        <f>(CE33/$ET$15)*CE98</f>
        <v>0</v>
      </c>
      <c r="CF204" s="64">
        <f>(CF33/$ET$15)*CF98</f>
        <v>0</v>
      </c>
      <c r="CG204" s="64">
        <f>(CG33/$ET$15)*CG98</f>
        <v>0</v>
      </c>
      <c r="CH204" s="64">
        <f>(CH33/$ET$15)*CH98</f>
        <v>0</v>
      </c>
      <c r="CI204" s="64">
        <f>(CI33/$ET$15)*CI98</f>
        <v>0</v>
      </c>
      <c r="CJ204" s="64">
        <f>(CJ33/$ET$15)*CJ98</f>
        <v>0</v>
      </c>
      <c r="CK204" s="64">
        <f>(CK33/$ET$15)*CK98</f>
        <v>0</v>
      </c>
      <c r="CL204" s="64">
        <f>(CL33/$ET$15)*CL98</f>
        <v>0</v>
      </c>
      <c r="CM204" s="64">
        <f>(CM33/$ET$15)*CM98</f>
        <v>0.10312822275696117</v>
      </c>
      <c r="CN204" s="64">
        <f>(CN33/$ET$15)*CN98</f>
        <v>0</v>
      </c>
      <c r="CO204" s="64">
        <f>(CO33/$ET$15)*CO98</f>
        <v>0</v>
      </c>
      <c r="CP204" s="64">
        <f>(CP33/$ET$15)*CP98</f>
        <v>0</v>
      </c>
      <c r="CQ204" s="64">
        <f>(CQ33/$ET$15)*CQ98</f>
        <v>0</v>
      </c>
      <c r="CR204" s="64">
        <f>(CR33/$ET$15)*CR98</f>
        <v>0</v>
      </c>
      <c r="CS204" s="64">
        <f>(CS33/$ET$15)*CS98</f>
        <v>0</v>
      </c>
      <c r="CT204" s="64">
        <f>(CT33/$ET$15)*CT98</f>
        <v>0</v>
      </c>
      <c r="CU204" s="64">
        <f>(CU33/$ET$15)*CU98</f>
        <v>0</v>
      </c>
      <c r="CV204" s="64">
        <f>(CV33/$ET$15)*CV98</f>
        <v>0</v>
      </c>
      <c r="CW204" s="64">
        <f>(CW33/$ET$15)*CW98</f>
        <v>0</v>
      </c>
      <c r="CX204" s="64">
        <f>(CX33/$ET$15)*CX98</f>
        <v>0</v>
      </c>
      <c r="CY204" s="64">
        <f>(CY33/$ET$15)*CY98</f>
        <v>0</v>
      </c>
      <c r="CZ204" s="64">
        <f>(CZ33/$ET$15)*CZ98</f>
        <v>0</v>
      </c>
      <c r="DA204" s="64">
        <f>(DA33/$ET$15)*DA98</f>
        <v>0</v>
      </c>
      <c r="DB204" s="64">
        <f>(DB33/$ET$15)*DB98</f>
        <v>0</v>
      </c>
      <c r="DC204" s="64">
        <f>(DC33/$ET$15)*DC98</f>
        <v>0</v>
      </c>
      <c r="DD204" s="64">
        <f>(DD33/$ET$15)*DD98</f>
        <v>0</v>
      </c>
      <c r="DE204" s="64">
        <f>(DE33/$ET$15)*DE98</f>
        <v>0</v>
      </c>
      <c r="DF204" s="64">
        <f>(DF33/$ET$15)*DF98</f>
        <v>0</v>
      </c>
      <c r="DG204" s="64">
        <f>(DG33/$ET$15)*DG98</f>
        <v>0</v>
      </c>
      <c r="DH204" s="64">
        <f>(DH33/$ET$15)*DH98</f>
        <v>0</v>
      </c>
      <c r="DI204" s="64">
        <f>(DI33/$ET$15)*DI98</f>
        <v>0</v>
      </c>
      <c r="DJ204" s="64">
        <f>(DJ33/$ET$15)*DJ98</f>
        <v>0</v>
      </c>
      <c r="DK204" s="64">
        <f>(DK33/$ET$15)*DK98</f>
        <v>0</v>
      </c>
      <c r="DL204" s="64">
        <f>(DL33/$ET$15)*DL98</f>
        <v>0</v>
      </c>
      <c r="DM204" s="64">
        <f>(DM33/$ET$15)*DM98</f>
        <v>0</v>
      </c>
      <c r="DN204" s="64">
        <f>(DN33/$ET$15)*DN98</f>
        <v>0</v>
      </c>
      <c r="DO204" s="64">
        <f>(DO33/$ET$15)*DO98</f>
        <v>0</v>
      </c>
      <c r="DP204" s="64">
        <f>(DP33/$ET$15)*DP98</f>
        <v>0</v>
      </c>
      <c r="DQ204" s="64">
        <f>(DQ33/$ET$15)*DQ98</f>
        <v>0</v>
      </c>
      <c r="DR204" s="64">
        <f>(DR33/$ET$15)*DR98</f>
        <v>0</v>
      </c>
      <c r="DS204" s="64">
        <f>(DS33/$ET$15)*DS98</f>
        <v>0</v>
      </c>
      <c r="DT204" s="64">
        <f>(DT33/$ET$15)*DT98</f>
        <v>0</v>
      </c>
      <c r="DU204" s="64">
        <f>(DU33/$ET$15)*DU98</f>
        <v>0</v>
      </c>
      <c r="DV204" s="64">
        <f>(DV33/$ET$15)*DV98</f>
        <v>0</v>
      </c>
      <c r="DW204" s="64">
        <f>(DW33/$ET$15)*DW98</f>
        <v>0</v>
      </c>
      <c r="DX204" s="64">
        <f>(DX33/$ET$15)*DX98</f>
        <v>0</v>
      </c>
      <c r="DY204" s="64">
        <f>(DY33/$ET$15)*DY98</f>
        <v>0</v>
      </c>
      <c r="DZ204" s="64">
        <f>(DZ33/$ET$15)*DZ98</f>
        <v>0</v>
      </c>
      <c r="EA204" s="64">
        <f>(EA33/$ET$15)*EA98</f>
        <v>0</v>
      </c>
      <c r="EB204" s="64">
        <f>(EB33/$ET$15)*EB98</f>
        <v>0</v>
      </c>
      <c r="EC204" s="64">
        <f>(EC33/$ET$15)*EC98</f>
        <v>0</v>
      </c>
      <c r="ED204" s="64">
        <f>(ED33/$ET$15)*ED98</f>
        <v>2.8119628738398075</v>
      </c>
      <c r="EE204" s="64">
        <f>(EE33/$ET$15)*EE98</f>
        <v>0</v>
      </c>
      <c r="EF204" s="64">
        <f>(EF33/$ET$15)*EF98</f>
        <v>0</v>
      </c>
      <c r="EG204" s="64">
        <f>(EG33/$ET$15)*EG98</f>
        <v>0</v>
      </c>
      <c r="EH204" s="64">
        <f>(EH33/$ET$15)*EH98</f>
        <v>0</v>
      </c>
      <c r="EI204" s="64">
        <f>(EI33/$ET$15)*EI98</f>
        <v>0</v>
      </c>
      <c r="EJ204" s="64">
        <f>(EJ33/$ET$15)*EJ98</f>
        <v>0</v>
      </c>
      <c r="EK204" s="64">
        <f>(EK33/$ET$15)*EK98</f>
        <v>0</v>
      </c>
      <c r="EL204" s="64">
        <f>(EL33/$ET$15)*EL98</f>
        <v>0</v>
      </c>
      <c r="EM204" s="64">
        <f>(EM33/$ET$15)*EM98</f>
        <v>0</v>
      </c>
      <c r="EN204" s="64">
        <f>(EN33/$ET$15)*EN98</f>
        <v>0</v>
      </c>
      <c r="EO204" s="64">
        <f>(EO33/$ET$15)*EO98</f>
        <v>0</v>
      </c>
      <c r="EP204" s="64">
        <f>(EP33/$ET$15)*EP98</f>
        <v>0</v>
      </c>
      <c r="EQ204" s="64">
        <f>(EQ33/$ET$15)*EQ98</f>
        <v>0</v>
      </c>
      <c r="ER204" s="64">
        <f>(ER33/$ET$15)*ER98</f>
        <v>0</v>
      </c>
      <c r="ES204" s="64">
        <f>(ES33/$ET$15)*ES98</f>
        <v>0</v>
      </c>
    </row>
    <row r="205" spans="1:149" x14ac:dyDescent="0.3">
      <c r="A205" s="37" t="s">
        <v>12</v>
      </c>
      <c r="B205" s="64">
        <f>(B34/$ET$15)*B99</f>
        <v>0</v>
      </c>
      <c r="C205" s="64">
        <f>(C34/$ET$15)*C99</f>
        <v>0</v>
      </c>
      <c r="D205" s="64">
        <f>(D34/$ET$15)*D99</f>
        <v>0</v>
      </c>
      <c r="E205" s="64">
        <f>(E34/$ET$15)*E99</f>
        <v>0</v>
      </c>
      <c r="F205" s="64">
        <f>(F34/$ET$15)*F99</f>
        <v>0</v>
      </c>
      <c r="G205" s="64">
        <f>(G34/$ET$15)*G99</f>
        <v>0</v>
      </c>
      <c r="H205" s="64">
        <f>(H34/$ET$15)*H99</f>
        <v>0</v>
      </c>
      <c r="I205" s="64">
        <f>(I34/$ET$15)*I99</f>
        <v>0</v>
      </c>
      <c r="J205" s="64">
        <f>(J34/$ET$15)*J99</f>
        <v>0</v>
      </c>
      <c r="K205" s="64">
        <f>(K34/$ET$15)*K99</f>
        <v>0</v>
      </c>
      <c r="L205" s="64">
        <f>(L34/$ET$15)*L99</f>
        <v>0</v>
      </c>
      <c r="M205" s="64">
        <f>(M34/$ET$15)*M99</f>
        <v>0</v>
      </c>
      <c r="N205" s="64">
        <f>(N34/$ET$15)*N99</f>
        <v>0</v>
      </c>
      <c r="O205" s="64">
        <f>(O34/$ET$15)*O99</f>
        <v>0</v>
      </c>
      <c r="P205" s="64">
        <f>(P34/$ET$15)*P99</f>
        <v>0</v>
      </c>
      <c r="Q205" s="64">
        <f>(Q34/$ET$15)*Q99</f>
        <v>0</v>
      </c>
      <c r="R205" s="64">
        <f>(R34/$ET$15)*R99</f>
        <v>0</v>
      </c>
      <c r="S205" s="64">
        <f>(S34/$ET$15)*S99</f>
        <v>0</v>
      </c>
      <c r="T205" s="64">
        <f>(T34/$ET$15)*T99</f>
        <v>0</v>
      </c>
      <c r="U205" s="64">
        <f>(U34/$ET$15)*U99</f>
        <v>0</v>
      </c>
      <c r="V205" s="64">
        <f>(V34/$ET$15)*V99</f>
        <v>0</v>
      </c>
      <c r="W205" s="64">
        <f>(W34/$ET$15)*W99</f>
        <v>0</v>
      </c>
      <c r="X205" s="64">
        <f>(X34/$ET$15)*X99</f>
        <v>0</v>
      </c>
      <c r="Y205" s="64">
        <f>(Y34/$ET$15)*Y99</f>
        <v>0</v>
      </c>
      <c r="Z205" s="64">
        <f>(Z34/$ET$15)*Z99</f>
        <v>0</v>
      </c>
      <c r="AA205" s="64">
        <f>(AA34/$ET$15)*AA99</f>
        <v>0</v>
      </c>
      <c r="AB205" s="64">
        <f>(AB34/$ET$15)*AB99</f>
        <v>0</v>
      </c>
      <c r="AC205" s="64">
        <f>(AC34/$ET$15)*AC99</f>
        <v>0</v>
      </c>
      <c r="AD205" s="64">
        <f>(AD34/$ET$15)*AD99</f>
        <v>0</v>
      </c>
      <c r="AE205" s="64">
        <f>(AE34/$ET$15)*AE99</f>
        <v>0</v>
      </c>
      <c r="AF205" s="64">
        <f>(AF34/$ET$15)*AF99</f>
        <v>0</v>
      </c>
      <c r="AG205" s="64">
        <f>(AG34/$ET$15)*AG99</f>
        <v>0</v>
      </c>
      <c r="AH205" s="64">
        <f>(AH34/$ET$15)*AH99</f>
        <v>0</v>
      </c>
      <c r="AI205" s="64">
        <f>(AI34/$ET$15)*AI99</f>
        <v>0</v>
      </c>
      <c r="AJ205" s="64">
        <f>(AJ34/$ET$15)*AJ99</f>
        <v>0</v>
      </c>
      <c r="AK205" s="64">
        <f>(AK34/$ET$15)*AK99</f>
        <v>0</v>
      </c>
      <c r="AL205" s="64">
        <f>(AL34/$ET$15)*AL99</f>
        <v>0</v>
      </c>
      <c r="AM205" s="64">
        <f>(AM34/$ET$15)*AM99</f>
        <v>0</v>
      </c>
      <c r="AN205" s="64">
        <f>(AN34/$ET$15)*AN99</f>
        <v>0</v>
      </c>
      <c r="AO205" s="64">
        <f>(AO34/$ET$15)*AO99</f>
        <v>0</v>
      </c>
      <c r="AP205" s="64">
        <f>(AP34/$ET$15)*AP99</f>
        <v>0</v>
      </c>
      <c r="AQ205" s="64">
        <f>(AQ34/$ET$15)*AQ99</f>
        <v>0</v>
      </c>
      <c r="AR205" s="64">
        <f>(AR34/$ET$15)*AR99</f>
        <v>0</v>
      </c>
      <c r="AS205" s="64">
        <f>(AS34/$ET$15)*AS99</f>
        <v>0</v>
      </c>
      <c r="AT205" s="64">
        <f>(AT34/$ET$15)*AT99</f>
        <v>0</v>
      </c>
      <c r="AU205" s="64">
        <f>(AU34/$ET$15)*AU99</f>
        <v>0</v>
      </c>
      <c r="AV205" s="64">
        <f>(AV34/$ET$15)*AV99</f>
        <v>0</v>
      </c>
      <c r="AW205" s="64">
        <f>(AW34/$ET$15)*AW99</f>
        <v>0</v>
      </c>
      <c r="AX205" s="64">
        <f>(AX34/$ET$15)*AX99</f>
        <v>0</v>
      </c>
      <c r="AY205" s="64">
        <f>(AY34/$ET$15)*AY99</f>
        <v>0</v>
      </c>
      <c r="AZ205" s="64">
        <f>(AZ34/$ET$15)*AZ99</f>
        <v>0</v>
      </c>
      <c r="BA205" s="64">
        <f>(BA34/$ET$15)*BA99</f>
        <v>0</v>
      </c>
      <c r="BB205" s="64">
        <f>(BB34/$ET$15)*BB99</f>
        <v>0</v>
      </c>
      <c r="BC205" s="64">
        <f>(BC34/$ET$15)*BC99</f>
        <v>0</v>
      </c>
      <c r="BD205" s="64">
        <f>(BD34/$ET$15)*BD99</f>
        <v>0</v>
      </c>
      <c r="BE205" s="64">
        <f>(BE34/$ET$15)*BE99</f>
        <v>0</v>
      </c>
      <c r="BF205" s="64">
        <f>(BF34/$ET$15)*BF99</f>
        <v>0</v>
      </c>
      <c r="BG205" s="64">
        <f>(BG34/$ET$15)*BG99</f>
        <v>0</v>
      </c>
      <c r="BH205" s="64">
        <f>(BH34/$ET$15)*BH99</f>
        <v>0</v>
      </c>
      <c r="BI205" s="64">
        <f>(BI34/$ET$15)*BI99</f>
        <v>0</v>
      </c>
      <c r="BJ205" s="64">
        <f>(BJ34/$ET$15)*BJ99</f>
        <v>0</v>
      </c>
      <c r="BK205" s="64">
        <f>(BK34/$ET$15)*BK99</f>
        <v>0</v>
      </c>
      <c r="BL205" s="64">
        <f>(BL34/$ET$15)*BL99</f>
        <v>0</v>
      </c>
      <c r="BM205" s="64">
        <f>(BM34/$ET$15)*BM99</f>
        <v>0</v>
      </c>
      <c r="BN205" s="64">
        <f>(BN34/$ET$15)*BN99</f>
        <v>0</v>
      </c>
      <c r="BO205" s="64">
        <f>(BO34/$ET$15)*BO99</f>
        <v>0</v>
      </c>
      <c r="BP205" s="64">
        <f>(BP34/$ET$15)*BP99</f>
        <v>0</v>
      </c>
      <c r="BQ205" s="64">
        <f>(BQ34/$ET$15)*BQ99</f>
        <v>0</v>
      </c>
      <c r="BR205" s="64">
        <f>(BR34/$ET$15)*BR99</f>
        <v>0</v>
      </c>
      <c r="BS205" s="64">
        <f>(BS34/$ET$15)*BS99</f>
        <v>0</v>
      </c>
      <c r="BT205" s="64">
        <f>(BT34/$ET$15)*BT99</f>
        <v>0</v>
      </c>
      <c r="BU205" s="64">
        <f>(BU34/$ET$15)*BU99</f>
        <v>0</v>
      </c>
      <c r="BV205" s="64">
        <f>(BV34/$ET$15)*BV99</f>
        <v>0</v>
      </c>
      <c r="BW205" s="64">
        <f>(BW34/$ET$15)*BW99</f>
        <v>0</v>
      </c>
      <c r="BX205" s="64">
        <f>(BX34/$ET$15)*BX99</f>
        <v>0</v>
      </c>
      <c r="BY205" s="64">
        <f>(BY34/$ET$15)*BY99</f>
        <v>0</v>
      </c>
      <c r="BZ205" s="64">
        <f>(BZ34/$ET$15)*BZ99</f>
        <v>0</v>
      </c>
      <c r="CA205" s="64">
        <f>(CA34/$ET$15)*CA99</f>
        <v>0</v>
      </c>
      <c r="CB205" s="64">
        <f>(CB34/$ET$15)*CB99</f>
        <v>0</v>
      </c>
      <c r="CC205" s="64">
        <f>(CC34/$ET$15)*CC99</f>
        <v>0</v>
      </c>
      <c r="CD205" s="64">
        <f>(CD34/$ET$15)*CD99</f>
        <v>0</v>
      </c>
      <c r="CE205" s="64">
        <f>(CE34/$ET$15)*CE99</f>
        <v>0</v>
      </c>
      <c r="CF205" s="64">
        <f>(CF34/$ET$15)*CF99</f>
        <v>0</v>
      </c>
      <c r="CG205" s="64">
        <f>(CG34/$ET$15)*CG99</f>
        <v>0</v>
      </c>
      <c r="CH205" s="64">
        <f>(CH34/$ET$15)*CH99</f>
        <v>0</v>
      </c>
      <c r="CI205" s="64">
        <f>(CI34/$ET$15)*CI99</f>
        <v>0</v>
      </c>
      <c r="CJ205" s="64">
        <f>(CJ34/$ET$15)*CJ99</f>
        <v>0</v>
      </c>
      <c r="CK205" s="64">
        <f>(CK34/$ET$15)*CK99</f>
        <v>0</v>
      </c>
      <c r="CL205" s="64">
        <f>(CL34/$ET$15)*CL99</f>
        <v>0</v>
      </c>
      <c r="CM205" s="64">
        <f>(CM34/$ET$15)*CM99</f>
        <v>0</v>
      </c>
      <c r="CN205" s="64">
        <f>(CN34/$ET$15)*CN99</f>
        <v>0</v>
      </c>
      <c r="CO205" s="64">
        <f>(CO34/$ET$15)*CO99</f>
        <v>0</v>
      </c>
      <c r="CP205" s="64">
        <f>(CP34/$ET$15)*CP99</f>
        <v>0</v>
      </c>
      <c r="CQ205" s="64">
        <f>(CQ34/$ET$15)*CQ99</f>
        <v>0</v>
      </c>
      <c r="CR205" s="64">
        <f>(CR34/$ET$15)*CR99</f>
        <v>0</v>
      </c>
      <c r="CS205" s="64">
        <f>(CS34/$ET$15)*CS99</f>
        <v>0</v>
      </c>
      <c r="CT205" s="64">
        <f>(CT34/$ET$15)*CT99</f>
        <v>0</v>
      </c>
      <c r="CU205" s="64">
        <f>(CU34/$ET$15)*CU99</f>
        <v>0</v>
      </c>
      <c r="CV205" s="64">
        <f>(CV34/$ET$15)*CV99</f>
        <v>0</v>
      </c>
      <c r="CW205" s="64">
        <f>(CW34/$ET$15)*CW99</f>
        <v>0</v>
      </c>
      <c r="CX205" s="64">
        <f>(CX34/$ET$15)*CX99</f>
        <v>0</v>
      </c>
      <c r="CY205" s="64">
        <f>(CY34/$ET$15)*CY99</f>
        <v>0</v>
      </c>
      <c r="CZ205" s="64">
        <f>(CZ34/$ET$15)*CZ99</f>
        <v>0</v>
      </c>
      <c r="DA205" s="64">
        <f>(DA34/$ET$15)*DA99</f>
        <v>0</v>
      </c>
      <c r="DB205" s="64">
        <f>(DB34/$ET$15)*DB99</f>
        <v>0</v>
      </c>
      <c r="DC205" s="64">
        <f>(DC34/$ET$15)*DC99</f>
        <v>0</v>
      </c>
      <c r="DD205" s="64">
        <f>(DD34/$ET$15)*DD99</f>
        <v>0</v>
      </c>
      <c r="DE205" s="64">
        <f>(DE34/$ET$15)*DE99</f>
        <v>0</v>
      </c>
      <c r="DF205" s="64">
        <f>(DF34/$ET$15)*DF99</f>
        <v>0</v>
      </c>
      <c r="DG205" s="64">
        <f>(DG34/$ET$15)*DG99</f>
        <v>0</v>
      </c>
      <c r="DH205" s="64">
        <f>(DH34/$ET$15)*DH99</f>
        <v>0</v>
      </c>
      <c r="DI205" s="64">
        <f>(DI34/$ET$15)*DI99</f>
        <v>0</v>
      </c>
      <c r="DJ205" s="64">
        <f>(DJ34/$ET$15)*DJ99</f>
        <v>0</v>
      </c>
      <c r="DK205" s="64">
        <f>(DK34/$ET$15)*DK99</f>
        <v>0</v>
      </c>
      <c r="DL205" s="64">
        <f>(DL34/$ET$15)*DL99</f>
        <v>0</v>
      </c>
      <c r="DM205" s="64">
        <f>(DM34/$ET$15)*DM99</f>
        <v>0</v>
      </c>
      <c r="DN205" s="64">
        <f>(DN34/$ET$15)*DN99</f>
        <v>0</v>
      </c>
      <c r="DO205" s="64">
        <f>(DO34/$ET$15)*DO99</f>
        <v>0</v>
      </c>
      <c r="DP205" s="64">
        <f>(DP34/$ET$15)*DP99</f>
        <v>0</v>
      </c>
      <c r="DQ205" s="64">
        <f>(DQ34/$ET$15)*DQ99</f>
        <v>0</v>
      </c>
      <c r="DR205" s="64">
        <f>(DR34/$ET$15)*DR99</f>
        <v>0</v>
      </c>
      <c r="DS205" s="64">
        <f>(DS34/$ET$15)*DS99</f>
        <v>0</v>
      </c>
      <c r="DT205" s="64">
        <f>(DT34/$ET$15)*DT99</f>
        <v>0</v>
      </c>
      <c r="DU205" s="64">
        <f>(DU34/$ET$15)*DU99</f>
        <v>0</v>
      </c>
      <c r="DV205" s="64">
        <f>(DV34/$ET$15)*DV99</f>
        <v>0</v>
      </c>
      <c r="DW205" s="64">
        <f>(DW34/$ET$15)*DW99</f>
        <v>0</v>
      </c>
      <c r="DX205" s="64">
        <f>(DX34/$ET$15)*DX99</f>
        <v>0</v>
      </c>
      <c r="DY205" s="64">
        <f>(DY34/$ET$15)*DY99</f>
        <v>0</v>
      </c>
      <c r="DZ205" s="64">
        <f>(DZ34/$ET$15)*DZ99</f>
        <v>0</v>
      </c>
      <c r="EA205" s="64">
        <f>(EA34/$ET$15)*EA99</f>
        <v>0</v>
      </c>
      <c r="EB205" s="64">
        <f>(EB34/$ET$15)*EB99</f>
        <v>0</v>
      </c>
      <c r="EC205" s="64">
        <f>(EC34/$ET$15)*EC99</f>
        <v>0</v>
      </c>
      <c r="ED205" s="64">
        <f>(ED34/$ET$15)*ED99</f>
        <v>0</v>
      </c>
      <c r="EE205" s="64">
        <f>(EE34/$ET$15)*EE99</f>
        <v>0</v>
      </c>
      <c r="EF205" s="64">
        <f>(EF34/$ET$15)*EF99</f>
        <v>0</v>
      </c>
      <c r="EG205" s="64">
        <f>(EG34/$ET$15)*EG99</f>
        <v>0</v>
      </c>
      <c r="EH205" s="64">
        <f>(EH34/$ET$15)*EH99</f>
        <v>0</v>
      </c>
      <c r="EI205" s="64">
        <f>(EI34/$ET$15)*EI99</f>
        <v>0</v>
      </c>
      <c r="EJ205" s="64">
        <f>(EJ34/$ET$15)*EJ99</f>
        <v>0</v>
      </c>
      <c r="EK205" s="64">
        <f>(EK34/$ET$15)*EK99</f>
        <v>0</v>
      </c>
      <c r="EL205" s="64">
        <f>(EL34/$ET$15)*EL99</f>
        <v>0</v>
      </c>
      <c r="EM205" s="64">
        <f>(EM34/$ET$15)*EM99</f>
        <v>0</v>
      </c>
      <c r="EN205" s="64">
        <f>(EN34/$ET$15)*EN99</f>
        <v>0</v>
      </c>
      <c r="EO205" s="64">
        <f>(EO34/$ET$15)*EO99</f>
        <v>0</v>
      </c>
      <c r="EP205" s="64">
        <f>(EP34/$ET$15)*EP99</f>
        <v>0</v>
      </c>
      <c r="EQ205" s="64">
        <f>(EQ34/$ET$15)*EQ99</f>
        <v>0</v>
      </c>
      <c r="ER205" s="64">
        <f>(ER34/$ET$15)*ER99</f>
        <v>0</v>
      </c>
      <c r="ES205" s="64">
        <f>(ES34/$ET$15)*ES99</f>
        <v>0</v>
      </c>
    </row>
    <row r="206" spans="1:149" x14ac:dyDescent="0.3">
      <c r="A206" s="37" t="s">
        <v>27</v>
      </c>
      <c r="B206" s="64">
        <f>(B35/$ET$15)*B100</f>
        <v>0</v>
      </c>
      <c r="C206" s="64">
        <f>(C35/$ET$15)*C100</f>
        <v>0</v>
      </c>
      <c r="D206" s="64">
        <f>(D35/$ET$15)*D100</f>
        <v>0</v>
      </c>
      <c r="E206" s="64">
        <f>(E35/$ET$15)*E100</f>
        <v>0</v>
      </c>
      <c r="F206" s="64">
        <f>(F35/$ET$15)*F100</f>
        <v>0</v>
      </c>
      <c r="G206" s="64">
        <f>(G35/$ET$15)*G100</f>
        <v>0</v>
      </c>
      <c r="H206" s="64">
        <f>(H35/$ET$15)*H100</f>
        <v>0</v>
      </c>
      <c r="I206" s="64">
        <f>(I35/$ET$15)*I100</f>
        <v>0</v>
      </c>
      <c r="J206" s="64">
        <f>(J35/$ET$15)*J100</f>
        <v>0</v>
      </c>
      <c r="K206" s="64">
        <f>(K35/$ET$15)*K100</f>
        <v>0</v>
      </c>
      <c r="L206" s="64">
        <f>(L35/$ET$15)*L100</f>
        <v>0</v>
      </c>
      <c r="M206" s="64">
        <f>(M35/$ET$15)*M100</f>
        <v>0</v>
      </c>
      <c r="N206" s="64">
        <f>(N35/$ET$15)*N100</f>
        <v>0</v>
      </c>
      <c r="O206" s="64">
        <f>(O35/$ET$15)*O100</f>
        <v>0</v>
      </c>
      <c r="P206" s="64">
        <f>(P35/$ET$15)*P100</f>
        <v>0</v>
      </c>
      <c r="Q206" s="64">
        <f>(Q35/$ET$15)*Q100</f>
        <v>0</v>
      </c>
      <c r="R206" s="64">
        <f>(R35/$ET$15)*R100</f>
        <v>0</v>
      </c>
      <c r="S206" s="64">
        <f>(S35/$ET$15)*S100</f>
        <v>1.2994156067377105</v>
      </c>
      <c r="T206" s="64">
        <f>(T35/$ET$15)*T100</f>
        <v>0</v>
      </c>
      <c r="U206" s="64">
        <f>(U35/$ET$15)*U100</f>
        <v>0</v>
      </c>
      <c r="V206" s="64">
        <f>(V35/$ET$15)*V100</f>
        <v>1.6387074596081126</v>
      </c>
      <c r="W206" s="64">
        <f>(W35/$ET$15)*W100</f>
        <v>0</v>
      </c>
      <c r="X206" s="64">
        <f>(X35/$ET$15)*X100</f>
        <v>0</v>
      </c>
      <c r="Y206" s="64">
        <f>(Y35/$ET$15)*Y100</f>
        <v>0</v>
      </c>
      <c r="Z206" s="64">
        <f>(Z35/$ET$15)*Z100</f>
        <v>0</v>
      </c>
      <c r="AA206" s="64">
        <f>(AA35/$ET$15)*AA100</f>
        <v>0</v>
      </c>
      <c r="AB206" s="64">
        <f>(AB35/$ET$15)*AB100</f>
        <v>0</v>
      </c>
      <c r="AC206" s="64">
        <f>(AC35/$ET$15)*AC100</f>
        <v>1.3530422825713304</v>
      </c>
      <c r="AD206" s="64">
        <f>(AD35/$ET$15)*AD100</f>
        <v>0</v>
      </c>
      <c r="AE206" s="64">
        <f>(AE35/$ET$15)*AE100</f>
        <v>0</v>
      </c>
      <c r="AF206" s="64">
        <f>(AF35/$ET$15)*AF100</f>
        <v>0.5455482983843245</v>
      </c>
      <c r="AG206" s="64">
        <f>(AG35/$ET$15)*AG100</f>
        <v>0</v>
      </c>
      <c r="AH206" s="64">
        <f>(AH35/$ET$15)*AH100</f>
        <v>0</v>
      </c>
      <c r="AI206" s="64">
        <f>(AI35/$ET$15)*AI100</f>
        <v>0</v>
      </c>
      <c r="AJ206" s="64">
        <f>(AJ35/$ET$15)*AJ100</f>
        <v>0</v>
      </c>
      <c r="AK206" s="64">
        <f>(AK35/$ET$15)*AK100</f>
        <v>0</v>
      </c>
      <c r="AL206" s="64">
        <f>(AL35/$ET$15)*AL100</f>
        <v>0</v>
      </c>
      <c r="AM206" s="64">
        <f>(AM35/$ET$15)*AM100</f>
        <v>0.84152629769680298</v>
      </c>
      <c r="AN206" s="64">
        <f>(AN35/$ET$15)*AN100</f>
        <v>0</v>
      </c>
      <c r="AO206" s="64">
        <f>(AO35/$ET$15)*AO100</f>
        <v>0</v>
      </c>
      <c r="AP206" s="64">
        <f>(AP35/$ET$15)*AP100</f>
        <v>0.443451357854933</v>
      </c>
      <c r="AQ206" s="64">
        <f>(AQ35/$ET$15)*AQ100</f>
        <v>0</v>
      </c>
      <c r="AR206" s="64">
        <f>(AR35/$ET$15)*AR100</f>
        <v>1.1309728429013406</v>
      </c>
      <c r="AS206" s="64">
        <f>(AS35/$ET$15)*AS100</f>
        <v>0</v>
      </c>
      <c r="AT206" s="64">
        <f>(AT35/$ET$15)*AT100</f>
        <v>0</v>
      </c>
      <c r="AU206" s="64">
        <f>(AU35/$ET$15)*AU100</f>
        <v>0</v>
      </c>
      <c r="AV206" s="64">
        <f>(AV35/$ET$15)*AV100</f>
        <v>0</v>
      </c>
      <c r="AW206" s="64">
        <f>(AW35/$ET$15)*AW100</f>
        <v>0</v>
      </c>
      <c r="AX206" s="64">
        <f>(AX35/$ET$15)*AX100</f>
        <v>0.43795118597456167</v>
      </c>
      <c r="AY206" s="64">
        <f>(AY35/$ET$15)*AY100</f>
        <v>0</v>
      </c>
      <c r="AZ206" s="64">
        <f>(AZ35/$ET$15)*AZ100</f>
        <v>0</v>
      </c>
      <c r="BA206" s="64">
        <f>(BA35/$ET$15)*BA100</f>
        <v>0</v>
      </c>
      <c r="BB206" s="64">
        <f>(BB35/$ET$15)*BB100</f>
        <v>0</v>
      </c>
      <c r="BC206" s="64">
        <f>(BC35/$ET$15)*BC100</f>
        <v>0</v>
      </c>
      <c r="BD206" s="64">
        <f>(BD35/$ET$15)*BD100</f>
        <v>0</v>
      </c>
      <c r="BE206" s="64">
        <f>(BE35/$ET$15)*BE100</f>
        <v>0</v>
      </c>
      <c r="BF206" s="64">
        <f>(BF35/$ET$15)*BF100</f>
        <v>0</v>
      </c>
      <c r="BG206" s="64">
        <f>(BG35/$ET$15)*BG100</f>
        <v>6.1876933654176694E-2</v>
      </c>
      <c r="BH206" s="64">
        <f>(BH35/$ET$15)*BH100</f>
        <v>0</v>
      </c>
      <c r="BI206" s="64">
        <f>(BI35/$ET$15)*BI100</f>
        <v>0</v>
      </c>
      <c r="BJ206" s="64">
        <f>(BJ35/$ET$15)*BJ100</f>
        <v>0</v>
      </c>
      <c r="BK206" s="64">
        <f>(BK35/$ET$15)*BK100</f>
        <v>0</v>
      </c>
      <c r="BL206" s="64">
        <f>(BL35/$ET$15)*BL100</f>
        <v>0</v>
      </c>
      <c r="BM206" s="64">
        <f>(BM35/$ET$15)*BM100</f>
        <v>0</v>
      </c>
      <c r="BN206" s="64">
        <f>(BN35/$ET$15)*BN100</f>
        <v>0</v>
      </c>
      <c r="BO206" s="64">
        <f>(BO35/$ET$15)*BO100</f>
        <v>0</v>
      </c>
      <c r="BP206" s="64">
        <f>(BP35/$ET$15)*BP100</f>
        <v>0</v>
      </c>
      <c r="BQ206" s="64">
        <f>(BQ35/$ET$15)*BQ100</f>
        <v>0</v>
      </c>
      <c r="BR206" s="64">
        <f>(BR35/$ET$15)*BR100</f>
        <v>0</v>
      </c>
      <c r="BS206" s="64">
        <f>(BS35/$ET$15)*BS100</f>
        <v>0</v>
      </c>
      <c r="BT206" s="64">
        <f>(BT35/$ET$15)*BT100</f>
        <v>0</v>
      </c>
      <c r="BU206" s="64">
        <f>(BU35/$ET$15)*BU100</f>
        <v>0</v>
      </c>
      <c r="BV206" s="64">
        <f>(BV35/$ET$15)*BV100</f>
        <v>0</v>
      </c>
      <c r="BW206" s="64">
        <f>(BW35/$ET$15)*BW100</f>
        <v>0</v>
      </c>
      <c r="BX206" s="64">
        <f>(BX35/$ET$15)*BX100</f>
        <v>0</v>
      </c>
      <c r="BY206" s="64">
        <f>(BY35/$ET$15)*BY100</f>
        <v>0</v>
      </c>
      <c r="BZ206" s="64">
        <f>(BZ35/$ET$15)*BZ100</f>
        <v>0</v>
      </c>
      <c r="CA206" s="64">
        <f>(CA35/$ET$15)*CA100</f>
        <v>0</v>
      </c>
      <c r="CB206" s="64">
        <f>(CB35/$ET$15)*CB100</f>
        <v>0</v>
      </c>
      <c r="CC206" s="64">
        <f>(CC35/$ET$15)*CC100</f>
        <v>0</v>
      </c>
      <c r="CD206" s="64">
        <f>(CD35/$ET$15)*CD100</f>
        <v>0</v>
      </c>
      <c r="CE206" s="64">
        <f>(CE35/$ET$15)*CE100</f>
        <v>0</v>
      </c>
      <c r="CF206" s="64">
        <f>(CF35/$ET$15)*CF100</f>
        <v>0</v>
      </c>
      <c r="CG206" s="64">
        <f>(CG35/$ET$15)*CG100</f>
        <v>0</v>
      </c>
      <c r="CH206" s="64">
        <f>(CH35/$ET$15)*CH100</f>
        <v>0</v>
      </c>
      <c r="CI206" s="64">
        <f>(CI35/$ET$15)*CI100</f>
        <v>0</v>
      </c>
      <c r="CJ206" s="64">
        <f>(CJ35/$ET$15)*CJ100</f>
        <v>0</v>
      </c>
      <c r="CK206" s="64">
        <f>(CK35/$ET$15)*CK100</f>
        <v>0</v>
      </c>
      <c r="CL206" s="64">
        <f>(CL35/$ET$15)*CL100</f>
        <v>0</v>
      </c>
      <c r="CM206" s="64">
        <f>(CM35/$ET$15)*CM100</f>
        <v>0</v>
      </c>
      <c r="CN206" s="64">
        <f>(CN35/$ET$15)*CN100</f>
        <v>0</v>
      </c>
      <c r="CO206" s="64">
        <f>(CO35/$ET$15)*CO100</f>
        <v>0</v>
      </c>
      <c r="CP206" s="64">
        <f>(CP35/$ET$15)*CP100</f>
        <v>0</v>
      </c>
      <c r="CQ206" s="64">
        <f>(CQ35/$ET$15)*CQ100</f>
        <v>0</v>
      </c>
      <c r="CR206" s="64">
        <f>(CR35/$ET$15)*CR100</f>
        <v>0</v>
      </c>
      <c r="CS206" s="64">
        <f>(CS35/$ET$15)*CS100</f>
        <v>0</v>
      </c>
      <c r="CT206" s="64">
        <f>(CT35/$ET$15)*CT100</f>
        <v>0</v>
      </c>
      <c r="CU206" s="64">
        <f>(CU35/$ET$15)*CU100</f>
        <v>0</v>
      </c>
      <c r="CV206" s="64">
        <f>(CV35/$ET$15)*CV100</f>
        <v>0</v>
      </c>
      <c r="CW206" s="64">
        <f>(CW35/$ET$15)*CW100</f>
        <v>0.84702646957717431</v>
      </c>
      <c r="CX206" s="64">
        <f>(CX35/$ET$15)*CX100</f>
        <v>0</v>
      </c>
      <c r="CY206" s="64">
        <f>(CY35/$ET$15)*CY100</f>
        <v>0</v>
      </c>
      <c r="CZ206" s="64">
        <f>(CZ35/$ET$15)*CZ100</f>
        <v>1.0739085596424889</v>
      </c>
      <c r="DA206" s="64">
        <f>(DA35/$ET$15)*DA100</f>
        <v>0</v>
      </c>
      <c r="DB206" s="64">
        <f>(DB35/$ET$15)*DB100</f>
        <v>0</v>
      </c>
      <c r="DC206" s="64">
        <f>(DC35/$ET$15)*DC100</f>
        <v>0</v>
      </c>
      <c r="DD206" s="64">
        <f>(DD35/$ET$15)*DD100</f>
        <v>0</v>
      </c>
      <c r="DE206" s="64">
        <f>(DE35/$ET$15)*DE100</f>
        <v>0</v>
      </c>
      <c r="DF206" s="64">
        <f>(DF35/$ET$15)*DF100</f>
        <v>0</v>
      </c>
      <c r="DG206" s="64">
        <f>(DG35/$ET$15)*DG100</f>
        <v>0</v>
      </c>
      <c r="DH206" s="64">
        <f>(DH35/$ET$15)*DH100</f>
        <v>0</v>
      </c>
      <c r="DI206" s="64">
        <f>(DI35/$ET$15)*DI100</f>
        <v>0</v>
      </c>
      <c r="DJ206" s="64">
        <f>(DJ35/$ET$15)*DJ100</f>
        <v>0.46407700240632521</v>
      </c>
      <c r="DK206" s="64">
        <f>(DK35/$ET$15)*DK100</f>
        <v>0</v>
      </c>
      <c r="DL206" s="64">
        <f>(DL35/$ET$15)*DL100</f>
        <v>1.5520797524922654</v>
      </c>
      <c r="DM206" s="64">
        <f>(DM35/$ET$15)*DM100</f>
        <v>0.3960123753867309</v>
      </c>
      <c r="DN206" s="64">
        <f>(DN35/$ET$15)*DN100</f>
        <v>0</v>
      </c>
      <c r="DO206" s="64">
        <f>(DO35/$ET$15)*DO100</f>
        <v>0</v>
      </c>
      <c r="DP206" s="64">
        <f>(DP35/$ET$15)*DP100</f>
        <v>1.3860433138535579</v>
      </c>
      <c r="DQ206" s="64">
        <f>(DQ35/$ET$15)*DQ100</f>
        <v>0</v>
      </c>
      <c r="DR206" s="64">
        <f>(DR35/$ET$15)*DR100</f>
        <v>0</v>
      </c>
      <c r="DS206" s="64">
        <f>(DS35/$ET$15)*DS100</f>
        <v>0</v>
      </c>
      <c r="DT206" s="64">
        <f>(DT35/$ET$15)*DT100</f>
        <v>0.73324166380199385</v>
      </c>
      <c r="DU206" s="64">
        <f>(DU35/$ET$15)*DU100</f>
        <v>0</v>
      </c>
      <c r="DV206" s="64">
        <f>(DV35/$ET$15)*DV100</f>
        <v>1.4609831557236164</v>
      </c>
      <c r="DW206" s="64">
        <f>(DW35/$ET$15)*DW100</f>
        <v>0</v>
      </c>
      <c r="DX206" s="64">
        <f>(DX35/$ET$15)*DX100</f>
        <v>0</v>
      </c>
      <c r="DY206" s="64">
        <f>(DY35/$ET$15)*DY100</f>
        <v>0</v>
      </c>
      <c r="DZ206" s="64">
        <f>(DZ35/$ET$15)*DZ100</f>
        <v>0</v>
      </c>
      <c r="EA206" s="64">
        <f>(EA35/$ET$15)*EA100</f>
        <v>0</v>
      </c>
      <c r="EB206" s="64">
        <f>(EB35/$ET$15)*EB100</f>
        <v>9.9349243606050186E-2</v>
      </c>
      <c r="EC206" s="64">
        <f>(EC35/$ET$15)*EC100</f>
        <v>0.66414575455482983</v>
      </c>
      <c r="ED206" s="64">
        <f>(ED35/$ET$15)*ED100</f>
        <v>0</v>
      </c>
      <c r="EE206" s="64">
        <f>(EE35/$ET$15)*EE100</f>
        <v>0</v>
      </c>
      <c r="EF206" s="64">
        <f>(EF35/$ET$15)*EF100</f>
        <v>0</v>
      </c>
      <c r="EG206" s="64">
        <f>(EG35/$ET$15)*EG100</f>
        <v>0</v>
      </c>
      <c r="EH206" s="64">
        <f>(EH35/$ET$15)*EH100</f>
        <v>0</v>
      </c>
      <c r="EI206" s="64">
        <f>(EI35/$ET$15)*EI100</f>
        <v>0</v>
      </c>
      <c r="EJ206" s="64">
        <f>(EJ35/$ET$15)*EJ100</f>
        <v>0</v>
      </c>
      <c r="EK206" s="64">
        <f>(EK35/$ET$15)*EK100</f>
        <v>0</v>
      </c>
      <c r="EL206" s="64">
        <f>(EL35/$ET$15)*EL100</f>
        <v>0</v>
      </c>
      <c r="EM206" s="64">
        <f>(EM35/$ET$15)*EM100</f>
        <v>0</v>
      </c>
      <c r="EN206" s="64">
        <f>(EN35/$ET$15)*EN100</f>
        <v>0</v>
      </c>
      <c r="EO206" s="64">
        <f>(EO35/$ET$15)*EO100</f>
        <v>0</v>
      </c>
      <c r="EP206" s="64">
        <f>(EP35/$ET$15)*EP100</f>
        <v>0</v>
      </c>
      <c r="EQ206" s="64">
        <f>(EQ35/$ET$15)*EQ100</f>
        <v>0</v>
      </c>
      <c r="ER206" s="64">
        <f>(ER35/$ET$15)*ER100</f>
        <v>0</v>
      </c>
      <c r="ES206" s="64">
        <f>(ES35/$ET$15)*ES100</f>
        <v>0</v>
      </c>
    </row>
    <row r="207" spans="1:149" x14ac:dyDescent="0.3">
      <c r="A207" s="37" t="s">
        <v>25</v>
      </c>
      <c r="B207" s="64">
        <f>(B36/$ET$15)*B101</f>
        <v>0</v>
      </c>
      <c r="C207" s="64">
        <f>(C36/$ET$15)*C101</f>
        <v>0</v>
      </c>
      <c r="D207" s="64">
        <f>(D36/$ET$15)*D101</f>
        <v>0.29357167411481611</v>
      </c>
      <c r="E207" s="64">
        <f>(E36/$ET$15)*E101</f>
        <v>0</v>
      </c>
      <c r="F207" s="64">
        <f>(F36/$ET$15)*F101</f>
        <v>0</v>
      </c>
      <c r="G207" s="64">
        <f>(G36/$ET$15)*G101</f>
        <v>0</v>
      </c>
      <c r="H207" s="64">
        <f>(H36/$ET$15)*H101</f>
        <v>0</v>
      </c>
      <c r="I207" s="64">
        <f>(I36/$ET$15)*I101</f>
        <v>0</v>
      </c>
      <c r="J207" s="64">
        <f>(J36/$ET$15)*J101</f>
        <v>0</v>
      </c>
      <c r="K207" s="64">
        <f>(K36/$ET$15)*K101</f>
        <v>0.48676521141285667</v>
      </c>
      <c r="L207" s="64">
        <f>(L36/$ET$15)*L101</f>
        <v>0</v>
      </c>
      <c r="M207" s="64">
        <f>(M36/$ET$15)*M101</f>
        <v>0</v>
      </c>
      <c r="N207" s="64">
        <f>(N36/$ET$15)*N101</f>
        <v>0</v>
      </c>
      <c r="O207" s="64">
        <f>(O36/$ET$15)*O101</f>
        <v>0.8827775867995874</v>
      </c>
      <c r="P207" s="64">
        <f>(P36/$ET$15)*P101</f>
        <v>0</v>
      </c>
      <c r="Q207" s="64">
        <f>(Q36/$ET$15)*Q101</f>
        <v>0</v>
      </c>
      <c r="R207" s="64">
        <f>(R36/$ET$15)*R101</f>
        <v>0</v>
      </c>
      <c r="S207" s="64">
        <f>(S36/$ET$15)*S101</f>
        <v>0</v>
      </c>
      <c r="T207" s="64">
        <f>(T36/$ET$15)*T101</f>
        <v>0</v>
      </c>
      <c r="U207" s="64">
        <f>(U36/$ET$15)*U101</f>
        <v>0</v>
      </c>
      <c r="V207" s="64">
        <f>(V36/$ET$15)*V101</f>
        <v>0</v>
      </c>
      <c r="W207" s="64">
        <f>(W36/$ET$15)*W101</f>
        <v>0</v>
      </c>
      <c r="X207" s="64">
        <f>(X36/$ET$15)*X101</f>
        <v>0</v>
      </c>
      <c r="Y207" s="64">
        <f>(Y36/$ET$15)*Y101</f>
        <v>0</v>
      </c>
      <c r="Z207" s="64">
        <f>(Z36/$ET$15)*Z101</f>
        <v>0</v>
      </c>
      <c r="AA207" s="64">
        <f>(AA36/$ET$15)*AA101</f>
        <v>0</v>
      </c>
      <c r="AB207" s="64">
        <f>(AB36/$ET$15)*AB101</f>
        <v>0</v>
      </c>
      <c r="AC207" s="64">
        <f>(AC36/$ET$15)*AC101</f>
        <v>0</v>
      </c>
      <c r="AD207" s="64">
        <f>(AD36/$ET$15)*AD101</f>
        <v>0</v>
      </c>
      <c r="AE207" s="64">
        <f>(AE36/$ET$15)*AE101</f>
        <v>0</v>
      </c>
      <c r="AF207" s="64">
        <f>(AF36/$ET$15)*AF101</f>
        <v>0</v>
      </c>
      <c r="AG207" s="64">
        <f>(AG36/$ET$15)*AG101</f>
        <v>0</v>
      </c>
      <c r="AH207" s="64">
        <f>(AH36/$ET$15)*AH101</f>
        <v>0</v>
      </c>
      <c r="AI207" s="64">
        <f>(AI36/$ET$15)*AI101</f>
        <v>0</v>
      </c>
      <c r="AJ207" s="64">
        <f>(AJ36/$ET$15)*AJ101</f>
        <v>0</v>
      </c>
      <c r="AK207" s="64">
        <f>(AK36/$ET$15)*AK101</f>
        <v>0</v>
      </c>
      <c r="AL207" s="64">
        <f>(AL36/$ET$15)*AL101</f>
        <v>0</v>
      </c>
      <c r="AM207" s="64">
        <f>(AM36/$ET$15)*AM101</f>
        <v>0</v>
      </c>
      <c r="AN207" s="64">
        <f>(AN36/$ET$15)*AN101</f>
        <v>0</v>
      </c>
      <c r="AO207" s="64">
        <f>(AO36/$ET$15)*AO101</f>
        <v>0</v>
      </c>
      <c r="AP207" s="64">
        <f>(AP36/$ET$15)*AP101</f>
        <v>0</v>
      </c>
      <c r="AQ207" s="64">
        <f>(AQ36/$ET$15)*AQ101</f>
        <v>0</v>
      </c>
      <c r="AR207" s="64">
        <f>(AR36/$ET$15)*AR101</f>
        <v>0</v>
      </c>
      <c r="AS207" s="64">
        <f>(AS36/$ET$15)*AS101</f>
        <v>0</v>
      </c>
      <c r="AT207" s="64">
        <f>(AT36/$ET$15)*AT101</f>
        <v>0</v>
      </c>
      <c r="AU207" s="64">
        <f>(AU36/$ET$15)*AU101</f>
        <v>0</v>
      </c>
      <c r="AV207" s="64">
        <f>(AV36/$ET$15)*AV101</f>
        <v>0</v>
      </c>
      <c r="AW207" s="64">
        <f>(AW36/$ET$15)*AW101</f>
        <v>0</v>
      </c>
      <c r="AX207" s="64">
        <f>(AX36/$ET$15)*AX101</f>
        <v>0</v>
      </c>
      <c r="AY207" s="64">
        <f>(AY36/$ET$15)*AY101</f>
        <v>0</v>
      </c>
      <c r="AZ207" s="64">
        <f>(AZ36/$ET$15)*AZ101</f>
        <v>0</v>
      </c>
      <c r="BA207" s="64">
        <f>(BA36/$ET$15)*BA101</f>
        <v>0</v>
      </c>
      <c r="BB207" s="64">
        <f>(BB36/$ET$15)*BB101</f>
        <v>0</v>
      </c>
      <c r="BC207" s="64">
        <f>(BC36/$ET$15)*BC101</f>
        <v>0</v>
      </c>
      <c r="BD207" s="64">
        <f>(BD36/$ET$15)*BD101</f>
        <v>0</v>
      </c>
      <c r="BE207" s="64">
        <f>(BE36/$ET$15)*BE101</f>
        <v>0</v>
      </c>
      <c r="BF207" s="64">
        <f>(BF36/$ET$15)*BF101</f>
        <v>0</v>
      </c>
      <c r="BG207" s="64">
        <f>(BG36/$ET$15)*BG101</f>
        <v>0</v>
      </c>
      <c r="BH207" s="64">
        <f>(BH36/$ET$15)*BH101</f>
        <v>0</v>
      </c>
      <c r="BI207" s="64">
        <f>(BI36/$ET$15)*BI101</f>
        <v>0</v>
      </c>
      <c r="BJ207" s="64">
        <f>(BJ36/$ET$15)*BJ101</f>
        <v>0</v>
      </c>
      <c r="BK207" s="64">
        <f>(BK36/$ET$15)*BK101</f>
        <v>0</v>
      </c>
      <c r="BL207" s="64">
        <f>(BL36/$ET$15)*BL101</f>
        <v>0</v>
      </c>
      <c r="BM207" s="64">
        <f>(BM36/$ET$15)*BM101</f>
        <v>0</v>
      </c>
      <c r="BN207" s="64">
        <f>(BN36/$ET$15)*BN101</f>
        <v>0</v>
      </c>
      <c r="BO207" s="64">
        <f>(BO36/$ET$15)*BO101</f>
        <v>0</v>
      </c>
      <c r="BP207" s="64">
        <f>(BP36/$ET$15)*BP101</f>
        <v>0</v>
      </c>
      <c r="BQ207" s="64">
        <f>(BQ36/$ET$15)*BQ101</f>
        <v>0</v>
      </c>
      <c r="BR207" s="64">
        <f>(BR36/$ET$15)*BR101</f>
        <v>0</v>
      </c>
      <c r="BS207" s="64">
        <f>(BS36/$ET$15)*BS101</f>
        <v>0.4156067377105534</v>
      </c>
      <c r="BT207" s="64">
        <f>(BT36/$ET$15)*BT101</f>
        <v>0</v>
      </c>
      <c r="BU207" s="64">
        <f>(BU36/$ET$15)*BU101</f>
        <v>0</v>
      </c>
      <c r="BV207" s="64">
        <f>(BV36/$ET$15)*BV101</f>
        <v>0</v>
      </c>
      <c r="BW207" s="64">
        <f>(BW36/$ET$15)*BW101</f>
        <v>0</v>
      </c>
      <c r="BX207" s="64">
        <f>(BX36/$ET$15)*BX101</f>
        <v>0</v>
      </c>
      <c r="BY207" s="64">
        <f>(BY36/$ET$15)*BY101</f>
        <v>0</v>
      </c>
      <c r="BZ207" s="64">
        <f>(BZ36/$ET$15)*BZ101</f>
        <v>0</v>
      </c>
      <c r="CA207" s="64">
        <f>(CA36/$ET$15)*CA101</f>
        <v>0</v>
      </c>
      <c r="CB207" s="64">
        <f>(CB36/$ET$15)*CB101</f>
        <v>0</v>
      </c>
      <c r="CC207" s="64">
        <f>(CC36/$ET$15)*CC101</f>
        <v>0</v>
      </c>
      <c r="CD207" s="64">
        <f>(CD36/$ET$15)*CD101</f>
        <v>0</v>
      </c>
      <c r="CE207" s="64">
        <f>(CE36/$ET$15)*CE101</f>
        <v>1.1261601925060158</v>
      </c>
      <c r="CF207" s="64">
        <f>(CF36/$ET$15)*CF101</f>
        <v>0</v>
      </c>
      <c r="CG207" s="64">
        <f>(CG36/$ET$15)*CG101</f>
        <v>0</v>
      </c>
      <c r="CH207" s="64">
        <f>(CH36/$ET$15)*CH101</f>
        <v>0</v>
      </c>
      <c r="CI207" s="64">
        <f>(CI36/$ET$15)*CI101</f>
        <v>0</v>
      </c>
      <c r="CJ207" s="64">
        <f>(CJ36/$ET$15)*CJ101</f>
        <v>0</v>
      </c>
      <c r="CK207" s="64">
        <f>(CK36/$ET$15)*CK101</f>
        <v>0</v>
      </c>
      <c r="CL207" s="64">
        <f>(CL36/$ET$15)*CL101</f>
        <v>0</v>
      </c>
      <c r="CM207" s="64">
        <f>(CM36/$ET$15)*CM101</f>
        <v>0</v>
      </c>
      <c r="CN207" s="64">
        <f>(CN36/$ET$15)*CN101</f>
        <v>0</v>
      </c>
      <c r="CO207" s="64">
        <f>(CO36/$ET$15)*CO101</f>
        <v>0</v>
      </c>
      <c r="CP207" s="64">
        <f>(CP36/$ET$15)*CP101</f>
        <v>0</v>
      </c>
      <c r="CQ207" s="64">
        <f>(CQ36/$ET$15)*CQ101</f>
        <v>9.5909247163973879E-2</v>
      </c>
      <c r="CR207" s="64">
        <f>(CR36/$ET$15)*CR101</f>
        <v>0</v>
      </c>
      <c r="CS207" s="64">
        <f>(CS36/$ET$15)*CS101</f>
        <v>0</v>
      </c>
      <c r="CT207" s="64">
        <f>(CT36/$ET$15)*CT101</f>
        <v>0</v>
      </c>
      <c r="CU207" s="64">
        <f>(CU36/$ET$15)*CU101</f>
        <v>0</v>
      </c>
      <c r="CV207" s="64">
        <f>(CV36/$ET$15)*CV101</f>
        <v>0</v>
      </c>
      <c r="CW207" s="64">
        <f>(CW36/$ET$15)*CW101</f>
        <v>0</v>
      </c>
      <c r="CX207" s="64">
        <f>(CX36/$ET$15)*CX101</f>
        <v>1.3829494671708491</v>
      </c>
      <c r="CY207" s="64">
        <f>(CY36/$ET$15)*CY101</f>
        <v>0</v>
      </c>
      <c r="CZ207" s="64">
        <f>(CZ36/$ET$15)*CZ101</f>
        <v>0</v>
      </c>
      <c r="DA207" s="64">
        <f>(DA36/$ET$15)*DA101</f>
        <v>0</v>
      </c>
      <c r="DB207" s="64">
        <f>(DB36/$ET$15)*DB101</f>
        <v>0</v>
      </c>
      <c r="DC207" s="64">
        <f>(DC36/$ET$15)*DC101</f>
        <v>0</v>
      </c>
      <c r="DD207" s="64">
        <f>(DD36/$ET$15)*DD101</f>
        <v>1.364386387074596</v>
      </c>
      <c r="DE207" s="64">
        <f>(DE36/$ET$15)*DE101</f>
        <v>0.29150910965967686</v>
      </c>
      <c r="DF207" s="64">
        <f>(DF36/$ET$15)*DF101</f>
        <v>1.1660364386387074</v>
      </c>
      <c r="DG207" s="64">
        <f>(DG36/$ET$15)*DG101</f>
        <v>0</v>
      </c>
      <c r="DH207" s="64">
        <f>(DH36/$ET$15)*DH101</f>
        <v>0</v>
      </c>
      <c r="DI207" s="64">
        <f>(DI36/$ET$15)*DI101</f>
        <v>0</v>
      </c>
      <c r="DJ207" s="64">
        <f>(DJ36/$ET$15)*DJ101</f>
        <v>0</v>
      </c>
      <c r="DK207" s="64">
        <f>(DK36/$ET$15)*DK101</f>
        <v>0.34376074252320388</v>
      </c>
      <c r="DL207" s="64">
        <f>(DL36/$ET$15)*DL101</f>
        <v>0</v>
      </c>
      <c r="DM207" s="64">
        <f>(DM36/$ET$15)*DM101</f>
        <v>0</v>
      </c>
      <c r="DN207" s="64">
        <f>(DN36/$ET$15)*DN101</f>
        <v>0</v>
      </c>
      <c r="DO207" s="64">
        <f>(DO36/$ET$15)*DO101</f>
        <v>0</v>
      </c>
      <c r="DP207" s="64">
        <f>(DP36/$ET$15)*DP101</f>
        <v>0</v>
      </c>
      <c r="DQ207" s="64">
        <f>(DQ36/$ET$15)*DQ101</f>
        <v>0</v>
      </c>
      <c r="DR207" s="64">
        <f>(DR36/$ET$15)*DR101</f>
        <v>0</v>
      </c>
      <c r="DS207" s="64">
        <f>(DS36/$ET$15)*DS101</f>
        <v>0</v>
      </c>
      <c r="DT207" s="64">
        <f>(DT36/$ET$15)*DT101</f>
        <v>0</v>
      </c>
      <c r="DU207" s="64">
        <f>(DU36/$ET$15)*DU101</f>
        <v>0</v>
      </c>
      <c r="DV207" s="64">
        <f>(DV36/$ET$15)*DV101</f>
        <v>0</v>
      </c>
      <c r="DW207" s="64">
        <f>(DW36/$ET$15)*DW101</f>
        <v>1.0539704365761431</v>
      </c>
      <c r="DX207" s="64">
        <f>(DX36/$ET$15)*DX101</f>
        <v>2.1718803712616022</v>
      </c>
      <c r="DY207" s="64">
        <f>(DY36/$ET$15)*DY101</f>
        <v>0</v>
      </c>
      <c r="DZ207" s="64">
        <f>(DZ36/$ET$15)*DZ101</f>
        <v>0.15537985562048814</v>
      </c>
      <c r="EA207" s="64">
        <f>(EA36/$ET$15)*EA101</f>
        <v>0</v>
      </c>
      <c r="EB207" s="64">
        <f>(EB36/$ET$15)*EB101</f>
        <v>0</v>
      </c>
      <c r="EC207" s="64">
        <f>(EC36/$ET$15)*EC101</f>
        <v>0</v>
      </c>
      <c r="ED207" s="64">
        <f>(ED36/$ET$15)*ED101</f>
        <v>0</v>
      </c>
      <c r="EE207" s="64">
        <f>(EE36/$ET$15)*EE101</f>
        <v>0.69852182880715019</v>
      </c>
      <c r="EF207" s="64">
        <f>(EF36/$ET$15)*EF101</f>
        <v>0</v>
      </c>
      <c r="EG207" s="64">
        <f>(EG36/$ET$15)*EG101</f>
        <v>0</v>
      </c>
      <c r="EH207" s="64">
        <f>(EH36/$ET$15)*EH101</f>
        <v>0</v>
      </c>
      <c r="EI207" s="64">
        <f>(EI36/$ET$15)*EI101</f>
        <v>0</v>
      </c>
      <c r="EJ207" s="64">
        <f>(EJ36/$ET$15)*EJ101</f>
        <v>0</v>
      </c>
      <c r="EK207" s="64">
        <f>(EK36/$ET$15)*EK101</f>
        <v>0</v>
      </c>
      <c r="EL207" s="64">
        <f>(EL36/$ET$15)*EL101</f>
        <v>0</v>
      </c>
      <c r="EM207" s="64">
        <f>(EM36/$ET$15)*EM101</f>
        <v>0</v>
      </c>
      <c r="EN207" s="64">
        <f>(EN36/$ET$15)*EN101</f>
        <v>0</v>
      </c>
      <c r="EO207" s="64">
        <f>(EO36/$ET$15)*EO101</f>
        <v>0</v>
      </c>
      <c r="EP207" s="64">
        <f>(EP36/$ET$15)*EP101</f>
        <v>0</v>
      </c>
      <c r="EQ207" s="64">
        <f>(EQ36/$ET$15)*EQ101</f>
        <v>0</v>
      </c>
      <c r="ER207" s="64">
        <f>(ER36/$ET$15)*ER101</f>
        <v>0</v>
      </c>
      <c r="ES207" s="64">
        <f>(ES36/$ET$15)*ES101</f>
        <v>0</v>
      </c>
    </row>
    <row r="208" spans="1:149" x14ac:dyDescent="0.3">
      <c r="A208" s="37" t="s">
        <v>8</v>
      </c>
      <c r="B208" s="64">
        <f>(B37/$ET$15)*B102</f>
        <v>0</v>
      </c>
      <c r="C208" s="64">
        <f>(C37/$ET$15)*C102</f>
        <v>0</v>
      </c>
      <c r="D208" s="64">
        <f>(D37/$ET$15)*D102</f>
        <v>0</v>
      </c>
      <c r="E208" s="64">
        <f>(E37/$ET$15)*E102</f>
        <v>0</v>
      </c>
      <c r="F208" s="64">
        <f>(F37/$ET$15)*F102</f>
        <v>0</v>
      </c>
      <c r="G208" s="64">
        <f>(G37/$ET$15)*G102</f>
        <v>0</v>
      </c>
      <c r="H208" s="64">
        <f>(H37/$ET$15)*H102</f>
        <v>0</v>
      </c>
      <c r="I208" s="64">
        <f>(I37/$ET$15)*I102</f>
        <v>0</v>
      </c>
      <c r="J208" s="64">
        <f>(J37/$ET$15)*J102</f>
        <v>0</v>
      </c>
      <c r="K208" s="64">
        <f>(K37/$ET$15)*K102</f>
        <v>0</v>
      </c>
      <c r="L208" s="64">
        <f>(L37/$ET$15)*L102</f>
        <v>0</v>
      </c>
      <c r="M208" s="64">
        <f>(M37/$ET$15)*M102</f>
        <v>0</v>
      </c>
      <c r="N208" s="64">
        <f>(N37/$ET$15)*N102</f>
        <v>0</v>
      </c>
      <c r="O208" s="64">
        <f>(O37/$ET$15)*O102</f>
        <v>0</v>
      </c>
      <c r="P208" s="64">
        <f>(P37/$ET$15)*P102</f>
        <v>0</v>
      </c>
      <c r="Q208" s="64">
        <f>(Q37/$ET$15)*Q102</f>
        <v>0</v>
      </c>
      <c r="R208" s="64">
        <f>(R37/$ET$15)*R102</f>
        <v>0</v>
      </c>
      <c r="S208" s="64">
        <f>(S37/$ET$15)*S102</f>
        <v>0</v>
      </c>
      <c r="T208" s="64">
        <f>(T37/$ET$15)*T102</f>
        <v>0</v>
      </c>
      <c r="U208" s="64">
        <f>(U37/$ET$15)*U102</f>
        <v>0</v>
      </c>
      <c r="V208" s="64">
        <f>(V37/$ET$15)*V102</f>
        <v>0</v>
      </c>
      <c r="W208" s="64">
        <f>(W37/$ET$15)*W102</f>
        <v>0</v>
      </c>
      <c r="X208" s="64">
        <f>(X37/$ET$15)*X102</f>
        <v>0</v>
      </c>
      <c r="Y208" s="64">
        <f>(Y37/$ET$15)*Y102</f>
        <v>0</v>
      </c>
      <c r="Z208" s="64">
        <f>(Z37/$ET$15)*Z102</f>
        <v>0</v>
      </c>
      <c r="AA208" s="64">
        <f>(AA37/$ET$15)*AA102</f>
        <v>0</v>
      </c>
      <c r="AB208" s="64">
        <f>(AB37/$ET$15)*AB102</f>
        <v>0</v>
      </c>
      <c r="AC208" s="64">
        <f>(AC37/$ET$15)*AC102</f>
        <v>0</v>
      </c>
      <c r="AD208" s="64">
        <f>(AD37/$ET$15)*AD102</f>
        <v>0</v>
      </c>
      <c r="AE208" s="64">
        <f>(AE37/$ET$15)*AE102</f>
        <v>0</v>
      </c>
      <c r="AF208" s="64">
        <f>(AF37/$ET$15)*AF102</f>
        <v>0</v>
      </c>
      <c r="AG208" s="64">
        <f>(AG37/$ET$15)*AG102</f>
        <v>0</v>
      </c>
      <c r="AH208" s="64">
        <f>(AH37/$ET$15)*AH102</f>
        <v>0</v>
      </c>
      <c r="AI208" s="64">
        <f>(AI37/$ET$15)*AI102</f>
        <v>0</v>
      </c>
      <c r="AJ208" s="64">
        <f>(AJ37/$ET$15)*AJ102</f>
        <v>0</v>
      </c>
      <c r="AK208" s="64">
        <f>(AK37/$ET$15)*AK102</f>
        <v>0</v>
      </c>
      <c r="AL208" s="64">
        <f>(AL37/$ET$15)*AL102</f>
        <v>0</v>
      </c>
      <c r="AM208" s="64">
        <f>(AM37/$ET$15)*AM102</f>
        <v>0</v>
      </c>
      <c r="AN208" s="64">
        <f>(AN37/$ET$15)*AN102</f>
        <v>0</v>
      </c>
      <c r="AO208" s="64">
        <f>(AO37/$ET$15)*AO102</f>
        <v>0</v>
      </c>
      <c r="AP208" s="64">
        <f>(AP37/$ET$15)*AP102</f>
        <v>0</v>
      </c>
      <c r="AQ208" s="64">
        <f>(AQ37/$ET$15)*AQ102</f>
        <v>0</v>
      </c>
      <c r="AR208" s="64">
        <f>(AR37/$ET$15)*AR102</f>
        <v>0</v>
      </c>
      <c r="AS208" s="64">
        <f>(AS37/$ET$15)*AS102</f>
        <v>0</v>
      </c>
      <c r="AT208" s="64">
        <f>(AT37/$ET$15)*AT102</f>
        <v>0</v>
      </c>
      <c r="AU208" s="64">
        <f>(AU37/$ET$15)*AU102</f>
        <v>0</v>
      </c>
      <c r="AV208" s="64">
        <f>(AV37/$ET$15)*AV102</f>
        <v>0</v>
      </c>
      <c r="AW208" s="64">
        <f>(AW37/$ET$15)*AW102</f>
        <v>0</v>
      </c>
      <c r="AX208" s="64">
        <f>(AX37/$ET$15)*AX102</f>
        <v>0</v>
      </c>
      <c r="AY208" s="64">
        <f>(AY37/$ET$15)*AY102</f>
        <v>0</v>
      </c>
      <c r="AZ208" s="64">
        <f>(AZ37/$ET$15)*AZ102</f>
        <v>0</v>
      </c>
      <c r="BA208" s="64">
        <f>(BA37/$ET$15)*BA102</f>
        <v>0</v>
      </c>
      <c r="BB208" s="64">
        <f>(BB37/$ET$15)*BB102</f>
        <v>0</v>
      </c>
      <c r="BC208" s="64">
        <f>(BC37/$ET$15)*BC102</f>
        <v>0</v>
      </c>
      <c r="BD208" s="64">
        <f>(BD37/$ET$15)*BD102</f>
        <v>0</v>
      </c>
      <c r="BE208" s="64">
        <f>(BE37/$ET$15)*BE102</f>
        <v>0</v>
      </c>
      <c r="BF208" s="64">
        <f>(BF37/$ET$15)*BF102</f>
        <v>0</v>
      </c>
      <c r="BG208" s="64">
        <f>(BG37/$ET$15)*BG102</f>
        <v>0</v>
      </c>
      <c r="BH208" s="64">
        <f>(BH37/$ET$15)*BH102</f>
        <v>0</v>
      </c>
      <c r="BI208" s="64">
        <f>(BI37/$ET$15)*BI102</f>
        <v>0</v>
      </c>
      <c r="BJ208" s="64">
        <f>(BJ37/$ET$15)*BJ102</f>
        <v>0</v>
      </c>
      <c r="BK208" s="64">
        <f>(BK37/$ET$15)*BK102</f>
        <v>0</v>
      </c>
      <c r="BL208" s="64">
        <f>(BL37/$ET$15)*BL102</f>
        <v>0</v>
      </c>
      <c r="BM208" s="64">
        <f>(BM37/$ET$15)*BM102</f>
        <v>0</v>
      </c>
      <c r="BN208" s="64">
        <f>(BN37/$ET$15)*BN102</f>
        <v>0</v>
      </c>
      <c r="BO208" s="64">
        <f>(BO37/$ET$15)*BO102</f>
        <v>0</v>
      </c>
      <c r="BP208" s="64">
        <f>(BP37/$ET$15)*BP102</f>
        <v>0</v>
      </c>
      <c r="BQ208" s="64">
        <f>(BQ37/$ET$15)*BQ102</f>
        <v>0</v>
      </c>
      <c r="BR208" s="64">
        <f>(BR37/$ET$15)*BR102</f>
        <v>0</v>
      </c>
      <c r="BS208" s="64">
        <f>(BS37/$ET$15)*BS102</f>
        <v>0</v>
      </c>
      <c r="BT208" s="64">
        <f>(BT37/$ET$15)*BT102</f>
        <v>0</v>
      </c>
      <c r="BU208" s="64">
        <f>(BU37/$ET$15)*BU102</f>
        <v>0</v>
      </c>
      <c r="BV208" s="64">
        <f>(BV37/$ET$15)*BV102</f>
        <v>0</v>
      </c>
      <c r="BW208" s="64">
        <f>(BW37/$ET$15)*BW102</f>
        <v>0</v>
      </c>
      <c r="BX208" s="64">
        <f>(BX37/$ET$15)*BX102</f>
        <v>0</v>
      </c>
      <c r="BY208" s="64">
        <f>(BY37/$ET$15)*BY102</f>
        <v>0</v>
      </c>
      <c r="BZ208" s="64">
        <f>(BZ37/$ET$15)*BZ102</f>
        <v>0</v>
      </c>
      <c r="CA208" s="64">
        <f>(CA37/$ET$15)*CA102</f>
        <v>0</v>
      </c>
      <c r="CB208" s="64">
        <f>(CB37/$ET$15)*CB102</f>
        <v>0</v>
      </c>
      <c r="CC208" s="64">
        <f>(CC37/$ET$15)*CC102</f>
        <v>0</v>
      </c>
      <c r="CD208" s="64">
        <f>(CD37/$ET$15)*CD102</f>
        <v>0</v>
      </c>
      <c r="CE208" s="64">
        <f>(CE37/$ET$15)*CE102</f>
        <v>0</v>
      </c>
      <c r="CF208" s="64">
        <f>(CF37/$ET$15)*CF102</f>
        <v>0</v>
      </c>
      <c r="CG208" s="64">
        <f>(CG37/$ET$15)*CG102</f>
        <v>0</v>
      </c>
      <c r="CH208" s="64">
        <f>(CH37/$ET$15)*CH102</f>
        <v>0</v>
      </c>
      <c r="CI208" s="64">
        <f>(CI37/$ET$15)*CI102</f>
        <v>0</v>
      </c>
      <c r="CJ208" s="64">
        <f>(CJ37/$ET$15)*CJ102</f>
        <v>0</v>
      </c>
      <c r="CK208" s="64">
        <f>(CK37/$ET$15)*CK102</f>
        <v>0</v>
      </c>
      <c r="CL208" s="64">
        <f>(CL37/$ET$15)*CL102</f>
        <v>0</v>
      </c>
      <c r="CM208" s="64">
        <f>(CM37/$ET$15)*CM102</f>
        <v>0</v>
      </c>
      <c r="CN208" s="64">
        <f>(CN37/$ET$15)*CN102</f>
        <v>0</v>
      </c>
      <c r="CO208" s="64">
        <f>(CO37/$ET$15)*CO102</f>
        <v>0</v>
      </c>
      <c r="CP208" s="64">
        <f>(CP37/$ET$15)*CP102</f>
        <v>0</v>
      </c>
      <c r="CQ208" s="64">
        <f>(CQ37/$ET$15)*CQ102</f>
        <v>0</v>
      </c>
      <c r="CR208" s="64">
        <f>(CR37/$ET$15)*CR102</f>
        <v>0</v>
      </c>
      <c r="CS208" s="64">
        <f>(CS37/$ET$15)*CS102</f>
        <v>0</v>
      </c>
      <c r="CT208" s="64">
        <f>(CT37/$ET$15)*CT102</f>
        <v>0</v>
      </c>
      <c r="CU208" s="64">
        <f>(CU37/$ET$15)*CU102</f>
        <v>0</v>
      </c>
      <c r="CV208" s="64">
        <f>(CV37/$ET$15)*CV102</f>
        <v>0</v>
      </c>
      <c r="CW208" s="64">
        <f>(CW37/$ET$15)*CW102</f>
        <v>0</v>
      </c>
      <c r="CX208" s="64">
        <f>(CX37/$ET$15)*CX102</f>
        <v>0</v>
      </c>
      <c r="CY208" s="64">
        <f>(CY37/$ET$15)*CY102</f>
        <v>0</v>
      </c>
      <c r="CZ208" s="64">
        <f>(CZ37/$ET$15)*CZ102</f>
        <v>0</v>
      </c>
      <c r="DA208" s="64">
        <f>(DA37/$ET$15)*DA102</f>
        <v>0</v>
      </c>
      <c r="DB208" s="64">
        <f>(DB37/$ET$15)*DB102</f>
        <v>0</v>
      </c>
      <c r="DC208" s="64">
        <f>(DC37/$ET$15)*DC102</f>
        <v>0</v>
      </c>
      <c r="DD208" s="64">
        <f>(DD37/$ET$15)*DD102</f>
        <v>0</v>
      </c>
      <c r="DE208" s="64">
        <f>(DE37/$ET$15)*DE102</f>
        <v>0</v>
      </c>
      <c r="DF208" s="64">
        <f>(DF37/$ET$15)*DF102</f>
        <v>0</v>
      </c>
      <c r="DG208" s="64">
        <f>(DG37/$ET$15)*DG102</f>
        <v>0</v>
      </c>
      <c r="DH208" s="64">
        <f>(DH37/$ET$15)*DH102</f>
        <v>0</v>
      </c>
      <c r="DI208" s="64">
        <f>(DI37/$ET$15)*DI102</f>
        <v>0</v>
      </c>
      <c r="DJ208" s="64">
        <f>(DJ37/$ET$15)*DJ102</f>
        <v>0</v>
      </c>
      <c r="DK208" s="64">
        <f>(DK37/$ET$15)*DK102</f>
        <v>0</v>
      </c>
      <c r="DL208" s="64">
        <f>(DL37/$ET$15)*DL102</f>
        <v>0</v>
      </c>
      <c r="DM208" s="64">
        <f>(DM37/$ET$15)*DM102</f>
        <v>0</v>
      </c>
      <c r="DN208" s="64">
        <f>(DN37/$ET$15)*DN102</f>
        <v>0</v>
      </c>
      <c r="DO208" s="64">
        <f>(DO37/$ET$15)*DO102</f>
        <v>0</v>
      </c>
      <c r="DP208" s="64">
        <f>(DP37/$ET$15)*DP102</f>
        <v>0</v>
      </c>
      <c r="DQ208" s="64">
        <f>(DQ37/$ET$15)*DQ102</f>
        <v>0</v>
      </c>
      <c r="DR208" s="64">
        <f>(DR37/$ET$15)*DR102</f>
        <v>0</v>
      </c>
      <c r="DS208" s="64">
        <f>(DS37/$ET$15)*DS102</f>
        <v>0</v>
      </c>
      <c r="DT208" s="64">
        <f>(DT37/$ET$15)*DT102</f>
        <v>0</v>
      </c>
      <c r="DU208" s="64">
        <f>(DU37/$ET$15)*DU102</f>
        <v>0</v>
      </c>
      <c r="DV208" s="64">
        <f>(DV37/$ET$15)*DV102</f>
        <v>0</v>
      </c>
      <c r="DW208" s="64">
        <f>(DW37/$ET$15)*DW102</f>
        <v>0</v>
      </c>
      <c r="DX208" s="64">
        <f>(DX37/$ET$15)*DX102</f>
        <v>0</v>
      </c>
      <c r="DY208" s="64">
        <f>(DY37/$ET$15)*DY102</f>
        <v>0</v>
      </c>
      <c r="DZ208" s="64">
        <f>(DZ37/$ET$15)*DZ102</f>
        <v>0</v>
      </c>
      <c r="EA208" s="64">
        <f>(EA37/$ET$15)*EA102</f>
        <v>0</v>
      </c>
      <c r="EB208" s="64">
        <f>(EB37/$ET$15)*EB102</f>
        <v>0</v>
      </c>
      <c r="EC208" s="64">
        <f>(EC37/$ET$15)*EC102</f>
        <v>0</v>
      </c>
      <c r="ED208" s="64">
        <f>(ED37/$ET$15)*ED102</f>
        <v>0</v>
      </c>
      <c r="EE208" s="64">
        <f>(EE37/$ET$15)*EE102</f>
        <v>0</v>
      </c>
      <c r="EF208" s="64">
        <f>(EF37/$ET$15)*EF102</f>
        <v>0</v>
      </c>
      <c r="EG208" s="64">
        <f>(EG37/$ET$15)*EG102</f>
        <v>0</v>
      </c>
      <c r="EH208" s="64">
        <f>(EH37/$ET$15)*EH102</f>
        <v>0</v>
      </c>
      <c r="EI208" s="64">
        <f>(EI37/$ET$15)*EI102</f>
        <v>0</v>
      </c>
      <c r="EJ208" s="64">
        <f>(EJ37/$ET$15)*EJ102</f>
        <v>0</v>
      </c>
      <c r="EK208" s="64">
        <f>(EK37/$ET$15)*EK102</f>
        <v>0</v>
      </c>
      <c r="EL208" s="64">
        <f>(EL37/$ET$15)*EL102</f>
        <v>0</v>
      </c>
      <c r="EM208" s="64">
        <f>(EM37/$ET$15)*EM102</f>
        <v>0</v>
      </c>
      <c r="EN208" s="64">
        <f>(EN37/$ET$15)*EN102</f>
        <v>0</v>
      </c>
      <c r="EO208" s="64">
        <f>(EO37/$ET$15)*EO102</f>
        <v>0</v>
      </c>
      <c r="EP208" s="64">
        <f>(EP37/$ET$15)*EP102</f>
        <v>0</v>
      </c>
      <c r="EQ208" s="64">
        <f>(EQ37/$ET$15)*EQ102</f>
        <v>0</v>
      </c>
      <c r="ER208" s="64">
        <f>(ER37/$ET$15)*ER102</f>
        <v>0</v>
      </c>
      <c r="ES208" s="64">
        <f>(ES37/$ET$15)*ES102</f>
        <v>0</v>
      </c>
    </row>
    <row r="209" spans="1:150" x14ac:dyDescent="0.3">
      <c r="A209" s="37" t="s">
        <v>28</v>
      </c>
      <c r="B209" s="64">
        <f>(B38/$ET$15)*B103</f>
        <v>0</v>
      </c>
      <c r="C209" s="64">
        <f>(C38/$ET$15)*C103</f>
        <v>0</v>
      </c>
      <c r="D209" s="64">
        <f>(D38/$ET$15)*D103</f>
        <v>0</v>
      </c>
      <c r="E209" s="64">
        <f>(E38/$ET$15)*E103</f>
        <v>0</v>
      </c>
      <c r="F209" s="64">
        <f>(F38/$ET$15)*F103</f>
        <v>0</v>
      </c>
      <c r="G209" s="64">
        <f>(G38/$ET$15)*G103</f>
        <v>0</v>
      </c>
      <c r="H209" s="64">
        <f>(H38/$ET$15)*H103</f>
        <v>0</v>
      </c>
      <c r="I209" s="64">
        <f>(I38/$ET$15)*I103</f>
        <v>0</v>
      </c>
      <c r="J209" s="64">
        <f>(J38/$ET$15)*J103</f>
        <v>0</v>
      </c>
      <c r="K209" s="64">
        <f>(K38/$ET$15)*K103</f>
        <v>0</v>
      </c>
      <c r="L209" s="64">
        <f>(L38/$ET$15)*L103</f>
        <v>0</v>
      </c>
      <c r="M209" s="64">
        <f>(M38/$ET$15)*M103</f>
        <v>0</v>
      </c>
      <c r="N209" s="64">
        <f>(N38/$ET$15)*N103</f>
        <v>0</v>
      </c>
      <c r="O209" s="64">
        <f>(O38/$ET$15)*O103</f>
        <v>0</v>
      </c>
      <c r="P209" s="64">
        <f>(P38/$ET$15)*P103</f>
        <v>0</v>
      </c>
      <c r="Q209" s="64">
        <f>(Q38/$ET$15)*Q103</f>
        <v>0</v>
      </c>
      <c r="R209" s="64">
        <f>(R38/$ET$15)*R103</f>
        <v>0</v>
      </c>
      <c r="S209" s="64">
        <f>(S38/$ET$15)*S103</f>
        <v>0</v>
      </c>
      <c r="T209" s="64">
        <f>(T38/$ET$15)*T103</f>
        <v>0</v>
      </c>
      <c r="U209" s="64">
        <f>(U38/$ET$15)*U103</f>
        <v>0</v>
      </c>
      <c r="V209" s="64">
        <f>(V38/$ET$15)*V103</f>
        <v>0</v>
      </c>
      <c r="W209" s="64">
        <f>(W38/$ET$15)*W103</f>
        <v>0</v>
      </c>
      <c r="X209" s="64">
        <f>(X38/$ET$15)*X103</f>
        <v>0</v>
      </c>
      <c r="Y209" s="64">
        <f>(Y38/$ET$15)*Y103</f>
        <v>0</v>
      </c>
      <c r="Z209" s="64">
        <f>(Z38/$ET$15)*Z103</f>
        <v>0</v>
      </c>
      <c r="AA209" s="64">
        <f>(AA38/$ET$15)*AA103</f>
        <v>0</v>
      </c>
      <c r="AB209" s="64">
        <f>(AB38/$ET$15)*AB103</f>
        <v>0</v>
      </c>
      <c r="AC209" s="64">
        <f>(AC38/$ET$15)*AC103</f>
        <v>0</v>
      </c>
      <c r="AD209" s="64">
        <f>(AD38/$ET$15)*AD103</f>
        <v>0</v>
      </c>
      <c r="AE209" s="64">
        <f>(AE38/$ET$15)*AE103</f>
        <v>0</v>
      </c>
      <c r="AF209" s="64">
        <f>(AF38/$ET$15)*AF103</f>
        <v>0</v>
      </c>
      <c r="AG209" s="64">
        <f>(AG38/$ET$15)*AG103</f>
        <v>0</v>
      </c>
      <c r="AH209" s="64">
        <f>(AH38/$ET$15)*AH103</f>
        <v>0</v>
      </c>
      <c r="AI209" s="64">
        <f>(AI38/$ET$15)*AI103</f>
        <v>0</v>
      </c>
      <c r="AJ209" s="64">
        <f>(AJ38/$ET$15)*AJ103</f>
        <v>0</v>
      </c>
      <c r="AK209" s="64">
        <f>(AK38/$ET$15)*AK103</f>
        <v>0</v>
      </c>
      <c r="AL209" s="64">
        <f>(AL38/$ET$15)*AL103</f>
        <v>0</v>
      </c>
      <c r="AM209" s="64">
        <f>(AM38/$ET$15)*AM103</f>
        <v>0</v>
      </c>
      <c r="AN209" s="64">
        <f>(AN38/$ET$15)*AN103</f>
        <v>0</v>
      </c>
      <c r="AO209" s="64">
        <f>(AO38/$ET$15)*AO103</f>
        <v>0</v>
      </c>
      <c r="AP209" s="64">
        <f>(AP38/$ET$15)*AP103</f>
        <v>0</v>
      </c>
      <c r="AQ209" s="64">
        <f>(AQ38/$ET$15)*AQ103</f>
        <v>0</v>
      </c>
      <c r="AR209" s="64">
        <f>(AR38/$ET$15)*AR103</f>
        <v>0</v>
      </c>
      <c r="AS209" s="64">
        <f>(AS38/$ET$15)*AS103</f>
        <v>0</v>
      </c>
      <c r="AT209" s="64">
        <f>(AT38/$ET$15)*AT103</f>
        <v>0</v>
      </c>
      <c r="AU209" s="64">
        <f>(AU38/$ET$15)*AU103</f>
        <v>0</v>
      </c>
      <c r="AV209" s="64">
        <f>(AV38/$ET$15)*AV103</f>
        <v>0</v>
      </c>
      <c r="AW209" s="64">
        <f>(AW38/$ET$15)*AW103</f>
        <v>0</v>
      </c>
      <c r="AX209" s="64">
        <f>(AX38/$ET$15)*AX103</f>
        <v>0</v>
      </c>
      <c r="AY209" s="64">
        <f>(AY38/$ET$15)*AY103</f>
        <v>0</v>
      </c>
      <c r="AZ209" s="64">
        <f>(AZ38/$ET$15)*AZ103</f>
        <v>0</v>
      </c>
      <c r="BA209" s="64">
        <f>(BA38/$ET$15)*BA103</f>
        <v>0</v>
      </c>
      <c r="BB209" s="64">
        <f>(BB38/$ET$15)*BB103</f>
        <v>0</v>
      </c>
      <c r="BC209" s="64">
        <f>(BC38/$ET$15)*BC103</f>
        <v>0</v>
      </c>
      <c r="BD209" s="64">
        <f>(BD38/$ET$15)*BD103</f>
        <v>0</v>
      </c>
      <c r="BE209" s="64">
        <f>(BE38/$ET$15)*BE103</f>
        <v>0</v>
      </c>
      <c r="BF209" s="64">
        <f>(BF38/$ET$15)*BF103</f>
        <v>0</v>
      </c>
      <c r="BG209" s="64">
        <f>(BG38/$ET$15)*BG103</f>
        <v>0</v>
      </c>
      <c r="BH209" s="64">
        <f>(BH38/$ET$15)*BH103</f>
        <v>0</v>
      </c>
      <c r="BI209" s="64">
        <f>(BI38/$ET$15)*BI103</f>
        <v>0</v>
      </c>
      <c r="BJ209" s="64">
        <f>(BJ38/$ET$15)*BJ103</f>
        <v>0</v>
      </c>
      <c r="BK209" s="64">
        <f>(BK38/$ET$15)*BK103</f>
        <v>0</v>
      </c>
      <c r="BL209" s="64">
        <f>(BL38/$ET$15)*BL103</f>
        <v>0</v>
      </c>
      <c r="BM209" s="64">
        <f>(BM38/$ET$15)*BM103</f>
        <v>0</v>
      </c>
      <c r="BN209" s="64">
        <f>(BN38/$ET$15)*BN103</f>
        <v>0</v>
      </c>
      <c r="BO209" s="64">
        <f>(BO38/$ET$15)*BO103</f>
        <v>0</v>
      </c>
      <c r="BP209" s="64">
        <f>(BP38/$ET$15)*BP103</f>
        <v>0</v>
      </c>
      <c r="BQ209" s="64">
        <f>(BQ38/$ET$15)*BQ103</f>
        <v>0</v>
      </c>
      <c r="BR209" s="64">
        <f>(BR38/$ET$15)*BR103</f>
        <v>0</v>
      </c>
      <c r="BS209" s="64">
        <f>(BS38/$ET$15)*BS103</f>
        <v>0</v>
      </c>
      <c r="BT209" s="64">
        <f>(BT38/$ET$15)*BT103</f>
        <v>0</v>
      </c>
      <c r="BU209" s="64">
        <f>(BU38/$ET$15)*BU103</f>
        <v>0</v>
      </c>
      <c r="BV209" s="64">
        <f>(BV38/$ET$15)*BV103</f>
        <v>0</v>
      </c>
      <c r="BW209" s="64">
        <f>(BW38/$ET$15)*BW103</f>
        <v>0</v>
      </c>
      <c r="BX209" s="64">
        <f>(BX38/$ET$15)*BX103</f>
        <v>0</v>
      </c>
      <c r="BY209" s="64">
        <f>(BY38/$ET$15)*BY103</f>
        <v>0</v>
      </c>
      <c r="BZ209" s="64">
        <f>(BZ38/$ET$15)*BZ103</f>
        <v>0</v>
      </c>
      <c r="CA209" s="64">
        <f>(CA38/$ET$15)*CA103</f>
        <v>0</v>
      </c>
      <c r="CB209" s="64">
        <f>(CB38/$ET$15)*CB103</f>
        <v>0</v>
      </c>
      <c r="CC209" s="64">
        <f>(CC38/$ET$15)*CC103</f>
        <v>0</v>
      </c>
      <c r="CD209" s="64">
        <f>(CD38/$ET$15)*CD103</f>
        <v>0</v>
      </c>
      <c r="CE209" s="64">
        <f>(CE38/$ET$15)*CE103</f>
        <v>0</v>
      </c>
      <c r="CF209" s="64">
        <f>(CF38/$ET$15)*CF103</f>
        <v>0</v>
      </c>
      <c r="CG209" s="64">
        <f>(CG38/$ET$15)*CG103</f>
        <v>0</v>
      </c>
      <c r="CH209" s="64">
        <f>(CH38/$ET$15)*CH103</f>
        <v>0</v>
      </c>
      <c r="CI209" s="64">
        <f>(CI38/$ET$15)*CI103</f>
        <v>0</v>
      </c>
      <c r="CJ209" s="64">
        <f>(CJ38/$ET$15)*CJ103</f>
        <v>0</v>
      </c>
      <c r="CK209" s="64">
        <f>(CK38/$ET$15)*CK103</f>
        <v>0</v>
      </c>
      <c r="CL209" s="64">
        <f>(CL38/$ET$15)*CL103</f>
        <v>0</v>
      </c>
      <c r="CM209" s="64">
        <f>(CM38/$ET$15)*CM103</f>
        <v>0</v>
      </c>
      <c r="CN209" s="64">
        <f>(CN38/$ET$15)*CN103</f>
        <v>0</v>
      </c>
      <c r="CO209" s="64">
        <f>(CO38/$ET$15)*CO103</f>
        <v>0</v>
      </c>
      <c r="CP209" s="64">
        <f>(CP38/$ET$15)*CP103</f>
        <v>0</v>
      </c>
      <c r="CQ209" s="64">
        <f>(CQ38/$ET$15)*CQ103</f>
        <v>0</v>
      </c>
      <c r="CR209" s="64">
        <f>(CR38/$ET$15)*CR103</f>
        <v>0</v>
      </c>
      <c r="CS209" s="64">
        <f>(CS38/$ET$15)*CS103</f>
        <v>0</v>
      </c>
      <c r="CT209" s="64">
        <f>(CT38/$ET$15)*CT103</f>
        <v>0</v>
      </c>
      <c r="CU209" s="64">
        <f>(CU38/$ET$15)*CU103</f>
        <v>0</v>
      </c>
      <c r="CV209" s="64">
        <f>(CV38/$ET$15)*CV103</f>
        <v>0</v>
      </c>
      <c r="CW209" s="64">
        <f>(CW38/$ET$15)*CW103</f>
        <v>0</v>
      </c>
      <c r="CX209" s="64">
        <f>(CX38/$ET$15)*CX103</f>
        <v>0</v>
      </c>
      <c r="CY209" s="64">
        <f>(CY38/$ET$15)*CY103</f>
        <v>0</v>
      </c>
      <c r="CZ209" s="64">
        <f>(CZ38/$ET$15)*CZ103</f>
        <v>0</v>
      </c>
      <c r="DA209" s="64">
        <f>(DA38/$ET$15)*DA103</f>
        <v>0</v>
      </c>
      <c r="DB209" s="64">
        <f>(DB38/$ET$15)*DB103</f>
        <v>0</v>
      </c>
      <c r="DC209" s="64">
        <f>(DC38/$ET$15)*DC103</f>
        <v>0</v>
      </c>
      <c r="DD209" s="64">
        <f>(DD38/$ET$15)*DD103</f>
        <v>0</v>
      </c>
      <c r="DE209" s="64">
        <f>(DE38/$ET$15)*DE103</f>
        <v>0</v>
      </c>
      <c r="DF209" s="64">
        <f>(DF38/$ET$15)*DF103</f>
        <v>0</v>
      </c>
      <c r="DG209" s="64">
        <f>(DG38/$ET$15)*DG103</f>
        <v>0</v>
      </c>
      <c r="DH209" s="64">
        <f>(DH38/$ET$15)*DH103</f>
        <v>0</v>
      </c>
      <c r="DI209" s="64">
        <f>(DI38/$ET$15)*DI103</f>
        <v>0</v>
      </c>
      <c r="DJ209" s="64">
        <f>(DJ38/$ET$15)*DJ103</f>
        <v>0</v>
      </c>
      <c r="DK209" s="64">
        <f>(DK38/$ET$15)*DK103</f>
        <v>0</v>
      </c>
      <c r="DL209" s="64">
        <f>(DL38/$ET$15)*DL103</f>
        <v>0</v>
      </c>
      <c r="DM209" s="64">
        <f>(DM38/$ET$15)*DM103</f>
        <v>0</v>
      </c>
      <c r="DN209" s="64">
        <f>(DN38/$ET$15)*DN103</f>
        <v>0</v>
      </c>
      <c r="DO209" s="64">
        <f>(DO38/$ET$15)*DO103</f>
        <v>0</v>
      </c>
      <c r="DP209" s="64">
        <f>(DP38/$ET$15)*DP103</f>
        <v>0</v>
      </c>
      <c r="DQ209" s="64">
        <f>(DQ38/$ET$15)*DQ103</f>
        <v>0</v>
      </c>
      <c r="DR209" s="64">
        <f>(DR38/$ET$15)*DR103</f>
        <v>0</v>
      </c>
      <c r="DS209" s="64">
        <f>(DS38/$ET$15)*DS103</f>
        <v>0</v>
      </c>
      <c r="DT209" s="64">
        <f>(DT38/$ET$15)*DT103</f>
        <v>0</v>
      </c>
      <c r="DU209" s="64">
        <f>(DU38/$ET$15)*DU103</f>
        <v>0</v>
      </c>
      <c r="DV209" s="64">
        <f>(DV38/$ET$15)*DV103</f>
        <v>0</v>
      </c>
      <c r="DW209" s="64">
        <f>(DW38/$ET$15)*DW103</f>
        <v>0</v>
      </c>
      <c r="DX209" s="64">
        <f>(DX38/$ET$15)*DX103</f>
        <v>0</v>
      </c>
      <c r="DY209" s="64">
        <f>(DY38/$ET$15)*DY103</f>
        <v>0</v>
      </c>
      <c r="DZ209" s="64">
        <f>(DZ38/$ET$15)*DZ103</f>
        <v>0</v>
      </c>
      <c r="EA209" s="64">
        <f>(EA38/$ET$15)*EA103</f>
        <v>0</v>
      </c>
      <c r="EB209" s="64">
        <f>(EB38/$ET$15)*EB103</f>
        <v>0</v>
      </c>
      <c r="EC209" s="64">
        <f>(EC38/$ET$15)*EC103</f>
        <v>0</v>
      </c>
      <c r="ED209" s="64">
        <f>(ED38/$ET$15)*ED103</f>
        <v>0</v>
      </c>
      <c r="EE209" s="64">
        <f>(EE38/$ET$15)*EE103</f>
        <v>0</v>
      </c>
      <c r="EF209" s="64">
        <f>(EF38/$ET$15)*EF103</f>
        <v>0</v>
      </c>
      <c r="EG209" s="64">
        <f>(EG38/$ET$15)*EG103</f>
        <v>0</v>
      </c>
      <c r="EH209" s="64">
        <f>(EH38/$ET$15)*EH103</f>
        <v>0</v>
      </c>
      <c r="EI209" s="64">
        <f>(EI38/$ET$15)*EI103</f>
        <v>0</v>
      </c>
      <c r="EJ209" s="64">
        <f>(EJ38/$ET$15)*EJ103</f>
        <v>0</v>
      </c>
      <c r="EK209" s="64">
        <f>(EK38/$ET$15)*EK103</f>
        <v>0</v>
      </c>
      <c r="EL209" s="64">
        <f>(EL38/$ET$15)*EL103</f>
        <v>0</v>
      </c>
      <c r="EM209" s="64">
        <f>(EM38/$ET$15)*EM103</f>
        <v>0</v>
      </c>
      <c r="EN209" s="64">
        <f>(EN38/$ET$15)*EN103</f>
        <v>0</v>
      </c>
      <c r="EO209" s="64">
        <f>(EO38/$ET$15)*EO103</f>
        <v>0</v>
      </c>
      <c r="EP209" s="64">
        <f>(EP38/$ET$15)*EP103</f>
        <v>0</v>
      </c>
      <c r="EQ209" s="64">
        <f>(EQ38/$ET$15)*EQ103</f>
        <v>0</v>
      </c>
      <c r="ER209" s="64">
        <f>(ER38/$ET$15)*ER103</f>
        <v>0</v>
      </c>
      <c r="ES209" s="64">
        <f>(ES38/$ET$15)*ES103</f>
        <v>0</v>
      </c>
    </row>
    <row r="210" spans="1:150" x14ac:dyDescent="0.3">
      <c r="A210" s="37" t="s">
        <v>13</v>
      </c>
      <c r="B210" s="64">
        <f>(B39/$ET$15)*B104</f>
        <v>3.235476108628395</v>
      </c>
      <c r="C210" s="64">
        <f>(C39/$ET$15)*C104</f>
        <v>0</v>
      </c>
      <c r="D210" s="64">
        <f>(D39/$ET$15)*D104</f>
        <v>0</v>
      </c>
      <c r="E210" s="64">
        <f>(E39/$ET$15)*E104</f>
        <v>4.2973530422825714</v>
      </c>
      <c r="F210" s="64">
        <f>(F39/$ET$15)*F104</f>
        <v>2.2076314884840151</v>
      </c>
      <c r="G210" s="64">
        <f>(G39/$ET$15)*G104</f>
        <v>2.2880715022344451</v>
      </c>
      <c r="H210" s="64">
        <f>(H39/$ET$15)*H104</f>
        <v>0.37676177380543147</v>
      </c>
      <c r="I210" s="64">
        <f>(I39/$ET$15)*I104</f>
        <v>2.6400825025782058</v>
      </c>
      <c r="J210" s="64">
        <f>(J39/$ET$15)*J104</f>
        <v>0</v>
      </c>
      <c r="K210" s="64">
        <f>(K39/$ET$15)*K104</f>
        <v>0</v>
      </c>
      <c r="L210" s="64">
        <f>(L39/$ET$15)*L104</f>
        <v>0</v>
      </c>
      <c r="M210" s="64">
        <f>(M39/$ET$15)*M104</f>
        <v>0</v>
      </c>
      <c r="N210" s="64">
        <f>(N39/$ET$15)*N104</f>
        <v>0</v>
      </c>
      <c r="O210" s="64">
        <f>(O39/$ET$15)*O104</f>
        <v>0</v>
      </c>
      <c r="P210" s="64">
        <f>(P39/$ET$15)*P104</f>
        <v>0.3520110003437607</v>
      </c>
      <c r="Q210" s="64">
        <f>(Q39/$ET$15)*Q104</f>
        <v>0</v>
      </c>
      <c r="R210" s="64">
        <f>(R39/$ET$15)*R104</f>
        <v>0</v>
      </c>
      <c r="S210" s="64">
        <f>(S39/$ET$15)*S104</f>
        <v>0</v>
      </c>
      <c r="T210" s="64">
        <f>(T39/$ET$15)*T104</f>
        <v>1.1275352354761088</v>
      </c>
      <c r="U210" s="64">
        <f>(U39/$ET$15)*U104</f>
        <v>0</v>
      </c>
      <c r="V210" s="64">
        <f>(V39/$ET$15)*V104</f>
        <v>0</v>
      </c>
      <c r="W210" s="64">
        <f>(W39/$ET$15)*W104</f>
        <v>0.2316947404606394</v>
      </c>
      <c r="X210" s="64">
        <f>(X39/$ET$15)*X104</f>
        <v>0</v>
      </c>
      <c r="Y210" s="64">
        <f>(Y39/$ET$15)*Y104</f>
        <v>0.69302165692677897</v>
      </c>
      <c r="Z210" s="64">
        <f>(Z39/$ET$15)*Z104</f>
        <v>0</v>
      </c>
      <c r="AA210" s="64">
        <f>(AA39/$ET$15)*AA104</f>
        <v>0</v>
      </c>
      <c r="AB210" s="64">
        <f>(AB39/$ET$15)*AB104</f>
        <v>0</v>
      </c>
      <c r="AC210" s="64">
        <f>(AC39/$ET$15)*AC104</f>
        <v>0</v>
      </c>
      <c r="AD210" s="64">
        <f>(AD39/$ET$15)*AD104</f>
        <v>0</v>
      </c>
      <c r="AE210" s="64">
        <f>(AE39/$ET$15)*AE104</f>
        <v>0.94362323822619454</v>
      </c>
      <c r="AF210" s="64">
        <f>(AF39/$ET$15)*AF104</f>
        <v>0</v>
      </c>
      <c r="AG210" s="64">
        <f>(AG39/$ET$15)*AG104</f>
        <v>0</v>
      </c>
      <c r="AH210" s="64">
        <f>(AH39/$ET$15)*AH104</f>
        <v>0</v>
      </c>
      <c r="AI210" s="64">
        <f>(AI39/$ET$15)*AI104</f>
        <v>0</v>
      </c>
      <c r="AJ210" s="64">
        <f>(AJ39/$ET$15)*AJ104</f>
        <v>0</v>
      </c>
      <c r="AK210" s="64">
        <f>(AK39/$ET$15)*AK104</f>
        <v>0</v>
      </c>
      <c r="AL210" s="64">
        <f>(AL39/$ET$15)*AL104</f>
        <v>0</v>
      </c>
      <c r="AM210" s="64">
        <f>(AM39/$ET$15)*AM104</f>
        <v>0</v>
      </c>
      <c r="AN210" s="64">
        <f>(AN39/$ET$15)*AN104</f>
        <v>0</v>
      </c>
      <c r="AO210" s="64">
        <f>(AO39/$ET$15)*AO104</f>
        <v>0.85355792368511518</v>
      </c>
      <c r="AP210" s="64">
        <f>(AP39/$ET$15)*AP104</f>
        <v>0</v>
      </c>
      <c r="AQ210" s="64">
        <f>(AQ39/$ET$15)*AQ104</f>
        <v>0</v>
      </c>
      <c r="AR210" s="64">
        <f>(AR39/$ET$15)*AR104</f>
        <v>0</v>
      </c>
      <c r="AS210" s="64">
        <f>(AS39/$ET$15)*AS104</f>
        <v>0</v>
      </c>
      <c r="AT210" s="64">
        <f>(AT39/$ET$15)*AT104</f>
        <v>0</v>
      </c>
      <c r="AU210" s="64">
        <f>(AU39/$ET$15)*AU104</f>
        <v>1.4510140941904435</v>
      </c>
      <c r="AV210" s="64">
        <f>(AV39/$ET$15)*AV104</f>
        <v>0</v>
      </c>
      <c r="AW210" s="64">
        <f>(AW39/$ET$15)*AW104</f>
        <v>0.49089034032313511</v>
      </c>
      <c r="AX210" s="64">
        <f>(AX39/$ET$15)*AX104</f>
        <v>0</v>
      </c>
      <c r="AY210" s="64">
        <f>(AY39/$ET$15)*AY104</f>
        <v>1.5984874527328978</v>
      </c>
      <c r="AZ210" s="64">
        <f>(AZ39/$ET$15)*AZ104</f>
        <v>0</v>
      </c>
      <c r="BA210" s="64">
        <f>(BA39/$ET$15)*BA104</f>
        <v>3.6198006187693363</v>
      </c>
      <c r="BB210" s="64">
        <f>(BB39/$ET$15)*BB104</f>
        <v>0</v>
      </c>
      <c r="BC210" s="64">
        <f>(BC39/$ET$15)*BC104</f>
        <v>0</v>
      </c>
      <c r="BD210" s="64">
        <f>(BD39/$ET$15)*BD104</f>
        <v>1.7786180818150568</v>
      </c>
      <c r="BE210" s="64">
        <f>(BE39/$ET$15)*BE104</f>
        <v>0</v>
      </c>
      <c r="BF210" s="64">
        <f>(BF39/$ET$15)*BF104</f>
        <v>2.5369542798212446</v>
      </c>
      <c r="BG210" s="64">
        <f>(BG39/$ET$15)*BG104</f>
        <v>0</v>
      </c>
      <c r="BH210" s="64">
        <f>(BH39/$ET$15)*BH104</f>
        <v>0.44551392231007225</v>
      </c>
      <c r="BI210" s="64">
        <f>(BI39/$ET$15)*BI104</f>
        <v>0.16500515641113783</v>
      </c>
      <c r="BJ210" s="64">
        <f>(BJ39/$ET$15)*BJ104</f>
        <v>0</v>
      </c>
      <c r="BK210" s="64">
        <f>(BK39/$ET$15)*BK104</f>
        <v>1.1873496046751462</v>
      </c>
      <c r="BL210" s="64">
        <f>(BL39/$ET$15)*BL104</f>
        <v>0.34410450326572706</v>
      </c>
      <c r="BM210" s="64">
        <f>(BM39/$ET$15)*BM104</f>
        <v>0</v>
      </c>
      <c r="BN210" s="64">
        <f>(BN39/$ET$15)*BN104</f>
        <v>0</v>
      </c>
      <c r="BO210" s="64">
        <f>(BO39/$ET$15)*BO104</f>
        <v>0</v>
      </c>
      <c r="BP210" s="64">
        <f>(BP39/$ET$15)*BP104</f>
        <v>2.0192506015812994</v>
      </c>
      <c r="BQ210" s="64">
        <f>(BQ39/$ET$15)*BQ104</f>
        <v>0</v>
      </c>
      <c r="BR210" s="64">
        <f>(BR39/$ET$15)*BR104</f>
        <v>1.2540391887246476</v>
      </c>
      <c r="BS210" s="64">
        <f>(BS39/$ET$15)*BS104</f>
        <v>0</v>
      </c>
      <c r="BT210" s="64">
        <f>(BT39/$ET$15)*BT104</f>
        <v>1.5551735991749742</v>
      </c>
      <c r="BU210" s="64">
        <f>(BU39/$ET$15)*BU104</f>
        <v>2.0020625644551395</v>
      </c>
      <c r="BV210" s="64">
        <f>(BV39/$ET$15)*BV104</f>
        <v>0</v>
      </c>
      <c r="BW210" s="64">
        <f>(BW39/$ET$15)*BW104</f>
        <v>0</v>
      </c>
      <c r="BX210" s="64">
        <f>(BX39/$ET$15)*BX104</f>
        <v>0</v>
      </c>
      <c r="BY210" s="64">
        <f>(BY39/$ET$15)*BY104</f>
        <v>0.13372292884152631</v>
      </c>
      <c r="BZ210" s="64">
        <f>(BZ39/$ET$15)*BZ104</f>
        <v>0</v>
      </c>
      <c r="CA210" s="64">
        <f>(CA39/$ET$15)*CA104</f>
        <v>4.5190787212100378</v>
      </c>
      <c r="CB210" s="64">
        <f>(CB39/$ET$15)*CB104</f>
        <v>0</v>
      </c>
      <c r="CC210" s="64">
        <f>(CC39/$ET$15)*CC104</f>
        <v>0.73633551048470258</v>
      </c>
      <c r="CD210" s="64">
        <f>(CD39/$ET$15)*CD104</f>
        <v>0.34891715366105186</v>
      </c>
      <c r="CE210" s="64">
        <f>(CE39/$ET$15)*CE104</f>
        <v>0</v>
      </c>
      <c r="CF210" s="64">
        <f>(CF39/$ET$15)*CF104</f>
        <v>0</v>
      </c>
      <c r="CG210" s="64">
        <f>(CG39/$ET$15)*CG104</f>
        <v>0</v>
      </c>
      <c r="CH210" s="64">
        <f>(CH39/$ET$15)*CH104</f>
        <v>0</v>
      </c>
      <c r="CI210" s="64">
        <f>(CI39/$ET$15)*CI104</f>
        <v>1.2591955998624957</v>
      </c>
      <c r="CJ210" s="64">
        <f>(CJ39/$ET$15)*CJ104</f>
        <v>0</v>
      </c>
      <c r="CK210" s="64">
        <f>(CK39/$ET$15)*CK104</f>
        <v>0</v>
      </c>
      <c r="CL210" s="64">
        <f>(CL39/$ET$15)*CL104</f>
        <v>1.7449295290477826</v>
      </c>
      <c r="CM210" s="64">
        <f>(CM39/$ET$15)*CM104</f>
        <v>0</v>
      </c>
      <c r="CN210" s="64">
        <f>(CN39/$ET$15)*CN104</f>
        <v>1.2478514953592301</v>
      </c>
      <c r="CO210" s="64">
        <f>(CO39/$ET$15)*CO104</f>
        <v>0</v>
      </c>
      <c r="CP210" s="64">
        <f>(CP39/$ET$15)*CP104</f>
        <v>0</v>
      </c>
      <c r="CQ210" s="64">
        <f>(CQ39/$ET$15)*CQ104</f>
        <v>0</v>
      </c>
      <c r="CR210" s="64">
        <f>(CR39/$ET$15)*CR104</f>
        <v>0.33722928841526301</v>
      </c>
      <c r="CS210" s="64">
        <f>(CS39/$ET$15)*CS104</f>
        <v>0</v>
      </c>
      <c r="CT210" s="64">
        <f>(CT39/$ET$15)*CT104</f>
        <v>0</v>
      </c>
      <c r="CU210" s="64">
        <f>(CU39/$ET$15)*CU104</f>
        <v>0.74836713647301478</v>
      </c>
      <c r="CV210" s="64">
        <f>(CV39/$ET$15)*CV104</f>
        <v>0.10656583018219319</v>
      </c>
      <c r="CW210" s="64">
        <f>(CW39/$ET$15)*CW104</f>
        <v>0</v>
      </c>
      <c r="CX210" s="64">
        <f>(CX39/$ET$15)*CX104</f>
        <v>0</v>
      </c>
      <c r="CY210" s="64">
        <f>(CY39/$ET$15)*CY104</f>
        <v>0.18219319353729804</v>
      </c>
      <c r="CZ210" s="64">
        <f>(CZ39/$ET$15)*CZ104</f>
        <v>0</v>
      </c>
      <c r="DA210" s="64">
        <f>(DA39/$ET$15)*DA104</f>
        <v>0</v>
      </c>
      <c r="DB210" s="64">
        <f>(DB39/$ET$15)*DB104</f>
        <v>0</v>
      </c>
      <c r="DC210" s="64">
        <f>(DC39/$ET$15)*DC104</f>
        <v>0</v>
      </c>
      <c r="DD210" s="64">
        <f>(DD39/$ET$15)*DD104</f>
        <v>0</v>
      </c>
      <c r="DE210" s="64">
        <f>(DE39/$ET$15)*DE104</f>
        <v>0</v>
      </c>
      <c r="DF210" s="64">
        <f>(DF39/$ET$15)*DF104</f>
        <v>0</v>
      </c>
      <c r="DG210" s="64">
        <f>(DG39/$ET$15)*DG104</f>
        <v>0</v>
      </c>
      <c r="DH210" s="64">
        <f>(DH39/$ET$15)*DH104</f>
        <v>0</v>
      </c>
      <c r="DI210" s="64">
        <f>(DI39/$ET$15)*DI104</f>
        <v>0.63251976624269501</v>
      </c>
      <c r="DJ210" s="64">
        <f>(DJ39/$ET$15)*DJ104</f>
        <v>0</v>
      </c>
      <c r="DK210" s="64">
        <f>(DK39/$ET$15)*DK104</f>
        <v>0</v>
      </c>
      <c r="DL210" s="64">
        <f>(DL39/$ET$15)*DL104</f>
        <v>0</v>
      </c>
      <c r="DM210" s="64">
        <f>(DM39/$ET$15)*DM104</f>
        <v>0</v>
      </c>
      <c r="DN210" s="64">
        <f>(DN39/$ET$15)*DN104</f>
        <v>1.3922310072189756</v>
      </c>
      <c r="DO210" s="64">
        <f>(DO39/$ET$15)*DO104</f>
        <v>0</v>
      </c>
      <c r="DP210" s="64">
        <f>(DP39/$ET$15)*DP104</f>
        <v>0</v>
      </c>
      <c r="DQ210" s="64">
        <f>(DQ39/$ET$15)*DQ104</f>
        <v>1.0171880371261603</v>
      </c>
      <c r="DR210" s="64">
        <f>(DR39/$ET$15)*DR104</f>
        <v>1.4644207631488484</v>
      </c>
      <c r="DS210" s="64">
        <f>(DS39/$ET$15)*DS104</f>
        <v>0.96974905465795802</v>
      </c>
      <c r="DT210" s="64">
        <f>(DT39/$ET$15)*DT104</f>
        <v>0</v>
      </c>
      <c r="DU210" s="64">
        <f>(DU39/$ET$15)*DU104</f>
        <v>0</v>
      </c>
      <c r="DV210" s="64">
        <f>(DV39/$ET$15)*DV104</f>
        <v>0</v>
      </c>
      <c r="DW210" s="64">
        <f>(DW39/$ET$15)*DW104</f>
        <v>0</v>
      </c>
      <c r="DX210" s="64">
        <f>(DX39/$ET$15)*DX104</f>
        <v>0</v>
      </c>
      <c r="DY210" s="64">
        <f>(DY39/$ET$15)*DY104</f>
        <v>0.98178068064627011</v>
      </c>
      <c r="DZ210" s="64">
        <f>(DZ39/$ET$15)*DZ104</f>
        <v>0</v>
      </c>
      <c r="EA210" s="64">
        <f>(EA39/$ET$15)*EA104</f>
        <v>0</v>
      </c>
      <c r="EB210" s="64">
        <f>(EB39/$ET$15)*EB104</f>
        <v>8.244308112753524</v>
      </c>
      <c r="EC210" s="64">
        <f>(EC39/$ET$15)*EC104</f>
        <v>0</v>
      </c>
      <c r="ED210" s="64">
        <f>(ED39/$ET$15)*ED104</f>
        <v>0</v>
      </c>
      <c r="EE210" s="64">
        <f>(EE39/$ET$15)*EE104</f>
        <v>0</v>
      </c>
      <c r="EF210" s="64">
        <f>(EF39/$ET$15)*EF104</f>
        <v>5.4657958061189414E-2</v>
      </c>
      <c r="EG210" s="64">
        <f>(EG39/$ET$15)*EG104</f>
        <v>0.94671708490890338</v>
      </c>
      <c r="EH210" s="64">
        <f>(EH39/$ET$15)*EH104</f>
        <v>0.25575799243726366</v>
      </c>
      <c r="EI210" s="64">
        <f>(EI39/$ET$15)*EI104</f>
        <v>3.0044688896528018</v>
      </c>
      <c r="EJ210" s="64">
        <f>(EJ39/$ET$15)*EJ104</f>
        <v>0</v>
      </c>
      <c r="EK210" s="64">
        <f>(EK39/$ET$15)*EK104</f>
        <v>0</v>
      </c>
      <c r="EL210" s="64">
        <f>(EL39/$ET$15)*EL104</f>
        <v>0</v>
      </c>
      <c r="EM210" s="64">
        <f>(EM39/$ET$15)*EM104</f>
        <v>0</v>
      </c>
      <c r="EN210" s="64">
        <f>(EN39/$ET$15)*EN104</f>
        <v>0</v>
      </c>
      <c r="EO210" s="64">
        <f>(EO39/$ET$15)*EO104</f>
        <v>0</v>
      </c>
      <c r="EP210" s="64">
        <f>(EP39/$ET$15)*EP104</f>
        <v>10.788243382605707</v>
      </c>
      <c r="EQ210" s="64">
        <f>(EQ39/$ET$15)*EQ104</f>
        <v>0</v>
      </c>
      <c r="ER210" s="64">
        <f>(ER39/$ET$15)*ER104</f>
        <v>0</v>
      </c>
      <c r="ES210" s="64">
        <f>(ES39/$ET$15)*ES104</f>
        <v>0</v>
      </c>
    </row>
    <row r="211" spans="1:150" x14ac:dyDescent="0.3">
      <c r="A211" s="37" t="s">
        <v>23</v>
      </c>
      <c r="B211" s="64">
        <f>(B40/$ET$15)*B105</f>
        <v>0</v>
      </c>
      <c r="C211" s="64">
        <f>(C40/$ET$15)*C105</f>
        <v>0</v>
      </c>
      <c r="D211" s="64">
        <f>(D40/$ET$15)*D105</f>
        <v>0</v>
      </c>
      <c r="E211" s="64">
        <f>(E40/$ET$15)*E105</f>
        <v>0</v>
      </c>
      <c r="F211" s="64">
        <f>(F40/$ET$15)*F105</f>
        <v>0</v>
      </c>
      <c r="G211" s="64">
        <f>(G40/$ET$15)*G105</f>
        <v>0</v>
      </c>
      <c r="H211" s="64">
        <f>(H40/$ET$15)*H105</f>
        <v>0</v>
      </c>
      <c r="I211" s="64">
        <f>(I40/$ET$15)*I105</f>
        <v>0</v>
      </c>
      <c r="J211" s="64">
        <f>(J40/$ET$15)*J105</f>
        <v>0</v>
      </c>
      <c r="K211" s="64">
        <f>(K40/$ET$15)*K105</f>
        <v>0</v>
      </c>
      <c r="L211" s="64">
        <f>(L40/$ET$15)*L105</f>
        <v>0</v>
      </c>
      <c r="M211" s="64">
        <f>(M40/$ET$15)*M105</f>
        <v>0</v>
      </c>
      <c r="N211" s="64">
        <f>(N40/$ET$15)*N105</f>
        <v>0</v>
      </c>
      <c r="O211" s="64">
        <f>(O40/$ET$15)*O105</f>
        <v>0</v>
      </c>
      <c r="P211" s="64">
        <f>(P40/$ET$15)*P105</f>
        <v>0</v>
      </c>
      <c r="Q211" s="64">
        <f>(Q40/$ET$15)*Q105</f>
        <v>0</v>
      </c>
      <c r="R211" s="64">
        <f>(R40/$ET$15)*R105</f>
        <v>0</v>
      </c>
      <c r="S211" s="64">
        <f>(S40/$ET$15)*S105</f>
        <v>0</v>
      </c>
      <c r="T211" s="64">
        <f>(T40/$ET$15)*T105</f>
        <v>0</v>
      </c>
      <c r="U211" s="64">
        <f>(U40/$ET$15)*U105</f>
        <v>0</v>
      </c>
      <c r="V211" s="64">
        <f>(V40/$ET$15)*V105</f>
        <v>0</v>
      </c>
      <c r="W211" s="64">
        <f>(W40/$ET$15)*W105</f>
        <v>0</v>
      </c>
      <c r="X211" s="64">
        <f>(X40/$ET$15)*X105</f>
        <v>0</v>
      </c>
      <c r="Y211" s="64">
        <f>(Y40/$ET$15)*Y105</f>
        <v>0</v>
      </c>
      <c r="Z211" s="64">
        <f>(Z40/$ET$15)*Z105</f>
        <v>0</v>
      </c>
      <c r="AA211" s="64">
        <f>(AA40/$ET$15)*AA105</f>
        <v>0</v>
      </c>
      <c r="AB211" s="64">
        <f>(AB40/$ET$15)*AB105</f>
        <v>0</v>
      </c>
      <c r="AC211" s="64">
        <f>(AC40/$ET$15)*AC105</f>
        <v>0</v>
      </c>
      <c r="AD211" s="64">
        <f>(AD40/$ET$15)*AD105</f>
        <v>0</v>
      </c>
      <c r="AE211" s="64">
        <f>(AE40/$ET$15)*AE105</f>
        <v>0</v>
      </c>
      <c r="AF211" s="64">
        <f>(AF40/$ET$15)*AF105</f>
        <v>0</v>
      </c>
      <c r="AG211" s="64">
        <f>(AG40/$ET$15)*AG105</f>
        <v>0</v>
      </c>
      <c r="AH211" s="64">
        <f>(AH40/$ET$15)*AH105</f>
        <v>0</v>
      </c>
      <c r="AI211" s="64">
        <f>(AI40/$ET$15)*AI105</f>
        <v>0</v>
      </c>
      <c r="AJ211" s="64">
        <f>(AJ40/$ET$15)*AJ105</f>
        <v>0</v>
      </c>
      <c r="AK211" s="64">
        <f>(AK40/$ET$15)*AK105</f>
        <v>0</v>
      </c>
      <c r="AL211" s="64">
        <f>(AL40/$ET$15)*AL105</f>
        <v>0</v>
      </c>
      <c r="AM211" s="64">
        <f>(AM40/$ET$15)*AM105</f>
        <v>0</v>
      </c>
      <c r="AN211" s="64">
        <f>(AN40/$ET$15)*AN105</f>
        <v>0</v>
      </c>
      <c r="AO211" s="64">
        <f>(AO40/$ET$15)*AO105</f>
        <v>0</v>
      </c>
      <c r="AP211" s="64">
        <f>(AP40/$ET$15)*AP105</f>
        <v>0</v>
      </c>
      <c r="AQ211" s="64">
        <f>(AQ40/$ET$15)*AQ105</f>
        <v>0</v>
      </c>
      <c r="AR211" s="64">
        <f>(AR40/$ET$15)*AR105</f>
        <v>0</v>
      </c>
      <c r="AS211" s="64">
        <f>(AS40/$ET$15)*AS105</f>
        <v>0</v>
      </c>
      <c r="AT211" s="64">
        <f>(AT40/$ET$15)*AT105</f>
        <v>0</v>
      </c>
      <c r="AU211" s="64">
        <f>(AU40/$ET$15)*AU105</f>
        <v>0</v>
      </c>
      <c r="AV211" s="64">
        <f>(AV40/$ET$15)*AV105</f>
        <v>0</v>
      </c>
      <c r="AW211" s="64">
        <f>(AW40/$ET$15)*AW105</f>
        <v>0</v>
      </c>
      <c r="AX211" s="64">
        <f>(AX40/$ET$15)*AX105</f>
        <v>0</v>
      </c>
      <c r="AY211" s="64">
        <f>(AY40/$ET$15)*AY105</f>
        <v>0</v>
      </c>
      <c r="AZ211" s="64">
        <f>(AZ40/$ET$15)*AZ105</f>
        <v>0</v>
      </c>
      <c r="BA211" s="64">
        <f>(BA40/$ET$15)*BA105</f>
        <v>0</v>
      </c>
      <c r="BB211" s="64">
        <f>(BB40/$ET$15)*BB105</f>
        <v>0</v>
      </c>
      <c r="BC211" s="64">
        <f>(BC40/$ET$15)*BC105</f>
        <v>0</v>
      </c>
      <c r="BD211" s="64">
        <f>(BD40/$ET$15)*BD105</f>
        <v>0</v>
      </c>
      <c r="BE211" s="64">
        <f>(BE40/$ET$15)*BE105</f>
        <v>0</v>
      </c>
      <c r="BF211" s="64">
        <f>(BF40/$ET$15)*BF105</f>
        <v>0</v>
      </c>
      <c r="BG211" s="64">
        <f>(BG40/$ET$15)*BG105</f>
        <v>0</v>
      </c>
      <c r="BH211" s="64">
        <f>(BH40/$ET$15)*BH105</f>
        <v>0</v>
      </c>
      <c r="BI211" s="64">
        <f>(BI40/$ET$15)*BI105</f>
        <v>0</v>
      </c>
      <c r="BJ211" s="64">
        <f>(BJ40/$ET$15)*BJ105</f>
        <v>0</v>
      </c>
      <c r="BK211" s="64">
        <f>(BK40/$ET$15)*BK105</f>
        <v>0</v>
      </c>
      <c r="BL211" s="64">
        <f>(BL40/$ET$15)*BL105</f>
        <v>0</v>
      </c>
      <c r="BM211" s="64">
        <f>(BM40/$ET$15)*BM105</f>
        <v>0</v>
      </c>
      <c r="BN211" s="64">
        <f>(BN40/$ET$15)*BN105</f>
        <v>0</v>
      </c>
      <c r="BO211" s="64">
        <f>(BO40/$ET$15)*BO105</f>
        <v>0</v>
      </c>
      <c r="BP211" s="64">
        <f>(BP40/$ET$15)*BP105</f>
        <v>0</v>
      </c>
      <c r="BQ211" s="64">
        <f>(BQ40/$ET$15)*BQ105</f>
        <v>0</v>
      </c>
      <c r="BR211" s="64">
        <f>(BR40/$ET$15)*BR105</f>
        <v>0</v>
      </c>
      <c r="BS211" s="64">
        <f>(BS40/$ET$15)*BS105</f>
        <v>0</v>
      </c>
      <c r="BT211" s="64">
        <f>(BT40/$ET$15)*BT105</f>
        <v>0</v>
      </c>
      <c r="BU211" s="64">
        <f>(BU40/$ET$15)*BU105</f>
        <v>0</v>
      </c>
      <c r="BV211" s="64">
        <f>(BV40/$ET$15)*BV105</f>
        <v>0</v>
      </c>
      <c r="BW211" s="64">
        <f>(BW40/$ET$15)*BW105</f>
        <v>0</v>
      </c>
      <c r="BX211" s="64">
        <f>(BX40/$ET$15)*BX105</f>
        <v>0</v>
      </c>
      <c r="BY211" s="64">
        <f>(BY40/$ET$15)*BY105</f>
        <v>0</v>
      </c>
      <c r="BZ211" s="64">
        <f>(BZ40/$ET$15)*BZ105</f>
        <v>0</v>
      </c>
      <c r="CA211" s="64">
        <f>(CA40/$ET$15)*CA105</f>
        <v>0</v>
      </c>
      <c r="CB211" s="64">
        <f>(CB40/$ET$15)*CB105</f>
        <v>0</v>
      </c>
      <c r="CC211" s="64">
        <f>(CC40/$ET$15)*CC105</f>
        <v>0</v>
      </c>
      <c r="CD211" s="64">
        <f>(CD40/$ET$15)*CD105</f>
        <v>0</v>
      </c>
      <c r="CE211" s="64">
        <f>(CE40/$ET$15)*CE105</f>
        <v>0</v>
      </c>
      <c r="CF211" s="64">
        <f>(CF40/$ET$15)*CF105</f>
        <v>0</v>
      </c>
      <c r="CG211" s="64">
        <f>(CG40/$ET$15)*CG105</f>
        <v>0</v>
      </c>
      <c r="CH211" s="64">
        <f>(CH40/$ET$15)*CH105</f>
        <v>0</v>
      </c>
      <c r="CI211" s="64">
        <f>(CI40/$ET$15)*CI105</f>
        <v>0</v>
      </c>
      <c r="CJ211" s="64">
        <f>(CJ40/$ET$15)*CJ105</f>
        <v>0</v>
      </c>
      <c r="CK211" s="64">
        <f>(CK40/$ET$15)*CK105</f>
        <v>0</v>
      </c>
      <c r="CL211" s="64">
        <f>(CL40/$ET$15)*CL105</f>
        <v>0</v>
      </c>
      <c r="CM211" s="64">
        <f>(CM40/$ET$15)*CM105</f>
        <v>0</v>
      </c>
      <c r="CN211" s="64">
        <f>(CN40/$ET$15)*CN105</f>
        <v>0</v>
      </c>
      <c r="CO211" s="64">
        <f>(CO40/$ET$15)*CO105</f>
        <v>0</v>
      </c>
      <c r="CP211" s="64">
        <f>(CP40/$ET$15)*CP105</f>
        <v>0</v>
      </c>
      <c r="CQ211" s="64">
        <f>(CQ40/$ET$15)*CQ105</f>
        <v>0</v>
      </c>
      <c r="CR211" s="64">
        <f>(CR40/$ET$15)*CR105</f>
        <v>0</v>
      </c>
      <c r="CS211" s="64">
        <f>(CS40/$ET$15)*CS105</f>
        <v>0</v>
      </c>
      <c r="CT211" s="64">
        <f>(CT40/$ET$15)*CT105</f>
        <v>0</v>
      </c>
      <c r="CU211" s="64">
        <f>(CU40/$ET$15)*CU105</f>
        <v>0</v>
      </c>
      <c r="CV211" s="64">
        <f>(CV40/$ET$15)*CV105</f>
        <v>0</v>
      </c>
      <c r="CW211" s="64">
        <f>(CW40/$ET$15)*CW105</f>
        <v>0</v>
      </c>
      <c r="CX211" s="64">
        <f>(CX40/$ET$15)*CX105</f>
        <v>0</v>
      </c>
      <c r="CY211" s="64">
        <f>(CY40/$ET$15)*CY105</f>
        <v>0</v>
      </c>
      <c r="CZ211" s="64">
        <f>(CZ40/$ET$15)*CZ105</f>
        <v>0</v>
      </c>
      <c r="DA211" s="64">
        <f>(DA40/$ET$15)*DA105</f>
        <v>0</v>
      </c>
      <c r="DB211" s="64">
        <f>(DB40/$ET$15)*DB105</f>
        <v>0</v>
      </c>
      <c r="DC211" s="64">
        <f>(DC40/$ET$15)*DC105</f>
        <v>0</v>
      </c>
      <c r="DD211" s="64">
        <f>(DD40/$ET$15)*DD105</f>
        <v>0</v>
      </c>
      <c r="DE211" s="64">
        <f>(DE40/$ET$15)*DE105</f>
        <v>0</v>
      </c>
      <c r="DF211" s="64">
        <f>(DF40/$ET$15)*DF105</f>
        <v>0</v>
      </c>
      <c r="DG211" s="64">
        <f>(DG40/$ET$15)*DG105</f>
        <v>0</v>
      </c>
      <c r="DH211" s="64">
        <f>(DH40/$ET$15)*DH105</f>
        <v>0</v>
      </c>
      <c r="DI211" s="64">
        <f>(DI40/$ET$15)*DI105</f>
        <v>0</v>
      </c>
      <c r="DJ211" s="64">
        <f>(DJ40/$ET$15)*DJ105</f>
        <v>0</v>
      </c>
      <c r="DK211" s="64">
        <f>(DK40/$ET$15)*DK105</f>
        <v>0</v>
      </c>
      <c r="DL211" s="64">
        <f>(DL40/$ET$15)*DL105</f>
        <v>0</v>
      </c>
      <c r="DM211" s="64">
        <f>(DM40/$ET$15)*DM105</f>
        <v>0</v>
      </c>
      <c r="DN211" s="64">
        <f>(DN40/$ET$15)*DN105</f>
        <v>0</v>
      </c>
      <c r="DO211" s="64">
        <f>(DO40/$ET$15)*DO105</f>
        <v>0</v>
      </c>
      <c r="DP211" s="64">
        <f>(DP40/$ET$15)*DP105</f>
        <v>0</v>
      </c>
      <c r="DQ211" s="64">
        <f>(DQ40/$ET$15)*DQ105</f>
        <v>0</v>
      </c>
      <c r="DR211" s="64">
        <f>(DR40/$ET$15)*DR105</f>
        <v>0</v>
      </c>
      <c r="DS211" s="64">
        <f>(DS40/$ET$15)*DS105</f>
        <v>0</v>
      </c>
      <c r="DT211" s="64">
        <f>(DT40/$ET$15)*DT105</f>
        <v>0</v>
      </c>
      <c r="DU211" s="64">
        <f>(DU40/$ET$15)*DU105</f>
        <v>0</v>
      </c>
      <c r="DV211" s="64">
        <f>(DV40/$ET$15)*DV105</f>
        <v>0</v>
      </c>
      <c r="DW211" s="64">
        <f>(DW40/$ET$15)*DW105</f>
        <v>0</v>
      </c>
      <c r="DX211" s="64">
        <f>(DX40/$ET$15)*DX105</f>
        <v>0</v>
      </c>
      <c r="DY211" s="64">
        <f>(DY40/$ET$15)*DY105</f>
        <v>0</v>
      </c>
      <c r="DZ211" s="64">
        <f>(DZ40/$ET$15)*DZ105</f>
        <v>0</v>
      </c>
      <c r="EA211" s="64">
        <f>(EA40/$ET$15)*EA105</f>
        <v>0</v>
      </c>
      <c r="EB211" s="64">
        <f>(EB40/$ET$15)*EB105</f>
        <v>0</v>
      </c>
      <c r="EC211" s="64">
        <f>(EC40/$ET$15)*EC105</f>
        <v>0</v>
      </c>
      <c r="ED211" s="64">
        <f>(ED40/$ET$15)*ED105</f>
        <v>0</v>
      </c>
      <c r="EE211" s="64">
        <f>(EE40/$ET$15)*EE105</f>
        <v>0</v>
      </c>
      <c r="EF211" s="64">
        <f>(EF40/$ET$15)*EF105</f>
        <v>0</v>
      </c>
      <c r="EG211" s="64">
        <f>(EG40/$ET$15)*EG105</f>
        <v>0</v>
      </c>
      <c r="EH211" s="64">
        <f>(EH40/$ET$15)*EH105</f>
        <v>0</v>
      </c>
      <c r="EI211" s="64">
        <f>(EI40/$ET$15)*EI105</f>
        <v>0</v>
      </c>
      <c r="EJ211" s="64">
        <f>(EJ40/$ET$15)*EJ105</f>
        <v>0</v>
      </c>
      <c r="EK211" s="64">
        <f>(EK40/$ET$15)*EK105</f>
        <v>0</v>
      </c>
      <c r="EL211" s="64">
        <f>(EL40/$ET$15)*EL105</f>
        <v>0</v>
      </c>
      <c r="EM211" s="64">
        <f>(EM40/$ET$15)*EM105</f>
        <v>0</v>
      </c>
      <c r="EN211" s="64">
        <f>(EN40/$ET$15)*EN105</f>
        <v>0</v>
      </c>
      <c r="EO211" s="64">
        <f>(EO40/$ET$15)*EO105</f>
        <v>0</v>
      </c>
      <c r="EP211" s="64">
        <f>(EP40/$ET$15)*EP105</f>
        <v>0</v>
      </c>
      <c r="EQ211" s="64">
        <f>(EQ40/$ET$15)*EQ105</f>
        <v>0</v>
      </c>
      <c r="ER211" s="64">
        <f>(ER40/$ET$15)*ER105</f>
        <v>0</v>
      </c>
      <c r="ES211" s="64">
        <f>(ES40/$ET$15)*ES105</f>
        <v>0</v>
      </c>
    </row>
    <row r="212" spans="1:150" x14ac:dyDescent="0.3">
      <c r="A212" s="37" t="s">
        <v>14</v>
      </c>
      <c r="B212" s="64">
        <f>(B41/$ET$15)*B106</f>
        <v>0</v>
      </c>
      <c r="C212" s="64">
        <f>(C41/$ET$15)*C106</f>
        <v>0</v>
      </c>
      <c r="D212" s="64">
        <f>(D41/$ET$15)*D106</f>
        <v>0</v>
      </c>
      <c r="E212" s="64">
        <f>(E41/$ET$15)*E106</f>
        <v>0</v>
      </c>
      <c r="F212" s="64">
        <f>(F41/$ET$15)*F106</f>
        <v>0</v>
      </c>
      <c r="G212" s="64">
        <f>(G41/$ET$15)*G106</f>
        <v>0</v>
      </c>
      <c r="H212" s="64">
        <f>(H41/$ET$15)*H106</f>
        <v>0</v>
      </c>
      <c r="I212" s="64">
        <f>(I41/$ET$15)*I106</f>
        <v>0</v>
      </c>
      <c r="J212" s="64">
        <f>(J41/$ET$15)*J106</f>
        <v>0</v>
      </c>
      <c r="K212" s="64">
        <f>(K41/$ET$15)*K106</f>
        <v>0</v>
      </c>
      <c r="L212" s="64">
        <f>(L41/$ET$15)*L106</f>
        <v>0</v>
      </c>
      <c r="M212" s="64">
        <f>(M41/$ET$15)*M106</f>
        <v>0</v>
      </c>
      <c r="N212" s="64">
        <f>(N41/$ET$15)*N106</f>
        <v>0</v>
      </c>
      <c r="O212" s="64">
        <f>(O41/$ET$15)*O106</f>
        <v>0</v>
      </c>
      <c r="P212" s="64">
        <f>(P41/$ET$15)*P106</f>
        <v>0</v>
      </c>
      <c r="Q212" s="64">
        <f>(Q41/$ET$15)*Q106</f>
        <v>0</v>
      </c>
      <c r="R212" s="64">
        <f>(R41/$ET$15)*R106</f>
        <v>0</v>
      </c>
      <c r="S212" s="64">
        <f>(S41/$ET$15)*S106</f>
        <v>0</v>
      </c>
      <c r="T212" s="64">
        <f>(T41/$ET$15)*T106</f>
        <v>0</v>
      </c>
      <c r="U212" s="64">
        <f>(U41/$ET$15)*U106</f>
        <v>0</v>
      </c>
      <c r="V212" s="64">
        <f>(V41/$ET$15)*V106</f>
        <v>0</v>
      </c>
      <c r="W212" s="64">
        <f>(W41/$ET$15)*W106</f>
        <v>0</v>
      </c>
      <c r="X212" s="64">
        <f>(X41/$ET$15)*X106</f>
        <v>0</v>
      </c>
      <c r="Y212" s="64">
        <f>(Y41/$ET$15)*Y106</f>
        <v>0</v>
      </c>
      <c r="Z212" s="64">
        <f>(Z41/$ET$15)*Z106</f>
        <v>0</v>
      </c>
      <c r="AA212" s="64">
        <f>(AA41/$ET$15)*AA106</f>
        <v>0</v>
      </c>
      <c r="AB212" s="64">
        <f>(AB41/$ET$15)*AB106</f>
        <v>0</v>
      </c>
      <c r="AC212" s="64">
        <f>(AC41/$ET$15)*AC106</f>
        <v>0</v>
      </c>
      <c r="AD212" s="64">
        <f>(AD41/$ET$15)*AD106</f>
        <v>0</v>
      </c>
      <c r="AE212" s="64">
        <f>(AE41/$ET$15)*AE106</f>
        <v>0</v>
      </c>
      <c r="AF212" s="64">
        <f>(AF41/$ET$15)*AF106</f>
        <v>0</v>
      </c>
      <c r="AG212" s="64">
        <f>(AG41/$ET$15)*AG106</f>
        <v>0</v>
      </c>
      <c r="AH212" s="64">
        <f>(AH41/$ET$15)*AH106</f>
        <v>0</v>
      </c>
      <c r="AI212" s="64">
        <f>(AI41/$ET$15)*AI106</f>
        <v>0</v>
      </c>
      <c r="AJ212" s="64">
        <f>(AJ41/$ET$15)*AJ106</f>
        <v>0</v>
      </c>
      <c r="AK212" s="64">
        <f>(AK41/$ET$15)*AK106</f>
        <v>0</v>
      </c>
      <c r="AL212" s="64">
        <f>(AL41/$ET$15)*AL106</f>
        <v>0</v>
      </c>
      <c r="AM212" s="64">
        <f>(AM41/$ET$15)*AM106</f>
        <v>0</v>
      </c>
      <c r="AN212" s="64">
        <f>(AN41/$ET$15)*AN106</f>
        <v>0</v>
      </c>
      <c r="AO212" s="64">
        <f>(AO41/$ET$15)*AO106</f>
        <v>0</v>
      </c>
      <c r="AP212" s="64">
        <f>(AP41/$ET$15)*AP106</f>
        <v>0</v>
      </c>
      <c r="AQ212" s="64">
        <f>(AQ41/$ET$15)*AQ106</f>
        <v>0</v>
      </c>
      <c r="AR212" s="64">
        <f>(AR41/$ET$15)*AR106</f>
        <v>0</v>
      </c>
      <c r="AS212" s="64">
        <f>(AS41/$ET$15)*AS106</f>
        <v>0</v>
      </c>
      <c r="AT212" s="64">
        <f>(AT41/$ET$15)*AT106</f>
        <v>0</v>
      </c>
      <c r="AU212" s="64">
        <f>(AU41/$ET$15)*AU106</f>
        <v>0</v>
      </c>
      <c r="AV212" s="64">
        <f>(AV41/$ET$15)*AV106</f>
        <v>0</v>
      </c>
      <c r="AW212" s="64">
        <f>(AW41/$ET$15)*AW106</f>
        <v>0</v>
      </c>
      <c r="AX212" s="64">
        <f>(AX41/$ET$15)*AX106</f>
        <v>0</v>
      </c>
      <c r="AY212" s="64">
        <f>(AY41/$ET$15)*AY106</f>
        <v>0</v>
      </c>
      <c r="AZ212" s="64">
        <f>(AZ41/$ET$15)*AZ106</f>
        <v>0</v>
      </c>
      <c r="BA212" s="64">
        <f>(BA41/$ET$15)*BA106</f>
        <v>0</v>
      </c>
      <c r="BB212" s="64">
        <f>(BB41/$ET$15)*BB106</f>
        <v>0</v>
      </c>
      <c r="BC212" s="64">
        <f>(BC41/$ET$15)*BC106</f>
        <v>0</v>
      </c>
      <c r="BD212" s="64">
        <f>(BD41/$ET$15)*BD106</f>
        <v>0</v>
      </c>
      <c r="BE212" s="64">
        <f>(BE41/$ET$15)*BE106</f>
        <v>0</v>
      </c>
      <c r="BF212" s="64">
        <f>(BF41/$ET$15)*BF106</f>
        <v>0</v>
      </c>
      <c r="BG212" s="64">
        <f>(BG41/$ET$15)*BG106</f>
        <v>0</v>
      </c>
      <c r="BH212" s="64">
        <f>(BH41/$ET$15)*BH106</f>
        <v>0</v>
      </c>
      <c r="BI212" s="64">
        <f>(BI41/$ET$15)*BI106</f>
        <v>0</v>
      </c>
      <c r="BJ212" s="64">
        <f>(BJ41/$ET$15)*BJ106</f>
        <v>0</v>
      </c>
      <c r="BK212" s="64">
        <f>(BK41/$ET$15)*BK106</f>
        <v>0</v>
      </c>
      <c r="BL212" s="64">
        <f>(BL41/$ET$15)*BL106</f>
        <v>0</v>
      </c>
      <c r="BM212" s="64">
        <f>(BM41/$ET$15)*BM106</f>
        <v>0</v>
      </c>
      <c r="BN212" s="64">
        <f>(BN41/$ET$15)*BN106</f>
        <v>0</v>
      </c>
      <c r="BO212" s="64">
        <f>(BO41/$ET$15)*BO106</f>
        <v>0</v>
      </c>
      <c r="BP212" s="64">
        <f>(BP41/$ET$15)*BP106</f>
        <v>0</v>
      </c>
      <c r="BQ212" s="64">
        <f>(BQ41/$ET$15)*BQ106</f>
        <v>0</v>
      </c>
      <c r="BR212" s="64">
        <f>(BR41/$ET$15)*BR106</f>
        <v>0</v>
      </c>
      <c r="BS212" s="64">
        <f>(BS41/$ET$15)*BS106</f>
        <v>0</v>
      </c>
      <c r="BT212" s="64">
        <f>(BT41/$ET$15)*BT106</f>
        <v>0</v>
      </c>
      <c r="BU212" s="64">
        <f>(BU41/$ET$15)*BU106</f>
        <v>0</v>
      </c>
      <c r="BV212" s="64">
        <f>(BV41/$ET$15)*BV106</f>
        <v>0</v>
      </c>
      <c r="BW212" s="64">
        <f>(BW41/$ET$15)*BW106</f>
        <v>0</v>
      </c>
      <c r="BX212" s="64">
        <f>(BX41/$ET$15)*BX106</f>
        <v>0</v>
      </c>
      <c r="BY212" s="64">
        <f>(BY41/$ET$15)*BY106</f>
        <v>0</v>
      </c>
      <c r="BZ212" s="64">
        <f>(BZ41/$ET$15)*BZ106</f>
        <v>0</v>
      </c>
      <c r="CA212" s="64">
        <f>(CA41/$ET$15)*CA106</f>
        <v>0</v>
      </c>
      <c r="CB212" s="64">
        <f>(CB41/$ET$15)*CB106</f>
        <v>0</v>
      </c>
      <c r="CC212" s="64">
        <f>(CC41/$ET$15)*CC106</f>
        <v>0</v>
      </c>
      <c r="CD212" s="64">
        <f>(CD41/$ET$15)*CD106</f>
        <v>0</v>
      </c>
      <c r="CE212" s="64">
        <f>(CE41/$ET$15)*CE106</f>
        <v>0</v>
      </c>
      <c r="CF212" s="64">
        <f>(CF41/$ET$15)*CF106</f>
        <v>0</v>
      </c>
      <c r="CG212" s="64">
        <f>(CG41/$ET$15)*CG106</f>
        <v>0</v>
      </c>
      <c r="CH212" s="64">
        <f>(CH41/$ET$15)*CH106</f>
        <v>0</v>
      </c>
      <c r="CI212" s="64">
        <f>(CI41/$ET$15)*CI106</f>
        <v>0</v>
      </c>
      <c r="CJ212" s="64">
        <f>(CJ41/$ET$15)*CJ106</f>
        <v>0</v>
      </c>
      <c r="CK212" s="64">
        <f>(CK41/$ET$15)*CK106</f>
        <v>0</v>
      </c>
      <c r="CL212" s="64">
        <f>(CL41/$ET$15)*CL106</f>
        <v>0</v>
      </c>
      <c r="CM212" s="64">
        <f>(CM41/$ET$15)*CM106</f>
        <v>0</v>
      </c>
      <c r="CN212" s="64">
        <f>(CN41/$ET$15)*CN106</f>
        <v>0</v>
      </c>
      <c r="CO212" s="64">
        <f>(CO41/$ET$15)*CO106</f>
        <v>0</v>
      </c>
      <c r="CP212" s="64">
        <f>(CP41/$ET$15)*CP106</f>
        <v>0</v>
      </c>
      <c r="CQ212" s="64">
        <f>(CQ41/$ET$15)*CQ106</f>
        <v>0</v>
      </c>
      <c r="CR212" s="64">
        <f>(CR41/$ET$15)*CR106</f>
        <v>0</v>
      </c>
      <c r="CS212" s="64">
        <f>(CS41/$ET$15)*CS106</f>
        <v>0</v>
      </c>
      <c r="CT212" s="64">
        <f>(CT41/$ET$15)*CT106</f>
        <v>0</v>
      </c>
      <c r="CU212" s="64">
        <f>(CU41/$ET$15)*CU106</f>
        <v>0</v>
      </c>
      <c r="CV212" s="64">
        <f>(CV41/$ET$15)*CV106</f>
        <v>0</v>
      </c>
      <c r="CW212" s="64">
        <f>(CW41/$ET$15)*CW106</f>
        <v>0</v>
      </c>
      <c r="CX212" s="64">
        <f>(CX41/$ET$15)*CX106</f>
        <v>0</v>
      </c>
      <c r="CY212" s="64">
        <f>(CY41/$ET$15)*CY106</f>
        <v>0</v>
      </c>
      <c r="CZ212" s="64">
        <f>(CZ41/$ET$15)*CZ106</f>
        <v>0</v>
      </c>
      <c r="DA212" s="64">
        <f>(DA41/$ET$15)*DA106</f>
        <v>0</v>
      </c>
      <c r="DB212" s="64">
        <f>(DB41/$ET$15)*DB106</f>
        <v>0</v>
      </c>
      <c r="DC212" s="64">
        <f>(DC41/$ET$15)*DC106</f>
        <v>0</v>
      </c>
      <c r="DD212" s="64">
        <f>(DD41/$ET$15)*DD106</f>
        <v>0</v>
      </c>
      <c r="DE212" s="64">
        <f>(DE41/$ET$15)*DE106</f>
        <v>0</v>
      </c>
      <c r="DF212" s="64">
        <f>(DF41/$ET$15)*DF106</f>
        <v>0</v>
      </c>
      <c r="DG212" s="64">
        <f>(DG41/$ET$15)*DG106</f>
        <v>0</v>
      </c>
      <c r="DH212" s="64">
        <f>(DH41/$ET$15)*DH106</f>
        <v>0</v>
      </c>
      <c r="DI212" s="64">
        <f>(DI41/$ET$15)*DI106</f>
        <v>0</v>
      </c>
      <c r="DJ212" s="64">
        <f>(DJ41/$ET$15)*DJ106</f>
        <v>0</v>
      </c>
      <c r="DK212" s="64">
        <f>(DK41/$ET$15)*DK106</f>
        <v>0</v>
      </c>
      <c r="DL212" s="64">
        <f>(DL41/$ET$15)*DL106</f>
        <v>0</v>
      </c>
      <c r="DM212" s="64">
        <f>(DM41/$ET$15)*DM106</f>
        <v>0</v>
      </c>
      <c r="DN212" s="64">
        <f>(DN41/$ET$15)*DN106</f>
        <v>0</v>
      </c>
      <c r="DO212" s="64">
        <f>(DO41/$ET$15)*DO106</f>
        <v>0</v>
      </c>
      <c r="DP212" s="64">
        <f>(DP41/$ET$15)*DP106</f>
        <v>0</v>
      </c>
      <c r="DQ212" s="64">
        <f>(DQ41/$ET$15)*DQ106</f>
        <v>0</v>
      </c>
      <c r="DR212" s="64">
        <f>(DR41/$ET$15)*DR106</f>
        <v>0</v>
      </c>
      <c r="DS212" s="64">
        <f>(DS41/$ET$15)*DS106</f>
        <v>0</v>
      </c>
      <c r="DT212" s="64">
        <f>(DT41/$ET$15)*DT106</f>
        <v>0</v>
      </c>
      <c r="DU212" s="64">
        <f>(DU41/$ET$15)*DU106</f>
        <v>0</v>
      </c>
      <c r="DV212" s="64">
        <f>(DV41/$ET$15)*DV106</f>
        <v>0</v>
      </c>
      <c r="DW212" s="64">
        <f>(DW41/$ET$15)*DW106</f>
        <v>0</v>
      </c>
      <c r="DX212" s="64">
        <f>(DX41/$ET$15)*DX106</f>
        <v>0</v>
      </c>
      <c r="DY212" s="64">
        <f>(DY41/$ET$15)*DY106</f>
        <v>0</v>
      </c>
      <c r="DZ212" s="64">
        <f>(DZ41/$ET$15)*DZ106</f>
        <v>0</v>
      </c>
      <c r="EA212" s="64">
        <f>(EA41/$ET$15)*EA106</f>
        <v>0</v>
      </c>
      <c r="EB212" s="64">
        <f>(EB41/$ET$15)*EB106</f>
        <v>0</v>
      </c>
      <c r="EC212" s="64">
        <f>(EC41/$ET$15)*EC106</f>
        <v>0</v>
      </c>
      <c r="ED212" s="64">
        <f>(ED41/$ET$15)*ED106</f>
        <v>0</v>
      </c>
      <c r="EE212" s="64">
        <f>(EE41/$ET$15)*EE106</f>
        <v>0</v>
      </c>
      <c r="EF212" s="64">
        <f>(EF41/$ET$15)*EF106</f>
        <v>0</v>
      </c>
      <c r="EG212" s="64">
        <f>(EG41/$ET$15)*EG106</f>
        <v>0</v>
      </c>
      <c r="EH212" s="64">
        <f>(EH41/$ET$15)*EH106</f>
        <v>0</v>
      </c>
      <c r="EI212" s="64">
        <f>(EI41/$ET$15)*EI106</f>
        <v>0</v>
      </c>
      <c r="EJ212" s="64">
        <f>(EJ41/$ET$15)*EJ106</f>
        <v>0</v>
      </c>
      <c r="EK212" s="64">
        <f>(EK41/$ET$15)*EK106</f>
        <v>0</v>
      </c>
      <c r="EL212" s="64">
        <f>(EL41/$ET$15)*EL106</f>
        <v>0</v>
      </c>
      <c r="EM212" s="64">
        <f>(EM41/$ET$15)*EM106</f>
        <v>0</v>
      </c>
      <c r="EN212" s="64">
        <f>(EN41/$ET$15)*EN106</f>
        <v>0</v>
      </c>
      <c r="EO212" s="64">
        <f>(EO41/$ET$15)*EO106</f>
        <v>0</v>
      </c>
      <c r="EP212" s="64">
        <f>(EP41/$ET$15)*EP106</f>
        <v>0</v>
      </c>
      <c r="EQ212" s="64">
        <f>(EQ41/$ET$15)*EQ106</f>
        <v>0</v>
      </c>
      <c r="ER212" s="64">
        <f>(ER41/$ET$15)*ER106</f>
        <v>0</v>
      </c>
      <c r="ES212" s="64">
        <f>(ES41/$ET$15)*ES106</f>
        <v>0</v>
      </c>
    </row>
    <row r="213" spans="1:150" x14ac:dyDescent="0.3">
      <c r="B213" s="70">
        <f>SUM(B190:B212)</f>
        <v>3.235476108628395</v>
      </c>
      <c r="C213" s="70">
        <f t="shared" ref="C213:BN213" si="63">SUM(C190:C212)</f>
        <v>4.1952561017531798</v>
      </c>
      <c r="D213" s="70">
        <f t="shared" si="63"/>
        <v>0.29357167411481611</v>
      </c>
      <c r="E213" s="70">
        <f t="shared" si="63"/>
        <v>4.2973530422825714</v>
      </c>
      <c r="F213" s="70">
        <f t="shared" si="63"/>
        <v>2.2076314884840151</v>
      </c>
      <c r="G213" s="70">
        <f t="shared" si="63"/>
        <v>2.2880715022344451</v>
      </c>
      <c r="H213" s="70">
        <f t="shared" si="63"/>
        <v>0.37676177380543147</v>
      </c>
      <c r="I213" s="70">
        <f t="shared" si="63"/>
        <v>2.6400825025782058</v>
      </c>
      <c r="J213" s="70">
        <f t="shared" si="63"/>
        <v>1.2289446545204539</v>
      </c>
      <c r="K213" s="70">
        <f t="shared" si="63"/>
        <v>0.48676521141285667</v>
      </c>
      <c r="L213" s="70">
        <f t="shared" si="63"/>
        <v>0.66173942935716745</v>
      </c>
      <c r="M213" s="70">
        <f t="shared" si="63"/>
        <v>3.0360948779649366</v>
      </c>
      <c r="N213" s="70">
        <f t="shared" si="63"/>
        <v>0.42970092815400485</v>
      </c>
      <c r="O213" s="70">
        <f t="shared" si="63"/>
        <v>0.8827775867995874</v>
      </c>
      <c r="P213" s="70">
        <f t="shared" si="63"/>
        <v>0.3520110003437607</v>
      </c>
      <c r="Q213" s="70">
        <f t="shared" si="63"/>
        <v>0.91887246476452389</v>
      </c>
      <c r="R213" s="70">
        <f t="shared" si="63"/>
        <v>0.56651770367823995</v>
      </c>
      <c r="S213" s="70">
        <f t="shared" si="63"/>
        <v>1.2994156067377105</v>
      </c>
      <c r="T213" s="70">
        <f t="shared" si="63"/>
        <v>1.1275352354761088</v>
      </c>
      <c r="U213" s="70">
        <f t="shared" si="63"/>
        <v>5.7174286696459271</v>
      </c>
      <c r="V213" s="70">
        <f t="shared" si="63"/>
        <v>1.6387074596081126</v>
      </c>
      <c r="W213" s="70">
        <f t="shared" si="63"/>
        <v>0.2316947404606394</v>
      </c>
      <c r="X213" s="70">
        <f t="shared" si="63"/>
        <v>3.1990374699209347</v>
      </c>
      <c r="Y213" s="70">
        <f t="shared" si="63"/>
        <v>0.69302165692677897</v>
      </c>
      <c r="Z213" s="70">
        <f t="shared" si="63"/>
        <v>7.150223444482641E-2</v>
      </c>
      <c r="AA213" s="70">
        <f t="shared" si="63"/>
        <v>1.6122378824338262</v>
      </c>
      <c r="AB213" s="70">
        <f t="shared" si="63"/>
        <v>0.77139910622206942</v>
      </c>
      <c r="AC213" s="70">
        <f t="shared" si="63"/>
        <v>1.3530422825713304</v>
      </c>
      <c r="AD213" s="70">
        <f t="shared" si="63"/>
        <v>0.84015125472671015</v>
      </c>
      <c r="AE213" s="70">
        <f t="shared" si="63"/>
        <v>0.94362323822619454</v>
      </c>
      <c r="AF213" s="70">
        <f t="shared" si="63"/>
        <v>0.5455482983843245</v>
      </c>
      <c r="AG213" s="70">
        <f t="shared" si="63"/>
        <v>26.286008937779304</v>
      </c>
      <c r="AH213" s="70">
        <f t="shared" si="63"/>
        <v>0.33069783430732208</v>
      </c>
      <c r="AI213" s="70">
        <f t="shared" si="63"/>
        <v>2.4077002406325194</v>
      </c>
      <c r="AJ213" s="70">
        <f t="shared" si="63"/>
        <v>0.66173942935716745</v>
      </c>
      <c r="AK213" s="70">
        <f t="shared" si="63"/>
        <v>1.3877621175661741</v>
      </c>
      <c r="AL213" s="70">
        <f t="shared" si="63"/>
        <v>0.10312822275696117</v>
      </c>
      <c r="AM213" s="70">
        <f t="shared" si="63"/>
        <v>0.84152629769680298</v>
      </c>
      <c r="AN213" s="70">
        <f t="shared" si="63"/>
        <v>1.8985905809556549</v>
      </c>
      <c r="AO213" s="70">
        <f t="shared" si="63"/>
        <v>0.85355792368511518</v>
      </c>
      <c r="AP213" s="70">
        <f t="shared" si="63"/>
        <v>0.443451357854933</v>
      </c>
      <c r="AQ213" s="70">
        <f t="shared" si="63"/>
        <v>1.7545548298384326</v>
      </c>
      <c r="AR213" s="70">
        <f t="shared" si="63"/>
        <v>1.1309728429013406</v>
      </c>
      <c r="AS213" s="70">
        <f t="shared" si="63"/>
        <v>4.8126503953248537E-2</v>
      </c>
      <c r="AT213" s="70">
        <f t="shared" si="63"/>
        <v>0.17531797868683396</v>
      </c>
      <c r="AU213" s="70">
        <f t="shared" si="63"/>
        <v>1.4510140941904435</v>
      </c>
      <c r="AV213" s="70">
        <f t="shared" si="63"/>
        <v>0.39601237538673079</v>
      </c>
      <c r="AW213" s="70">
        <f t="shared" si="63"/>
        <v>0.49089034032313511</v>
      </c>
      <c r="AX213" s="70">
        <f t="shared" si="63"/>
        <v>0.43795118597456167</v>
      </c>
      <c r="AY213" s="70">
        <f t="shared" si="63"/>
        <v>1.5984874527328978</v>
      </c>
      <c r="AZ213" s="70">
        <f t="shared" si="63"/>
        <v>3.448607768992781</v>
      </c>
      <c r="BA213" s="70">
        <f t="shared" si="63"/>
        <v>3.6198006187693363</v>
      </c>
      <c r="BB213" s="70">
        <f t="shared" si="63"/>
        <v>0.14644207631488484</v>
      </c>
      <c r="BC213" s="70">
        <f t="shared" si="63"/>
        <v>5.4963905122035062</v>
      </c>
      <c r="BD213" s="70">
        <f t="shared" si="63"/>
        <v>1.7786180818150568</v>
      </c>
      <c r="BE213" s="70">
        <f t="shared" si="63"/>
        <v>0.29219663114472327</v>
      </c>
      <c r="BF213" s="70">
        <f t="shared" si="63"/>
        <v>2.5369542798212446</v>
      </c>
      <c r="BG213" s="70">
        <f t="shared" si="63"/>
        <v>6.1876933654176694E-2</v>
      </c>
      <c r="BH213" s="70">
        <f t="shared" si="63"/>
        <v>0.44551392231007225</v>
      </c>
      <c r="BI213" s="70">
        <f t="shared" si="63"/>
        <v>0.16500515641113783</v>
      </c>
      <c r="BJ213" s="70">
        <f t="shared" si="63"/>
        <v>3.7490546579580615</v>
      </c>
      <c r="BK213" s="70">
        <f t="shared" si="63"/>
        <v>1.1873496046751462</v>
      </c>
      <c r="BL213" s="70">
        <f t="shared" si="63"/>
        <v>0.34410450326572706</v>
      </c>
      <c r="BM213" s="70">
        <f t="shared" si="63"/>
        <v>1.2715709865933309</v>
      </c>
      <c r="BN213" s="70">
        <f t="shared" si="63"/>
        <v>3.0938466827088349</v>
      </c>
      <c r="BO213" s="70">
        <f t="shared" ref="BO213:DZ213" si="64">SUM(BO190:BO212)</f>
        <v>3.0608456514266069</v>
      </c>
      <c r="BP213" s="70">
        <f t="shared" si="64"/>
        <v>2.0192506015812994</v>
      </c>
      <c r="BQ213" s="70">
        <f t="shared" si="64"/>
        <v>0.40391887246476454</v>
      </c>
      <c r="BR213" s="70">
        <f t="shared" si="64"/>
        <v>1.2540391887246476</v>
      </c>
      <c r="BS213" s="70">
        <f t="shared" si="64"/>
        <v>2.8244413887933995</v>
      </c>
      <c r="BT213" s="70">
        <f t="shared" si="64"/>
        <v>1.5551735991749742</v>
      </c>
      <c r="BU213" s="70">
        <f t="shared" si="64"/>
        <v>2.0020625644551395</v>
      </c>
      <c r="BV213" s="70">
        <f t="shared" si="64"/>
        <v>4.8655895496734276</v>
      </c>
      <c r="BW213" s="70">
        <f t="shared" si="64"/>
        <v>0.94671708490890349</v>
      </c>
      <c r="BX213" s="70">
        <f t="shared" si="64"/>
        <v>3.9353729804056377</v>
      </c>
      <c r="BY213" s="70">
        <f t="shared" si="64"/>
        <v>0.13372292884152631</v>
      </c>
      <c r="BZ213" s="70">
        <f t="shared" si="64"/>
        <v>0.56926778961842561</v>
      </c>
      <c r="CA213" s="70">
        <f t="shared" si="64"/>
        <v>4.5190787212100378</v>
      </c>
      <c r="CB213" s="70">
        <f t="shared" si="64"/>
        <v>1.5221725678927467</v>
      </c>
      <c r="CC213" s="70">
        <f t="shared" si="64"/>
        <v>0.73633551048470258</v>
      </c>
      <c r="CD213" s="70">
        <f t="shared" si="64"/>
        <v>0.34891715366105186</v>
      </c>
      <c r="CE213" s="70">
        <f t="shared" si="64"/>
        <v>1.1261601925060158</v>
      </c>
      <c r="CF213" s="70">
        <f t="shared" si="64"/>
        <v>2.6050189068408391</v>
      </c>
      <c r="CG213" s="70">
        <f t="shared" si="64"/>
        <v>0.43485733929185288</v>
      </c>
      <c r="CH213" s="70">
        <f t="shared" si="64"/>
        <v>0.21313166036438638</v>
      </c>
      <c r="CI213" s="70">
        <f t="shared" si="64"/>
        <v>1.2591955998624957</v>
      </c>
      <c r="CJ213" s="70">
        <f t="shared" si="64"/>
        <v>1.5290477827432107</v>
      </c>
      <c r="CK213" s="70">
        <f t="shared" si="64"/>
        <v>0.36816775524235129</v>
      </c>
      <c r="CL213" s="70">
        <f t="shared" si="64"/>
        <v>1.7449295290477826</v>
      </c>
      <c r="CM213" s="70">
        <f t="shared" si="64"/>
        <v>0.10312822275696117</v>
      </c>
      <c r="CN213" s="70">
        <f t="shared" si="64"/>
        <v>1.2478514953592301</v>
      </c>
      <c r="CO213" s="70">
        <f t="shared" si="64"/>
        <v>1.3520110003437609</v>
      </c>
      <c r="CP213" s="70">
        <f t="shared" si="64"/>
        <v>4.133722928841526</v>
      </c>
      <c r="CQ213" s="70">
        <f t="shared" si="64"/>
        <v>9.5909247163973879E-2</v>
      </c>
      <c r="CR213" s="70">
        <f t="shared" si="64"/>
        <v>0.33722928841526301</v>
      </c>
      <c r="CS213" s="70">
        <f t="shared" si="64"/>
        <v>9.3434169817806811</v>
      </c>
      <c r="CT213" s="70">
        <f t="shared" si="64"/>
        <v>1.2787899621863184</v>
      </c>
      <c r="CU213" s="70">
        <f t="shared" si="64"/>
        <v>0.74836713647301478</v>
      </c>
      <c r="CV213" s="70">
        <f t="shared" si="64"/>
        <v>0.10656583018219319</v>
      </c>
      <c r="CW213" s="70">
        <f t="shared" si="64"/>
        <v>0.84702646957717431</v>
      </c>
      <c r="CX213" s="70">
        <f t="shared" si="64"/>
        <v>1.3829494671708491</v>
      </c>
      <c r="CY213" s="70">
        <f t="shared" si="64"/>
        <v>0.18219319353729804</v>
      </c>
      <c r="CZ213" s="70">
        <f t="shared" si="64"/>
        <v>1.0739085596424889</v>
      </c>
      <c r="DA213" s="70">
        <f t="shared" si="64"/>
        <v>0.47163973874183568</v>
      </c>
      <c r="DB213" s="70">
        <f t="shared" si="64"/>
        <v>0.42282571330354074</v>
      </c>
      <c r="DC213" s="70">
        <f t="shared" si="64"/>
        <v>3.5238913716053628</v>
      </c>
      <c r="DD213" s="70">
        <f t="shared" si="64"/>
        <v>1.364386387074596</v>
      </c>
      <c r="DE213" s="70">
        <f t="shared" si="64"/>
        <v>0.29150910965967686</v>
      </c>
      <c r="DF213" s="70">
        <f t="shared" si="64"/>
        <v>1.1660364386387074</v>
      </c>
      <c r="DG213" s="70">
        <f t="shared" si="64"/>
        <v>1.5537985562048815</v>
      </c>
      <c r="DH213" s="70">
        <f t="shared" si="64"/>
        <v>0.30525953936060501</v>
      </c>
      <c r="DI213" s="70">
        <f t="shared" si="64"/>
        <v>0.63251976624269501</v>
      </c>
      <c r="DJ213" s="70">
        <f t="shared" si="64"/>
        <v>0.46407700240632521</v>
      </c>
      <c r="DK213" s="70">
        <f t="shared" si="64"/>
        <v>0.34376074252320388</v>
      </c>
      <c r="DL213" s="70">
        <f t="shared" si="64"/>
        <v>1.5520797524922654</v>
      </c>
      <c r="DM213" s="70">
        <f t="shared" si="64"/>
        <v>0.3960123753867309</v>
      </c>
      <c r="DN213" s="70">
        <f t="shared" si="64"/>
        <v>1.3922310072189756</v>
      </c>
      <c r="DO213" s="70">
        <f t="shared" si="64"/>
        <v>2.9288415262976968</v>
      </c>
      <c r="DP213" s="70">
        <f t="shared" si="64"/>
        <v>1.3860433138535579</v>
      </c>
      <c r="DQ213" s="70">
        <f t="shared" si="64"/>
        <v>1.0171880371261603</v>
      </c>
      <c r="DR213" s="70">
        <f t="shared" si="64"/>
        <v>1.4644207631488484</v>
      </c>
      <c r="DS213" s="70">
        <f t="shared" si="64"/>
        <v>0.96974905465795802</v>
      </c>
      <c r="DT213" s="70">
        <f t="shared" si="64"/>
        <v>0.73324166380199385</v>
      </c>
      <c r="DU213" s="70">
        <f t="shared" si="64"/>
        <v>5.7751804743898245E-2</v>
      </c>
      <c r="DV213" s="70">
        <f t="shared" si="64"/>
        <v>1.4609831557236164</v>
      </c>
      <c r="DW213" s="70">
        <f t="shared" si="64"/>
        <v>1.0539704365761431</v>
      </c>
      <c r="DX213" s="70">
        <f t="shared" si="64"/>
        <v>2.1718803712616022</v>
      </c>
      <c r="DY213" s="70">
        <f t="shared" si="64"/>
        <v>0.98178068064627011</v>
      </c>
      <c r="DZ213" s="70">
        <f t="shared" si="64"/>
        <v>0.15537985562048814</v>
      </c>
      <c r="EA213" s="70">
        <f t="shared" ref="EA213:ES213" si="65">SUM(EA190:EA212)</f>
        <v>2.8934341698178065</v>
      </c>
      <c r="EB213" s="70">
        <f t="shared" si="65"/>
        <v>8.3436573563595751</v>
      </c>
      <c r="EC213" s="70">
        <f t="shared" si="65"/>
        <v>0.66414575455482983</v>
      </c>
      <c r="ED213" s="70">
        <f t="shared" si="65"/>
        <v>2.8119628738398075</v>
      </c>
      <c r="EE213" s="70">
        <f t="shared" si="65"/>
        <v>0.69852182880715019</v>
      </c>
      <c r="EF213" s="70">
        <f t="shared" si="65"/>
        <v>5.4657958061189414E-2</v>
      </c>
      <c r="EG213" s="70">
        <f t="shared" si="65"/>
        <v>0.94671708490890338</v>
      </c>
      <c r="EH213" s="70">
        <f t="shared" si="65"/>
        <v>0.25575799243726366</v>
      </c>
      <c r="EI213" s="70">
        <f t="shared" si="65"/>
        <v>3.0044688896528018</v>
      </c>
      <c r="EJ213" s="70">
        <f t="shared" si="65"/>
        <v>5.15125472671021</v>
      </c>
      <c r="EK213" s="70">
        <f t="shared" si="65"/>
        <v>0.67136473014781706</v>
      </c>
      <c r="EL213" s="70">
        <f t="shared" si="65"/>
        <v>0.20935029219663115</v>
      </c>
      <c r="EM213" s="70">
        <f t="shared" si="65"/>
        <v>0.88930904090752838</v>
      </c>
      <c r="EN213" s="70">
        <f t="shared" si="65"/>
        <v>1.0835338604331386</v>
      </c>
      <c r="EO213" s="70">
        <f t="shared" si="65"/>
        <v>0.87830869714678594</v>
      </c>
      <c r="EP213" s="70">
        <f t="shared" si="65"/>
        <v>10.788243382605707</v>
      </c>
      <c r="EQ213" s="70">
        <f t="shared" si="65"/>
        <v>2.437951185974562</v>
      </c>
      <c r="ER213" s="70">
        <f t="shared" si="65"/>
        <v>1.512547267102097</v>
      </c>
      <c r="ES213" s="70">
        <f t="shared" si="65"/>
        <v>3.833276039876246</v>
      </c>
      <c r="ET213" s="82">
        <f>SUM(B213:ES213)</f>
        <v>256.07700214838439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CaseStudy</vt:lpstr>
      <vt:lpstr>Data</vt:lpstr>
      <vt:lpstr>Solution</vt:lpstr>
      <vt:lpstr>CaseStudy!Print_Area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Gauba</dc:creator>
  <cp:lastModifiedBy>Mohit Gauba</cp:lastModifiedBy>
  <cp:lastPrinted>2025-10-22T10:14:34Z</cp:lastPrinted>
  <dcterms:created xsi:type="dcterms:W3CDTF">2017-10-04T16:56:51Z</dcterms:created>
  <dcterms:modified xsi:type="dcterms:W3CDTF">2026-01-26T06:14:58Z</dcterms:modified>
</cp:coreProperties>
</file>