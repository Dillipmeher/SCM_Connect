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ll\Mohit\Training\SCM Training\Case Studies\Inventory Management-Multiple Items\"/>
    </mc:Choice>
  </mc:AlternateContent>
  <xr:revisionPtr revIDLastSave="0" documentId="13_ncr:1_{57B398AB-AD30-4A53-9DFC-051D7C8BC774}" xr6:coauthVersionLast="47" xr6:coauthVersionMax="47" xr10:uidLastSave="{00000000-0000-0000-0000-000000000000}"/>
  <bookViews>
    <workbookView xWindow="-108" yWindow="-108" windowWidth="23256" windowHeight="12456" activeTab="4" xr2:uid="{F5782114-7DED-452F-B9E6-7E988A379D1B}"/>
  </bookViews>
  <sheets>
    <sheet name="Case Study" sheetId="12" r:id="rId1"/>
    <sheet name="Policy" sheetId="6" r:id="rId2"/>
    <sheet name="Data" sheetId="11" r:id="rId3"/>
    <sheet name="Pivot" sheetId="13" r:id="rId4"/>
    <sheet name="Solution" sheetId="5" r:id="rId5"/>
  </sheets>
  <definedNames>
    <definedName name="_xlnm._FilterDatabase" localSheetId="2" hidden="1">Data!$A$2:$N$243</definedName>
    <definedName name="_xlnm._FilterDatabase" localSheetId="4" hidden="1">Solution!$A$5:$AI$246</definedName>
    <definedName name="OpenSolver_ChosenSolver" localSheetId="4" hidden="1">CBC</definedName>
    <definedName name="OpenSolver_LinearityCheck" localSheetId="4" hidden="1">1</definedName>
    <definedName name="solver_adj" localSheetId="4" hidden="1">Solution!#REF!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Solution!$Y$6:$Y$245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1</definedName>
    <definedName name="solver_nwt" localSheetId="4" hidden="1">1</definedName>
    <definedName name="solver_opt" localSheetId="4" hidden="1">Solution!$AA$246</definedName>
    <definedName name="solver_pre" localSheetId="4" hidden="1">0.000001</definedName>
    <definedName name="solver_rbv" localSheetId="4" hidden="1">1</definedName>
    <definedName name="solver_rel1" localSheetId="4" hidden="1">2</definedName>
    <definedName name="solver_rhs1" localSheetId="4" hidden="1">Solution!$Z$6:$Z$245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2</definedName>
    <definedName name="solver_val" localSheetId="4" hidden="1">0</definedName>
    <definedName name="solver_ver" localSheetId="4" hidden="1">3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6" l="1"/>
  <c r="E14" i="6"/>
  <c r="E13" i="6"/>
  <c r="Q6" i="5"/>
  <c r="P6" i="5"/>
  <c r="O6" i="5"/>
  <c r="AH6" i="5" s="1"/>
  <c r="S6" i="5" l="1"/>
  <c r="N243" i="11"/>
  <c r="M243" i="11"/>
  <c r="Q62" i="5"/>
  <c r="P14" i="5"/>
  <c r="P46" i="5"/>
  <c r="P78" i="5"/>
  <c r="P110" i="5"/>
  <c r="O30" i="5"/>
  <c r="AH30" i="5" s="1"/>
  <c r="O62" i="5"/>
  <c r="AH62" i="5" s="1"/>
  <c r="O94" i="5"/>
  <c r="AH94" i="5" s="1"/>
  <c r="O126" i="5"/>
  <c r="AH126" i="5" s="1"/>
  <c r="O158" i="5"/>
  <c r="AH158" i="5" s="1"/>
  <c r="O190" i="5"/>
  <c r="AH190" i="5" s="1"/>
  <c r="Q14" i="5"/>
  <c r="O15" i="5"/>
  <c r="AH15" i="5" s="1"/>
  <c r="P22" i="5"/>
  <c r="Q30" i="5"/>
  <c r="P31" i="5"/>
  <c r="O38" i="5"/>
  <c r="AH38" i="5" s="1"/>
  <c r="O46" i="5"/>
  <c r="AH46" i="5" s="1"/>
  <c r="O47" i="5"/>
  <c r="AH47" i="5" s="1"/>
  <c r="P54" i="5"/>
  <c r="P62" i="5"/>
  <c r="P63" i="5"/>
  <c r="O70" i="5"/>
  <c r="AH70" i="5" s="1"/>
  <c r="Q78" i="5"/>
  <c r="O79" i="5"/>
  <c r="AH79" i="5" s="1"/>
  <c r="P86" i="5"/>
  <c r="Q94" i="5"/>
  <c r="P95" i="5"/>
  <c r="O102" i="5"/>
  <c r="AH102" i="5" s="1"/>
  <c r="O110" i="5"/>
  <c r="AH110" i="5" s="1"/>
  <c r="O111" i="5"/>
  <c r="AH111" i="5" s="1"/>
  <c r="P118" i="5"/>
  <c r="P126" i="5"/>
  <c r="P127" i="5"/>
  <c r="O134" i="5"/>
  <c r="AH134" i="5" s="1"/>
  <c r="Q142" i="5"/>
  <c r="O143" i="5"/>
  <c r="AH143" i="5" s="1"/>
  <c r="P150" i="5"/>
  <c r="Q158" i="5"/>
  <c r="O159" i="5"/>
  <c r="AH159" i="5" s="1"/>
  <c r="O166" i="5"/>
  <c r="AH166" i="5" s="1"/>
  <c r="O174" i="5"/>
  <c r="AH174" i="5" s="1"/>
  <c r="O175" i="5"/>
  <c r="AH175" i="5" s="1"/>
  <c r="P182" i="5"/>
  <c r="P190" i="5"/>
  <c r="P191" i="5"/>
  <c r="Q191" i="5"/>
  <c r="Q198" i="5"/>
  <c r="Q199" i="5"/>
  <c r="O199" i="5"/>
  <c r="AH199" i="5" s="1"/>
  <c r="Q206" i="5"/>
  <c r="Q207" i="5"/>
  <c r="P207" i="5"/>
  <c r="O209" i="5"/>
  <c r="AH209" i="5" s="1"/>
  <c r="O210" i="5"/>
  <c r="AH210" i="5" s="1"/>
  <c r="O211" i="5"/>
  <c r="AH211" i="5" s="1"/>
  <c r="P214" i="5"/>
  <c r="P215" i="5"/>
  <c r="O216" i="5"/>
  <c r="AH216" i="5" s="1"/>
  <c r="O217" i="5"/>
  <c r="AH217" i="5" s="1"/>
  <c r="O218" i="5"/>
  <c r="AH218" i="5" s="1"/>
  <c r="O219" i="5"/>
  <c r="AH219" i="5" s="1"/>
  <c r="P222" i="5"/>
  <c r="P223" i="5"/>
  <c r="Q223" i="5"/>
  <c r="O225" i="5"/>
  <c r="AH225" i="5" s="1"/>
  <c r="O226" i="5"/>
  <c r="AH226" i="5" s="1"/>
  <c r="O227" i="5"/>
  <c r="AH227" i="5" s="1"/>
  <c r="Q230" i="5"/>
  <c r="Q231" i="5"/>
  <c r="O232" i="5"/>
  <c r="AH232" i="5" s="1"/>
  <c r="O233" i="5"/>
  <c r="AH233" i="5" s="1"/>
  <c r="O234" i="5"/>
  <c r="AH234" i="5" s="1"/>
  <c r="O235" i="5"/>
  <c r="AH235" i="5" s="1"/>
  <c r="O237" i="5"/>
  <c r="AH237" i="5" s="1"/>
  <c r="Q238" i="5"/>
  <c r="Q239" i="5"/>
  <c r="O239" i="5"/>
  <c r="AH239" i="5" s="1"/>
  <c r="O241" i="5"/>
  <c r="AH241" i="5" s="1"/>
  <c r="O242" i="5"/>
  <c r="AH242" i="5" s="1"/>
  <c r="O243" i="5"/>
  <c r="AH243" i="5" s="1"/>
  <c r="O245" i="5"/>
  <c r="AH245" i="5" s="1"/>
  <c r="AF6" i="5" l="1"/>
  <c r="AG6" i="5" s="1"/>
  <c r="AE6" i="5"/>
  <c r="Q224" i="5"/>
  <c r="P224" i="5"/>
  <c r="Q212" i="5"/>
  <c r="P212" i="5"/>
  <c r="Q208" i="5"/>
  <c r="P208" i="5"/>
  <c r="Q200" i="5"/>
  <c r="P200" i="5"/>
  <c r="O200" i="5"/>
  <c r="AH200" i="5" s="1"/>
  <c r="Q192" i="5"/>
  <c r="P192" i="5"/>
  <c r="O192" i="5"/>
  <c r="AH192" i="5" s="1"/>
  <c r="Q180" i="5"/>
  <c r="P180" i="5"/>
  <c r="O180" i="5"/>
  <c r="AH180" i="5" s="1"/>
  <c r="Q164" i="5"/>
  <c r="P164" i="5"/>
  <c r="O164" i="5"/>
  <c r="AH164" i="5" s="1"/>
  <c r="Q160" i="5"/>
  <c r="P160" i="5"/>
  <c r="O160" i="5"/>
  <c r="AH160" i="5" s="1"/>
  <c r="Q156" i="5"/>
  <c r="P156" i="5"/>
  <c r="O156" i="5"/>
  <c r="AH156" i="5" s="1"/>
  <c r="Q152" i="5"/>
  <c r="P152" i="5"/>
  <c r="O152" i="5"/>
  <c r="AH152" i="5" s="1"/>
  <c r="Q148" i="5"/>
  <c r="P148" i="5"/>
  <c r="O148" i="5"/>
  <c r="AH148" i="5" s="1"/>
  <c r="Q144" i="5"/>
  <c r="P144" i="5"/>
  <c r="O144" i="5"/>
  <c r="AH144" i="5" s="1"/>
  <c r="Q140" i="5"/>
  <c r="P140" i="5"/>
  <c r="O140" i="5"/>
  <c r="AH140" i="5" s="1"/>
  <c r="Q136" i="5"/>
  <c r="P136" i="5"/>
  <c r="O136" i="5"/>
  <c r="AH136" i="5" s="1"/>
  <c r="Q132" i="5"/>
  <c r="P132" i="5"/>
  <c r="O132" i="5"/>
  <c r="AH132" i="5" s="1"/>
  <c r="Q128" i="5"/>
  <c r="P128" i="5"/>
  <c r="O128" i="5"/>
  <c r="AH128" i="5" s="1"/>
  <c r="Q124" i="5"/>
  <c r="P124" i="5"/>
  <c r="O124" i="5"/>
  <c r="AH124" i="5" s="1"/>
  <c r="Q120" i="5"/>
  <c r="P120" i="5"/>
  <c r="O120" i="5"/>
  <c r="AH120" i="5" s="1"/>
  <c r="Q116" i="5"/>
  <c r="P116" i="5"/>
  <c r="O116" i="5"/>
  <c r="AH116" i="5" s="1"/>
  <c r="Q112" i="5"/>
  <c r="P112" i="5"/>
  <c r="O112" i="5"/>
  <c r="AH112" i="5" s="1"/>
  <c r="Q108" i="5"/>
  <c r="P108" i="5"/>
  <c r="O108" i="5"/>
  <c r="AH108" i="5" s="1"/>
  <c r="Q104" i="5"/>
  <c r="P104" i="5"/>
  <c r="O104" i="5"/>
  <c r="AH104" i="5" s="1"/>
  <c r="Q100" i="5"/>
  <c r="P100" i="5"/>
  <c r="O100" i="5"/>
  <c r="AH100" i="5" s="1"/>
  <c r="Q96" i="5"/>
  <c r="P96" i="5"/>
  <c r="O96" i="5"/>
  <c r="AH96" i="5" s="1"/>
  <c r="Q92" i="5"/>
  <c r="P92" i="5"/>
  <c r="O92" i="5"/>
  <c r="AH92" i="5" s="1"/>
  <c r="Q88" i="5"/>
  <c r="P88" i="5"/>
  <c r="O88" i="5"/>
  <c r="AH88" i="5" s="1"/>
  <c r="Q84" i="5"/>
  <c r="P84" i="5"/>
  <c r="O84" i="5"/>
  <c r="AH84" i="5" s="1"/>
  <c r="Q80" i="5"/>
  <c r="P80" i="5"/>
  <c r="O80" i="5"/>
  <c r="AH80" i="5" s="1"/>
  <c r="Q76" i="5"/>
  <c r="P76" i="5"/>
  <c r="O76" i="5"/>
  <c r="AH76" i="5" s="1"/>
  <c r="Q72" i="5"/>
  <c r="P72" i="5"/>
  <c r="O72" i="5"/>
  <c r="AH72" i="5" s="1"/>
  <c r="Q68" i="5"/>
  <c r="P68" i="5"/>
  <c r="O68" i="5"/>
  <c r="AH68" i="5" s="1"/>
  <c r="Q64" i="5"/>
  <c r="P64" i="5"/>
  <c r="O64" i="5"/>
  <c r="AH64" i="5" s="1"/>
  <c r="Q60" i="5"/>
  <c r="P60" i="5"/>
  <c r="O60" i="5"/>
  <c r="AH60" i="5" s="1"/>
  <c r="Q56" i="5"/>
  <c r="P56" i="5"/>
  <c r="O56" i="5"/>
  <c r="AH56" i="5" s="1"/>
  <c r="Q52" i="5"/>
  <c r="P52" i="5"/>
  <c r="O52" i="5"/>
  <c r="AH52" i="5" s="1"/>
  <c r="Q48" i="5"/>
  <c r="P48" i="5"/>
  <c r="O48" i="5"/>
  <c r="AH48" i="5" s="1"/>
  <c r="Q44" i="5"/>
  <c r="P44" i="5"/>
  <c r="O44" i="5"/>
  <c r="AH44" i="5" s="1"/>
  <c r="Q40" i="5"/>
  <c r="P40" i="5"/>
  <c r="O40" i="5"/>
  <c r="AH40" i="5" s="1"/>
  <c r="Q36" i="5"/>
  <c r="P36" i="5"/>
  <c r="O36" i="5"/>
  <c r="AH36" i="5" s="1"/>
  <c r="Q32" i="5"/>
  <c r="P32" i="5"/>
  <c r="O32" i="5"/>
  <c r="AH32" i="5" s="1"/>
  <c r="Q28" i="5"/>
  <c r="P28" i="5"/>
  <c r="O28" i="5"/>
  <c r="AH28" i="5" s="1"/>
  <c r="Q24" i="5"/>
  <c r="P24" i="5"/>
  <c r="O24" i="5"/>
  <c r="AH24" i="5" s="1"/>
  <c r="Q20" i="5"/>
  <c r="P20" i="5"/>
  <c r="O20" i="5"/>
  <c r="AH20" i="5" s="1"/>
  <c r="Q16" i="5"/>
  <c r="P16" i="5"/>
  <c r="O16" i="5"/>
  <c r="AH16" i="5" s="1"/>
  <c r="Q12" i="5"/>
  <c r="P12" i="5"/>
  <c r="O12" i="5"/>
  <c r="AH12" i="5" s="1"/>
  <c r="Q8" i="5"/>
  <c r="P8" i="5"/>
  <c r="O8" i="5"/>
  <c r="AH8" i="5" s="1"/>
  <c r="O191" i="5"/>
  <c r="AH191" i="5" s="1"/>
  <c r="O127" i="5"/>
  <c r="AH127" i="5" s="1"/>
  <c r="O95" i="5"/>
  <c r="AH95" i="5" s="1"/>
  <c r="O63" i="5"/>
  <c r="AH63" i="5" s="1"/>
  <c r="O31" i="5"/>
  <c r="AH31" i="5" s="1"/>
  <c r="P239" i="5"/>
  <c r="P175" i="5"/>
  <c r="P143" i="5"/>
  <c r="P111" i="5"/>
  <c r="P79" i="5"/>
  <c r="P47" i="5"/>
  <c r="P15" i="5"/>
  <c r="Q134" i="5"/>
  <c r="Q70" i="5"/>
  <c r="Q236" i="5"/>
  <c r="P236" i="5"/>
  <c r="Q220" i="5"/>
  <c r="P220" i="5"/>
  <c r="Q204" i="5"/>
  <c r="P204" i="5"/>
  <c r="O204" i="5"/>
  <c r="AH204" i="5" s="1"/>
  <c r="Q168" i="5"/>
  <c r="P168" i="5"/>
  <c r="O168" i="5"/>
  <c r="AH168" i="5" s="1"/>
  <c r="P238" i="5"/>
  <c r="P174" i="5"/>
  <c r="Q222" i="5"/>
  <c r="Q190" i="5"/>
  <c r="Q126" i="5"/>
  <c r="Q243" i="5"/>
  <c r="P243" i="5"/>
  <c r="Q211" i="5"/>
  <c r="P211" i="5"/>
  <c r="Q203" i="5"/>
  <c r="P203" i="5"/>
  <c r="O203" i="5"/>
  <c r="AH203" i="5" s="1"/>
  <c r="Q195" i="5"/>
  <c r="P195" i="5"/>
  <c r="O195" i="5"/>
  <c r="AH195" i="5" s="1"/>
  <c r="Q183" i="5"/>
  <c r="Q175" i="5"/>
  <c r="Q171" i="5"/>
  <c r="P171" i="5"/>
  <c r="O171" i="5"/>
  <c r="AH171" i="5" s="1"/>
  <c r="Q167" i="5"/>
  <c r="Q163" i="5"/>
  <c r="P163" i="5"/>
  <c r="O163" i="5"/>
  <c r="AH163" i="5" s="1"/>
  <c r="Q159" i="5"/>
  <c r="Q155" i="5"/>
  <c r="P155" i="5"/>
  <c r="O155" i="5"/>
  <c r="AH155" i="5" s="1"/>
  <c r="Q151" i="5"/>
  <c r="Q147" i="5"/>
  <c r="P147" i="5"/>
  <c r="O147" i="5"/>
  <c r="AH147" i="5" s="1"/>
  <c r="Q143" i="5"/>
  <c r="Q139" i="5"/>
  <c r="P139" i="5"/>
  <c r="O139" i="5"/>
  <c r="AH139" i="5" s="1"/>
  <c r="Q135" i="5"/>
  <c r="Q131" i="5"/>
  <c r="P131" i="5"/>
  <c r="O131" i="5"/>
  <c r="AH131" i="5" s="1"/>
  <c r="Q127" i="5"/>
  <c r="Q123" i="5"/>
  <c r="P123" i="5"/>
  <c r="O123" i="5"/>
  <c r="AH123" i="5" s="1"/>
  <c r="Q119" i="5"/>
  <c r="Q115" i="5"/>
  <c r="P115" i="5"/>
  <c r="O115" i="5"/>
  <c r="AH115" i="5" s="1"/>
  <c r="Q111" i="5"/>
  <c r="Q107" i="5"/>
  <c r="P107" i="5"/>
  <c r="O107" i="5"/>
  <c r="AH107" i="5" s="1"/>
  <c r="Q103" i="5"/>
  <c r="Q99" i="5"/>
  <c r="P99" i="5"/>
  <c r="O99" i="5"/>
  <c r="AH99" i="5" s="1"/>
  <c r="Q95" i="5"/>
  <c r="Q91" i="5"/>
  <c r="P91" i="5"/>
  <c r="O91" i="5"/>
  <c r="AH91" i="5" s="1"/>
  <c r="Q87" i="5"/>
  <c r="Q83" i="5"/>
  <c r="P83" i="5"/>
  <c r="O83" i="5"/>
  <c r="AH83" i="5" s="1"/>
  <c r="Q79" i="5"/>
  <c r="Q75" i="5"/>
  <c r="P75" i="5"/>
  <c r="O75" i="5"/>
  <c r="AH75" i="5" s="1"/>
  <c r="Q71" i="5"/>
  <c r="Q67" i="5"/>
  <c r="P67" i="5"/>
  <c r="O67" i="5"/>
  <c r="AH67" i="5" s="1"/>
  <c r="Q63" i="5"/>
  <c r="Q59" i="5"/>
  <c r="P59" i="5"/>
  <c r="O59" i="5"/>
  <c r="AH59" i="5" s="1"/>
  <c r="Q55" i="5"/>
  <c r="Q51" i="5"/>
  <c r="P51" i="5"/>
  <c r="O51" i="5"/>
  <c r="AH51" i="5" s="1"/>
  <c r="Q47" i="5"/>
  <c r="Q43" i="5"/>
  <c r="P43" i="5"/>
  <c r="O43" i="5"/>
  <c r="AH43" i="5" s="1"/>
  <c r="Q39" i="5"/>
  <c r="Q35" i="5"/>
  <c r="P35" i="5"/>
  <c r="O35" i="5"/>
  <c r="AH35" i="5" s="1"/>
  <c r="Q31" i="5"/>
  <c r="Q27" i="5"/>
  <c r="P27" i="5"/>
  <c r="O27" i="5"/>
  <c r="AH27" i="5" s="1"/>
  <c r="Q23" i="5"/>
  <c r="Q19" i="5"/>
  <c r="P19" i="5"/>
  <c r="O19" i="5"/>
  <c r="AH19" i="5" s="1"/>
  <c r="Q15" i="5"/>
  <c r="Q11" i="5"/>
  <c r="P11" i="5"/>
  <c r="O11" i="5"/>
  <c r="AH11" i="5" s="1"/>
  <c r="Q7" i="5"/>
  <c r="O183" i="5"/>
  <c r="AH183" i="5" s="1"/>
  <c r="O151" i="5"/>
  <c r="AH151" i="5" s="1"/>
  <c r="O119" i="5"/>
  <c r="AH119" i="5" s="1"/>
  <c r="O87" i="5"/>
  <c r="AH87" i="5" s="1"/>
  <c r="O55" i="5"/>
  <c r="AH55" i="5" s="1"/>
  <c r="O23" i="5"/>
  <c r="AH23" i="5" s="1"/>
  <c r="P231" i="5"/>
  <c r="P199" i="5"/>
  <c r="P167" i="5"/>
  <c r="P135" i="5"/>
  <c r="P103" i="5"/>
  <c r="P71" i="5"/>
  <c r="P39" i="5"/>
  <c r="P7" i="5"/>
  <c r="Q215" i="5"/>
  <c r="Q182" i="5"/>
  <c r="Q118" i="5"/>
  <c r="Q54" i="5"/>
  <c r="Q240" i="5"/>
  <c r="P240" i="5"/>
  <c r="Q184" i="5"/>
  <c r="P184" i="5"/>
  <c r="O184" i="5"/>
  <c r="AH184" i="5" s="1"/>
  <c r="P206" i="5"/>
  <c r="P142" i="5"/>
  <c r="Q235" i="5"/>
  <c r="P235" i="5"/>
  <c r="Q227" i="5"/>
  <c r="P227" i="5"/>
  <c r="Q219" i="5"/>
  <c r="P219" i="5"/>
  <c r="Q187" i="5"/>
  <c r="P187" i="5"/>
  <c r="O187" i="5"/>
  <c r="AH187" i="5" s="1"/>
  <c r="Q179" i="5"/>
  <c r="P179" i="5"/>
  <c r="O179" i="5"/>
  <c r="AH179" i="5" s="1"/>
  <c r="M246" i="5"/>
  <c r="O240" i="5"/>
  <c r="AH240" i="5" s="1"/>
  <c r="O224" i="5"/>
  <c r="AH224" i="5" s="1"/>
  <c r="O208" i="5"/>
  <c r="AH208" i="5" s="1"/>
  <c r="O182" i="5"/>
  <c r="AH182" i="5" s="1"/>
  <c r="O150" i="5"/>
  <c r="AH150" i="5" s="1"/>
  <c r="O118" i="5"/>
  <c r="AH118" i="5" s="1"/>
  <c r="O86" i="5"/>
  <c r="AH86" i="5" s="1"/>
  <c r="O54" i="5"/>
  <c r="AH54" i="5" s="1"/>
  <c r="O22" i="5"/>
  <c r="AH22" i="5" s="1"/>
  <c r="P230" i="5"/>
  <c r="P198" i="5"/>
  <c r="P166" i="5"/>
  <c r="P134" i="5"/>
  <c r="P102" i="5"/>
  <c r="P70" i="5"/>
  <c r="P38" i="5"/>
  <c r="Q214" i="5"/>
  <c r="Q174" i="5"/>
  <c r="Q110" i="5"/>
  <c r="Q46" i="5"/>
  <c r="Q232" i="5"/>
  <c r="P232" i="5"/>
  <c r="Q176" i="5"/>
  <c r="P176" i="5"/>
  <c r="O176" i="5"/>
  <c r="AH176" i="5" s="1"/>
  <c r="Q226" i="5"/>
  <c r="P226" i="5"/>
  <c r="Q218" i="5"/>
  <c r="P218" i="5"/>
  <c r="Q210" i="5"/>
  <c r="P210" i="5"/>
  <c r="Q202" i="5"/>
  <c r="P202" i="5"/>
  <c r="O202" i="5"/>
  <c r="AH202" i="5" s="1"/>
  <c r="Q194" i="5"/>
  <c r="P194" i="5"/>
  <c r="O194" i="5"/>
  <c r="AH194" i="5" s="1"/>
  <c r="Q186" i="5"/>
  <c r="P186" i="5"/>
  <c r="O186" i="5"/>
  <c r="AH186" i="5" s="1"/>
  <c r="Q178" i="5"/>
  <c r="P178" i="5"/>
  <c r="O178" i="5"/>
  <c r="AH178" i="5" s="1"/>
  <c r="Q170" i="5"/>
  <c r="P170" i="5"/>
  <c r="O170" i="5"/>
  <c r="AH170" i="5" s="1"/>
  <c r="Q162" i="5"/>
  <c r="P162" i="5"/>
  <c r="O162" i="5"/>
  <c r="AH162" i="5" s="1"/>
  <c r="Q154" i="5"/>
  <c r="P154" i="5"/>
  <c r="O154" i="5"/>
  <c r="AH154" i="5" s="1"/>
  <c r="Q146" i="5"/>
  <c r="P146" i="5"/>
  <c r="O146" i="5"/>
  <c r="AH146" i="5" s="1"/>
  <c r="Q138" i="5"/>
  <c r="P138" i="5"/>
  <c r="O138" i="5"/>
  <c r="AH138" i="5" s="1"/>
  <c r="Q130" i="5"/>
  <c r="P130" i="5"/>
  <c r="O130" i="5"/>
  <c r="AH130" i="5" s="1"/>
  <c r="Q122" i="5"/>
  <c r="P122" i="5"/>
  <c r="O122" i="5"/>
  <c r="AH122" i="5" s="1"/>
  <c r="Q114" i="5"/>
  <c r="P114" i="5"/>
  <c r="O114" i="5"/>
  <c r="AH114" i="5" s="1"/>
  <c r="Q106" i="5"/>
  <c r="P106" i="5"/>
  <c r="O106" i="5"/>
  <c r="AH106" i="5" s="1"/>
  <c r="Q98" i="5"/>
  <c r="P98" i="5"/>
  <c r="O98" i="5"/>
  <c r="AH98" i="5" s="1"/>
  <c r="Q90" i="5"/>
  <c r="P90" i="5"/>
  <c r="O90" i="5"/>
  <c r="AH90" i="5" s="1"/>
  <c r="Q82" i="5"/>
  <c r="P82" i="5"/>
  <c r="O82" i="5"/>
  <c r="AH82" i="5" s="1"/>
  <c r="Q74" i="5"/>
  <c r="P74" i="5"/>
  <c r="O74" i="5"/>
  <c r="AH74" i="5" s="1"/>
  <c r="Q66" i="5"/>
  <c r="P66" i="5"/>
  <c r="O66" i="5"/>
  <c r="AH66" i="5" s="1"/>
  <c r="Q58" i="5"/>
  <c r="P58" i="5"/>
  <c r="O58" i="5"/>
  <c r="AH58" i="5" s="1"/>
  <c r="Q50" i="5"/>
  <c r="P50" i="5"/>
  <c r="O50" i="5"/>
  <c r="AH50" i="5" s="1"/>
  <c r="Q42" i="5"/>
  <c r="P42" i="5"/>
  <c r="O42" i="5"/>
  <c r="AH42" i="5" s="1"/>
  <c r="Q34" i="5"/>
  <c r="P34" i="5"/>
  <c r="O34" i="5"/>
  <c r="AH34" i="5" s="1"/>
  <c r="Q26" i="5"/>
  <c r="P26" i="5"/>
  <c r="O26" i="5"/>
  <c r="AH26" i="5" s="1"/>
  <c r="Q18" i="5"/>
  <c r="P18" i="5"/>
  <c r="O18" i="5"/>
  <c r="AH18" i="5" s="1"/>
  <c r="Q10" i="5"/>
  <c r="P10" i="5"/>
  <c r="O10" i="5"/>
  <c r="AH10" i="5" s="1"/>
  <c r="N246" i="5"/>
  <c r="O231" i="5"/>
  <c r="AH231" i="5" s="1"/>
  <c r="O223" i="5"/>
  <c r="AH223" i="5" s="1"/>
  <c r="O215" i="5"/>
  <c r="AH215" i="5" s="1"/>
  <c r="O207" i="5"/>
  <c r="AH207" i="5" s="1"/>
  <c r="P159" i="5"/>
  <c r="Q166" i="5"/>
  <c r="Q102" i="5"/>
  <c r="Q38" i="5"/>
  <c r="Q216" i="5"/>
  <c r="P216" i="5"/>
  <c r="Q172" i="5"/>
  <c r="P172" i="5"/>
  <c r="O172" i="5"/>
  <c r="AH172" i="5" s="1"/>
  <c r="Q242" i="5"/>
  <c r="P242" i="5"/>
  <c r="Q234" i="5"/>
  <c r="P234" i="5"/>
  <c r="O238" i="5"/>
  <c r="AH238" i="5" s="1"/>
  <c r="O230" i="5"/>
  <c r="AH230" i="5" s="1"/>
  <c r="O222" i="5"/>
  <c r="AH222" i="5" s="1"/>
  <c r="O214" i="5"/>
  <c r="AH214" i="5" s="1"/>
  <c r="O206" i="5"/>
  <c r="AH206" i="5" s="1"/>
  <c r="O142" i="5"/>
  <c r="AH142" i="5" s="1"/>
  <c r="O78" i="5"/>
  <c r="AH78" i="5" s="1"/>
  <c r="O14" i="5"/>
  <c r="AH14" i="5" s="1"/>
  <c r="P158" i="5"/>
  <c r="P94" i="5"/>
  <c r="P30" i="5"/>
  <c r="Q228" i="5"/>
  <c r="P228" i="5"/>
  <c r="Q196" i="5"/>
  <c r="P196" i="5"/>
  <c r="O196" i="5"/>
  <c r="AH196" i="5" s="1"/>
  <c r="Q241" i="5"/>
  <c r="P241" i="5"/>
  <c r="Q229" i="5"/>
  <c r="P229" i="5"/>
  <c r="Q221" i="5"/>
  <c r="P221" i="5"/>
  <c r="Q213" i="5"/>
  <c r="P213" i="5"/>
  <c r="Q205" i="5"/>
  <c r="P205" i="5"/>
  <c r="O205" i="5"/>
  <c r="AH205" i="5" s="1"/>
  <c r="Q197" i="5"/>
  <c r="P197" i="5"/>
  <c r="O197" i="5"/>
  <c r="AH197" i="5" s="1"/>
  <c r="Q189" i="5"/>
  <c r="P189" i="5"/>
  <c r="O189" i="5"/>
  <c r="AH189" i="5" s="1"/>
  <c r="Q177" i="5"/>
  <c r="P177" i="5"/>
  <c r="O177" i="5"/>
  <c r="AH177" i="5" s="1"/>
  <c r="Q169" i="5"/>
  <c r="P169" i="5"/>
  <c r="O169" i="5"/>
  <c r="AH169" i="5" s="1"/>
  <c r="Q157" i="5"/>
  <c r="P157" i="5"/>
  <c r="O157" i="5"/>
  <c r="AH157" i="5" s="1"/>
  <c r="Q149" i="5"/>
  <c r="P149" i="5"/>
  <c r="O149" i="5"/>
  <c r="AH149" i="5" s="1"/>
  <c r="Q145" i="5"/>
  <c r="P145" i="5"/>
  <c r="O145" i="5"/>
  <c r="AH145" i="5" s="1"/>
  <c r="Q141" i="5"/>
  <c r="P141" i="5"/>
  <c r="O141" i="5"/>
  <c r="AH141" i="5" s="1"/>
  <c r="Q133" i="5"/>
  <c r="P133" i="5"/>
  <c r="O133" i="5"/>
  <c r="AH133" i="5" s="1"/>
  <c r="Q129" i="5"/>
  <c r="P129" i="5"/>
  <c r="O129" i="5"/>
  <c r="AH129" i="5" s="1"/>
  <c r="Q125" i="5"/>
  <c r="P125" i="5"/>
  <c r="O125" i="5"/>
  <c r="AH125" i="5" s="1"/>
  <c r="Q121" i="5"/>
  <c r="P121" i="5"/>
  <c r="O121" i="5"/>
  <c r="AH121" i="5" s="1"/>
  <c r="Q117" i="5"/>
  <c r="P117" i="5"/>
  <c r="O117" i="5"/>
  <c r="AH117" i="5" s="1"/>
  <c r="Q113" i="5"/>
  <c r="P113" i="5"/>
  <c r="O113" i="5"/>
  <c r="AH113" i="5" s="1"/>
  <c r="Q109" i="5"/>
  <c r="P109" i="5"/>
  <c r="O109" i="5"/>
  <c r="AH109" i="5" s="1"/>
  <c r="Q101" i="5"/>
  <c r="P101" i="5"/>
  <c r="O101" i="5"/>
  <c r="AH101" i="5" s="1"/>
  <c r="Q97" i="5"/>
  <c r="P97" i="5"/>
  <c r="O97" i="5"/>
  <c r="AH97" i="5" s="1"/>
  <c r="Q93" i="5"/>
  <c r="P93" i="5"/>
  <c r="O93" i="5"/>
  <c r="AH93" i="5" s="1"/>
  <c r="Q89" i="5"/>
  <c r="P89" i="5"/>
  <c r="O89" i="5"/>
  <c r="AH89" i="5" s="1"/>
  <c r="Q85" i="5"/>
  <c r="P85" i="5"/>
  <c r="O85" i="5"/>
  <c r="AH85" i="5" s="1"/>
  <c r="Q81" i="5"/>
  <c r="P81" i="5"/>
  <c r="O81" i="5"/>
  <c r="AH81" i="5" s="1"/>
  <c r="Q77" i="5"/>
  <c r="P77" i="5"/>
  <c r="O77" i="5"/>
  <c r="AH77" i="5" s="1"/>
  <c r="Q73" i="5"/>
  <c r="P73" i="5"/>
  <c r="O73" i="5"/>
  <c r="AH73" i="5" s="1"/>
  <c r="Q69" i="5"/>
  <c r="P69" i="5"/>
  <c r="O69" i="5"/>
  <c r="AH69" i="5" s="1"/>
  <c r="Q65" i="5"/>
  <c r="P65" i="5"/>
  <c r="O65" i="5"/>
  <c r="AH65" i="5" s="1"/>
  <c r="Q61" i="5"/>
  <c r="P61" i="5"/>
  <c r="O61" i="5"/>
  <c r="AH61" i="5" s="1"/>
  <c r="Q57" i="5"/>
  <c r="P57" i="5"/>
  <c r="O57" i="5"/>
  <c r="AH57" i="5" s="1"/>
  <c r="Q53" i="5"/>
  <c r="P53" i="5"/>
  <c r="O53" i="5"/>
  <c r="AH53" i="5" s="1"/>
  <c r="Q49" i="5"/>
  <c r="P49" i="5"/>
  <c r="O49" i="5"/>
  <c r="AH49" i="5" s="1"/>
  <c r="Q45" i="5"/>
  <c r="P45" i="5"/>
  <c r="O45" i="5"/>
  <c r="AH45" i="5" s="1"/>
  <c r="Q41" i="5"/>
  <c r="P41" i="5"/>
  <c r="O41" i="5"/>
  <c r="AH41" i="5" s="1"/>
  <c r="Q33" i="5"/>
  <c r="P33" i="5"/>
  <c r="O33" i="5"/>
  <c r="AH33" i="5" s="1"/>
  <c r="Q29" i="5"/>
  <c r="P29" i="5"/>
  <c r="O29" i="5"/>
  <c r="AH29" i="5" s="1"/>
  <c r="Q25" i="5"/>
  <c r="P25" i="5"/>
  <c r="O25" i="5"/>
  <c r="AH25" i="5" s="1"/>
  <c r="Q21" i="5"/>
  <c r="P21" i="5"/>
  <c r="O21" i="5"/>
  <c r="AH21" i="5" s="1"/>
  <c r="Q17" i="5"/>
  <c r="P17" i="5"/>
  <c r="O17" i="5"/>
  <c r="AH17" i="5" s="1"/>
  <c r="Q13" i="5"/>
  <c r="P13" i="5"/>
  <c r="O13" i="5"/>
  <c r="AH13" i="5" s="1"/>
  <c r="Q9" i="5"/>
  <c r="P9" i="5"/>
  <c r="O9" i="5"/>
  <c r="AH9" i="5" s="1"/>
  <c r="O229" i="5"/>
  <c r="AH229" i="5" s="1"/>
  <c r="O221" i="5"/>
  <c r="AH221" i="5" s="1"/>
  <c r="O213" i="5"/>
  <c r="AH213" i="5" s="1"/>
  <c r="O167" i="5"/>
  <c r="AH167" i="5" s="1"/>
  <c r="O135" i="5"/>
  <c r="AH135" i="5" s="1"/>
  <c r="O103" i="5"/>
  <c r="AH103" i="5" s="1"/>
  <c r="O71" i="5"/>
  <c r="AH71" i="5" s="1"/>
  <c r="O39" i="5"/>
  <c r="AH39" i="5" s="1"/>
  <c r="O7" i="5"/>
  <c r="AH7" i="5" s="1"/>
  <c r="P183" i="5"/>
  <c r="P151" i="5"/>
  <c r="P119" i="5"/>
  <c r="P87" i="5"/>
  <c r="P55" i="5"/>
  <c r="P23" i="5"/>
  <c r="Q150" i="5"/>
  <c r="Q86" i="5"/>
  <c r="Q22" i="5"/>
  <c r="Q244" i="5"/>
  <c r="P244" i="5"/>
  <c r="Q188" i="5"/>
  <c r="P188" i="5"/>
  <c r="O188" i="5"/>
  <c r="AH188" i="5" s="1"/>
  <c r="Q245" i="5"/>
  <c r="P245" i="5"/>
  <c r="Q237" i="5"/>
  <c r="P237" i="5"/>
  <c r="Q233" i="5"/>
  <c r="P233" i="5"/>
  <c r="Q225" i="5"/>
  <c r="P225" i="5"/>
  <c r="Q217" i="5"/>
  <c r="P217" i="5"/>
  <c r="Q209" i="5"/>
  <c r="P209" i="5"/>
  <c r="Q201" i="5"/>
  <c r="P201" i="5"/>
  <c r="O201" i="5"/>
  <c r="AH201" i="5" s="1"/>
  <c r="Q193" i="5"/>
  <c r="P193" i="5"/>
  <c r="O193" i="5"/>
  <c r="AH193" i="5" s="1"/>
  <c r="Q185" i="5"/>
  <c r="P185" i="5"/>
  <c r="O185" i="5"/>
  <c r="AH185" i="5" s="1"/>
  <c r="Q181" i="5"/>
  <c r="P181" i="5"/>
  <c r="O181" i="5"/>
  <c r="AH181" i="5" s="1"/>
  <c r="Q173" i="5"/>
  <c r="P173" i="5"/>
  <c r="O173" i="5"/>
  <c r="AH173" i="5" s="1"/>
  <c r="Q165" i="5"/>
  <c r="P165" i="5"/>
  <c r="O165" i="5"/>
  <c r="AH165" i="5" s="1"/>
  <c r="Q161" i="5"/>
  <c r="P161" i="5"/>
  <c r="O161" i="5"/>
  <c r="AH161" i="5" s="1"/>
  <c r="Q153" i="5"/>
  <c r="P153" i="5"/>
  <c r="O153" i="5"/>
  <c r="AH153" i="5" s="1"/>
  <c r="Q137" i="5"/>
  <c r="P137" i="5"/>
  <c r="O137" i="5"/>
  <c r="AH137" i="5" s="1"/>
  <c r="Q105" i="5"/>
  <c r="P105" i="5"/>
  <c r="O105" i="5"/>
  <c r="AH105" i="5" s="1"/>
  <c r="Q37" i="5"/>
  <c r="P37" i="5"/>
  <c r="O37" i="5"/>
  <c r="AH37" i="5" s="1"/>
  <c r="O244" i="5"/>
  <c r="AH244" i="5" s="1"/>
  <c r="O236" i="5"/>
  <c r="AH236" i="5" s="1"/>
  <c r="O228" i="5"/>
  <c r="AH228" i="5" s="1"/>
  <c r="O220" i="5"/>
  <c r="AH220" i="5" s="1"/>
  <c r="O212" i="5"/>
  <c r="AH212" i="5" s="1"/>
  <c r="O198" i="5"/>
  <c r="AH198" i="5" s="1"/>
  <c r="O246" i="5" l="1"/>
  <c r="Q1" i="5"/>
  <c r="Q2" i="5" l="1"/>
  <c r="E20" i="6" l="1"/>
  <c r="E21" i="6"/>
  <c r="E16" i="6" l="1"/>
  <c r="E17" i="6"/>
  <c r="E18" i="6"/>
  <c r="E19" i="6"/>
  <c r="AI104" i="5" l="1"/>
  <c r="AI105" i="5"/>
  <c r="AI102" i="5"/>
  <c r="Y2" i="5"/>
  <c r="Y1" i="5"/>
  <c r="H7" i="6" l="1"/>
  <c r="H8" i="6"/>
  <c r="H6" i="6"/>
  <c r="F8" i="6" l="1"/>
  <c r="J7" i="6"/>
  <c r="F7" i="6"/>
  <c r="J6" i="6"/>
  <c r="F6" i="6"/>
  <c r="X6" i="5" s="1"/>
  <c r="Y6" i="5" s="1"/>
  <c r="Q246" i="5"/>
  <c r="P246" i="5"/>
  <c r="R165" i="5" l="1"/>
  <c r="R133" i="5"/>
  <c r="R93" i="5"/>
  <c r="R85" i="5"/>
  <c r="R69" i="5"/>
  <c r="R53" i="5"/>
  <c r="R37" i="5"/>
  <c r="R21" i="5"/>
  <c r="U7" i="5"/>
  <c r="U15" i="5"/>
  <c r="U23" i="5"/>
  <c r="U31" i="5"/>
  <c r="V31" i="5" s="1"/>
  <c r="U8" i="5"/>
  <c r="V8" i="5" s="1"/>
  <c r="U16" i="5"/>
  <c r="V16" i="5" s="1"/>
  <c r="U24" i="5"/>
  <c r="V24" i="5" s="1"/>
  <c r="U32" i="5"/>
  <c r="V32" i="5" s="1"/>
  <c r="U9" i="5"/>
  <c r="U17" i="5"/>
  <c r="U25" i="5"/>
  <c r="U33" i="5"/>
  <c r="U10" i="5"/>
  <c r="U18" i="5"/>
  <c r="V18" i="5" s="1"/>
  <c r="U26" i="5"/>
  <c r="V26" i="5" s="1"/>
  <c r="U34" i="5"/>
  <c r="V34" i="5" s="1"/>
  <c r="U6" i="5"/>
  <c r="V6" i="5" s="1"/>
  <c r="U11" i="5"/>
  <c r="U19" i="5"/>
  <c r="U27" i="5"/>
  <c r="U35" i="5"/>
  <c r="V35" i="5" s="1"/>
  <c r="U12" i="5"/>
  <c r="V12" i="5" s="1"/>
  <c r="U20" i="5"/>
  <c r="V20" i="5" s="1"/>
  <c r="U28" i="5"/>
  <c r="V28" i="5" s="1"/>
  <c r="U36" i="5"/>
  <c r="U22" i="5"/>
  <c r="U38" i="5"/>
  <c r="U13" i="5"/>
  <c r="V13" i="5" s="1"/>
  <c r="U21" i="5"/>
  <c r="V21" i="5" s="1"/>
  <c r="U29" i="5"/>
  <c r="V29" i="5" s="1"/>
  <c r="U37" i="5"/>
  <c r="V37" i="5" s="1"/>
  <c r="U14" i="5"/>
  <c r="V14" i="5" s="1"/>
  <c r="U30" i="5"/>
  <c r="U39" i="5"/>
  <c r="V39" i="5" s="1"/>
  <c r="U47" i="5"/>
  <c r="V47" i="5" s="1"/>
  <c r="U55" i="5"/>
  <c r="V55" i="5" s="1"/>
  <c r="U63" i="5"/>
  <c r="V63" i="5" s="1"/>
  <c r="U71" i="5"/>
  <c r="V71" i="5" s="1"/>
  <c r="U79" i="5"/>
  <c r="V79" i="5" s="1"/>
  <c r="U87" i="5"/>
  <c r="V87" i="5" s="1"/>
  <c r="U95" i="5"/>
  <c r="U103" i="5"/>
  <c r="V103" i="5" s="1"/>
  <c r="U111" i="5"/>
  <c r="V111" i="5" s="1"/>
  <c r="U119" i="5"/>
  <c r="V119" i="5" s="1"/>
  <c r="U127" i="5"/>
  <c r="V127" i="5" s="1"/>
  <c r="U88" i="5"/>
  <c r="V88" i="5" s="1"/>
  <c r="U104" i="5"/>
  <c r="V104" i="5" s="1"/>
  <c r="U105" i="5"/>
  <c r="V105" i="5" s="1"/>
  <c r="U40" i="5"/>
  <c r="U48" i="5"/>
  <c r="V48" i="5" s="1"/>
  <c r="U56" i="5"/>
  <c r="V56" i="5" s="1"/>
  <c r="U64" i="5"/>
  <c r="V64" i="5" s="1"/>
  <c r="U72" i="5"/>
  <c r="V72" i="5" s="1"/>
  <c r="U80" i="5"/>
  <c r="V80" i="5" s="1"/>
  <c r="U96" i="5"/>
  <c r="V96" i="5" s="1"/>
  <c r="U120" i="5"/>
  <c r="V120" i="5" s="1"/>
  <c r="U41" i="5"/>
  <c r="U49" i="5"/>
  <c r="V49" i="5" s="1"/>
  <c r="U57" i="5"/>
  <c r="V57" i="5" s="1"/>
  <c r="U65" i="5"/>
  <c r="V65" i="5" s="1"/>
  <c r="U73" i="5"/>
  <c r="V73" i="5" s="1"/>
  <c r="U81" i="5"/>
  <c r="V81" i="5" s="1"/>
  <c r="U89" i="5"/>
  <c r="V89" i="5" s="1"/>
  <c r="U97" i="5"/>
  <c r="V97" i="5" s="1"/>
  <c r="U129" i="5"/>
  <c r="U42" i="5"/>
  <c r="V42" i="5" s="1"/>
  <c r="U50" i="5"/>
  <c r="V50" i="5" s="1"/>
  <c r="U58" i="5"/>
  <c r="V58" i="5" s="1"/>
  <c r="U66" i="5"/>
  <c r="V66" i="5" s="1"/>
  <c r="U74" i="5"/>
  <c r="V74" i="5" s="1"/>
  <c r="U82" i="5"/>
  <c r="V82" i="5" s="1"/>
  <c r="U90" i="5"/>
  <c r="V90" i="5" s="1"/>
  <c r="U98" i="5"/>
  <c r="U106" i="5"/>
  <c r="V106" i="5" s="1"/>
  <c r="U114" i="5"/>
  <c r="V114" i="5" s="1"/>
  <c r="U122" i="5"/>
  <c r="V122" i="5" s="1"/>
  <c r="U107" i="5"/>
  <c r="V107" i="5" s="1"/>
  <c r="U123" i="5"/>
  <c r="V123" i="5" s="1"/>
  <c r="U54" i="5"/>
  <c r="V54" i="5" s="1"/>
  <c r="U86" i="5"/>
  <c r="V86" i="5" s="1"/>
  <c r="U118" i="5"/>
  <c r="U121" i="5"/>
  <c r="V121" i="5" s="1"/>
  <c r="U43" i="5"/>
  <c r="V43" i="5" s="1"/>
  <c r="U51" i="5"/>
  <c r="V51" i="5" s="1"/>
  <c r="U59" i="5"/>
  <c r="U67" i="5"/>
  <c r="V67" i="5" s="1"/>
  <c r="U75" i="5"/>
  <c r="V75" i="5" s="1"/>
  <c r="U83" i="5"/>
  <c r="V83" i="5" s="1"/>
  <c r="U91" i="5"/>
  <c r="U99" i="5"/>
  <c r="V99" i="5" s="1"/>
  <c r="U115" i="5"/>
  <c r="U78" i="5"/>
  <c r="V78" i="5" s="1"/>
  <c r="U110" i="5"/>
  <c r="V110" i="5" s="1"/>
  <c r="U112" i="5"/>
  <c r="V112" i="5" s="1"/>
  <c r="U44" i="5"/>
  <c r="V44" i="5" s="1"/>
  <c r="U52" i="5"/>
  <c r="V52" i="5" s="1"/>
  <c r="U60" i="5"/>
  <c r="U68" i="5"/>
  <c r="V68" i="5" s="1"/>
  <c r="U76" i="5"/>
  <c r="V76" i="5" s="1"/>
  <c r="U84" i="5"/>
  <c r="V84" i="5" s="1"/>
  <c r="U92" i="5"/>
  <c r="V92" i="5" s="1"/>
  <c r="U100" i="5"/>
  <c r="V100" i="5" s="1"/>
  <c r="U108" i="5"/>
  <c r="V108" i="5" s="1"/>
  <c r="U116" i="5"/>
  <c r="V116" i="5" s="1"/>
  <c r="U124" i="5"/>
  <c r="U62" i="5"/>
  <c r="V62" i="5" s="1"/>
  <c r="U102" i="5"/>
  <c r="V102" i="5" s="1"/>
  <c r="U128" i="5"/>
  <c r="V128" i="5" s="1"/>
  <c r="U45" i="5"/>
  <c r="V45" i="5" s="1"/>
  <c r="U53" i="5"/>
  <c r="V53" i="5" s="1"/>
  <c r="U61" i="5"/>
  <c r="V61" i="5" s="1"/>
  <c r="U69" i="5"/>
  <c r="V69" i="5" s="1"/>
  <c r="U77" i="5"/>
  <c r="U85" i="5"/>
  <c r="V85" i="5" s="1"/>
  <c r="U93" i="5"/>
  <c r="V93" i="5" s="1"/>
  <c r="U101" i="5"/>
  <c r="V101" i="5" s="1"/>
  <c r="U109" i="5"/>
  <c r="V109" i="5" s="1"/>
  <c r="U117" i="5"/>
  <c r="V117" i="5" s="1"/>
  <c r="U125" i="5"/>
  <c r="V125" i="5" s="1"/>
  <c r="U46" i="5"/>
  <c r="V46" i="5" s="1"/>
  <c r="U70" i="5"/>
  <c r="U94" i="5"/>
  <c r="U126" i="5"/>
  <c r="V126" i="5" s="1"/>
  <c r="U113" i="5"/>
  <c r="V113" i="5" s="1"/>
  <c r="R97" i="5"/>
  <c r="R89" i="5"/>
  <c r="R73" i="5"/>
  <c r="R57" i="5"/>
  <c r="R41" i="5"/>
  <c r="R25" i="5"/>
  <c r="R9" i="5"/>
  <c r="G8" i="6"/>
  <c r="X130" i="5"/>
  <c r="Y130" i="5" s="1"/>
  <c r="X134" i="5"/>
  <c r="Y134" i="5" s="1"/>
  <c r="X138" i="5"/>
  <c r="Y138" i="5" s="1"/>
  <c r="X142" i="5"/>
  <c r="Y142" i="5" s="1"/>
  <c r="X146" i="5"/>
  <c r="Y146" i="5" s="1"/>
  <c r="X150" i="5"/>
  <c r="Y150" i="5" s="1"/>
  <c r="X154" i="5"/>
  <c r="Y154" i="5" s="1"/>
  <c r="X158" i="5"/>
  <c r="Y158" i="5" s="1"/>
  <c r="X162" i="5"/>
  <c r="Y162" i="5" s="1"/>
  <c r="X166" i="5"/>
  <c r="Y166" i="5" s="1"/>
  <c r="X170" i="5"/>
  <c r="Y170" i="5" s="1"/>
  <c r="X174" i="5"/>
  <c r="Y174" i="5" s="1"/>
  <c r="X178" i="5"/>
  <c r="Y178" i="5" s="1"/>
  <c r="X182" i="5"/>
  <c r="Y182" i="5" s="1"/>
  <c r="X186" i="5"/>
  <c r="Y186" i="5" s="1"/>
  <c r="X190" i="5"/>
  <c r="Y190" i="5" s="1"/>
  <c r="X194" i="5"/>
  <c r="Y194" i="5" s="1"/>
  <c r="X198" i="5"/>
  <c r="Y198" i="5" s="1"/>
  <c r="X202" i="5"/>
  <c r="Y202" i="5" s="1"/>
  <c r="X206" i="5"/>
  <c r="Y206" i="5" s="1"/>
  <c r="X210" i="5"/>
  <c r="Y210" i="5" s="1"/>
  <c r="X214" i="5"/>
  <c r="Y214" i="5" s="1"/>
  <c r="X218" i="5"/>
  <c r="Y218" i="5" s="1"/>
  <c r="X222" i="5"/>
  <c r="Y222" i="5" s="1"/>
  <c r="X226" i="5"/>
  <c r="Y226" i="5" s="1"/>
  <c r="X230" i="5"/>
  <c r="Y230" i="5" s="1"/>
  <c r="X234" i="5"/>
  <c r="Y234" i="5" s="1"/>
  <c r="X238" i="5"/>
  <c r="Y238" i="5" s="1"/>
  <c r="X242" i="5"/>
  <c r="Y242" i="5" s="1"/>
  <c r="X220" i="5"/>
  <c r="Y220" i="5" s="1"/>
  <c r="X236" i="5"/>
  <c r="Y236" i="5" s="1"/>
  <c r="X131" i="5"/>
  <c r="Y131" i="5" s="1"/>
  <c r="X135" i="5"/>
  <c r="Y135" i="5" s="1"/>
  <c r="X139" i="5"/>
  <c r="Y139" i="5" s="1"/>
  <c r="X143" i="5"/>
  <c r="Y143" i="5" s="1"/>
  <c r="X147" i="5"/>
  <c r="Y147" i="5" s="1"/>
  <c r="X151" i="5"/>
  <c r="Y151" i="5" s="1"/>
  <c r="X155" i="5"/>
  <c r="Y155" i="5" s="1"/>
  <c r="X159" i="5"/>
  <c r="Y159" i="5" s="1"/>
  <c r="X163" i="5"/>
  <c r="Y163" i="5" s="1"/>
  <c r="X167" i="5"/>
  <c r="Y167" i="5" s="1"/>
  <c r="X171" i="5"/>
  <c r="Y171" i="5" s="1"/>
  <c r="X175" i="5"/>
  <c r="Y175" i="5" s="1"/>
  <c r="X179" i="5"/>
  <c r="Y179" i="5" s="1"/>
  <c r="X183" i="5"/>
  <c r="Y183" i="5" s="1"/>
  <c r="X187" i="5"/>
  <c r="Y187" i="5" s="1"/>
  <c r="X191" i="5"/>
  <c r="Y191" i="5" s="1"/>
  <c r="X195" i="5"/>
  <c r="Y195" i="5" s="1"/>
  <c r="X199" i="5"/>
  <c r="Y199" i="5" s="1"/>
  <c r="X203" i="5"/>
  <c r="Y203" i="5" s="1"/>
  <c r="X207" i="5"/>
  <c r="Y207" i="5" s="1"/>
  <c r="X211" i="5"/>
  <c r="Y211" i="5" s="1"/>
  <c r="X215" i="5"/>
  <c r="Y215" i="5" s="1"/>
  <c r="X219" i="5"/>
  <c r="Y219" i="5" s="1"/>
  <c r="X223" i="5"/>
  <c r="Y223" i="5" s="1"/>
  <c r="X227" i="5"/>
  <c r="Y227" i="5" s="1"/>
  <c r="X231" i="5"/>
  <c r="Y231" i="5" s="1"/>
  <c r="X235" i="5"/>
  <c r="Y235" i="5" s="1"/>
  <c r="X239" i="5"/>
  <c r="Y239" i="5" s="1"/>
  <c r="X243" i="5"/>
  <c r="Y243" i="5" s="1"/>
  <c r="X212" i="5"/>
  <c r="Y212" i="5" s="1"/>
  <c r="X232" i="5"/>
  <c r="Y232" i="5" s="1"/>
  <c r="X132" i="5"/>
  <c r="Y132" i="5" s="1"/>
  <c r="X136" i="5"/>
  <c r="Y136" i="5" s="1"/>
  <c r="X140" i="5"/>
  <c r="Y140" i="5" s="1"/>
  <c r="X144" i="5"/>
  <c r="Y144" i="5" s="1"/>
  <c r="X148" i="5"/>
  <c r="Y148" i="5" s="1"/>
  <c r="X152" i="5"/>
  <c r="Y152" i="5" s="1"/>
  <c r="X156" i="5"/>
  <c r="Y156" i="5" s="1"/>
  <c r="X160" i="5"/>
  <c r="Y160" i="5" s="1"/>
  <c r="X164" i="5"/>
  <c r="Y164" i="5" s="1"/>
  <c r="X168" i="5"/>
  <c r="Y168" i="5" s="1"/>
  <c r="X172" i="5"/>
  <c r="Y172" i="5" s="1"/>
  <c r="X176" i="5"/>
  <c r="Y176" i="5" s="1"/>
  <c r="X180" i="5"/>
  <c r="Y180" i="5" s="1"/>
  <c r="X184" i="5"/>
  <c r="Y184" i="5" s="1"/>
  <c r="X188" i="5"/>
  <c r="Y188" i="5" s="1"/>
  <c r="X192" i="5"/>
  <c r="Y192" i="5" s="1"/>
  <c r="X196" i="5"/>
  <c r="Y196" i="5" s="1"/>
  <c r="X200" i="5"/>
  <c r="Y200" i="5" s="1"/>
  <c r="X204" i="5"/>
  <c r="Y204" i="5" s="1"/>
  <c r="X208" i="5"/>
  <c r="Y208" i="5" s="1"/>
  <c r="X224" i="5"/>
  <c r="Y224" i="5" s="1"/>
  <c r="X240" i="5"/>
  <c r="Y240" i="5" s="1"/>
  <c r="X133" i="5"/>
  <c r="Y133" i="5" s="1"/>
  <c r="X137" i="5"/>
  <c r="Y137" i="5" s="1"/>
  <c r="X141" i="5"/>
  <c r="Y141" i="5" s="1"/>
  <c r="X145" i="5"/>
  <c r="Y145" i="5" s="1"/>
  <c r="X149" i="5"/>
  <c r="Y149" i="5" s="1"/>
  <c r="X153" i="5"/>
  <c r="Y153" i="5" s="1"/>
  <c r="X157" i="5"/>
  <c r="Y157" i="5" s="1"/>
  <c r="X161" i="5"/>
  <c r="Y161" i="5" s="1"/>
  <c r="X165" i="5"/>
  <c r="Y165" i="5" s="1"/>
  <c r="X169" i="5"/>
  <c r="Y169" i="5" s="1"/>
  <c r="X173" i="5"/>
  <c r="Y173" i="5" s="1"/>
  <c r="X177" i="5"/>
  <c r="Y177" i="5" s="1"/>
  <c r="X181" i="5"/>
  <c r="Y181" i="5" s="1"/>
  <c r="X185" i="5"/>
  <c r="Y185" i="5" s="1"/>
  <c r="X189" i="5"/>
  <c r="Y189" i="5" s="1"/>
  <c r="X193" i="5"/>
  <c r="Y193" i="5" s="1"/>
  <c r="X197" i="5"/>
  <c r="Y197" i="5" s="1"/>
  <c r="X201" i="5"/>
  <c r="Y201" i="5" s="1"/>
  <c r="X205" i="5"/>
  <c r="Y205" i="5" s="1"/>
  <c r="X209" i="5"/>
  <c r="Y209" i="5" s="1"/>
  <c r="X213" i="5"/>
  <c r="Y213" i="5" s="1"/>
  <c r="X217" i="5"/>
  <c r="Y217" i="5" s="1"/>
  <c r="X221" i="5"/>
  <c r="Y221" i="5" s="1"/>
  <c r="X225" i="5"/>
  <c r="Y225" i="5" s="1"/>
  <c r="X229" i="5"/>
  <c r="Y229" i="5" s="1"/>
  <c r="X233" i="5"/>
  <c r="Y233" i="5" s="1"/>
  <c r="X237" i="5"/>
  <c r="Y237" i="5" s="1"/>
  <c r="X241" i="5"/>
  <c r="Y241" i="5" s="1"/>
  <c r="X245" i="5"/>
  <c r="Y245" i="5" s="1"/>
  <c r="X216" i="5"/>
  <c r="Y216" i="5" s="1"/>
  <c r="X228" i="5"/>
  <c r="Y228" i="5" s="1"/>
  <c r="X244" i="5"/>
  <c r="Y244" i="5" s="1"/>
  <c r="G7" i="6"/>
  <c r="X39" i="5"/>
  <c r="Y39" i="5" s="1"/>
  <c r="X43" i="5"/>
  <c r="Y43" i="5" s="1"/>
  <c r="X47" i="5"/>
  <c r="Y47" i="5" s="1"/>
  <c r="X51" i="5"/>
  <c r="Y51" i="5" s="1"/>
  <c r="X55" i="5"/>
  <c r="Y55" i="5" s="1"/>
  <c r="X59" i="5"/>
  <c r="Y59" i="5" s="1"/>
  <c r="X63" i="5"/>
  <c r="Y63" i="5" s="1"/>
  <c r="X67" i="5"/>
  <c r="Y67" i="5" s="1"/>
  <c r="X71" i="5"/>
  <c r="Y71" i="5" s="1"/>
  <c r="X75" i="5"/>
  <c r="Y75" i="5" s="1"/>
  <c r="X79" i="5"/>
  <c r="Y79" i="5" s="1"/>
  <c r="X83" i="5"/>
  <c r="Y83" i="5" s="1"/>
  <c r="X87" i="5"/>
  <c r="Y87" i="5" s="1"/>
  <c r="X91" i="5"/>
  <c r="Y91" i="5" s="1"/>
  <c r="X95" i="5"/>
  <c r="Y95" i="5" s="1"/>
  <c r="X99" i="5"/>
  <c r="Y99" i="5" s="1"/>
  <c r="X103" i="5"/>
  <c r="Y103" i="5" s="1"/>
  <c r="X107" i="5"/>
  <c r="Y107" i="5" s="1"/>
  <c r="X111" i="5"/>
  <c r="Y111" i="5" s="1"/>
  <c r="X115" i="5"/>
  <c r="Y115" i="5" s="1"/>
  <c r="X119" i="5"/>
  <c r="Y119" i="5" s="1"/>
  <c r="X123" i="5"/>
  <c r="Y123" i="5" s="1"/>
  <c r="X127" i="5"/>
  <c r="Y127" i="5" s="1"/>
  <c r="X46" i="5"/>
  <c r="Y46" i="5" s="1"/>
  <c r="X58" i="5"/>
  <c r="Y58" i="5" s="1"/>
  <c r="X70" i="5"/>
  <c r="Y70" i="5" s="1"/>
  <c r="X82" i="5"/>
  <c r="Y82" i="5" s="1"/>
  <c r="X94" i="5"/>
  <c r="Y94" i="5" s="1"/>
  <c r="X110" i="5"/>
  <c r="Y110" i="5" s="1"/>
  <c r="X122" i="5"/>
  <c r="Y122" i="5" s="1"/>
  <c r="X40" i="5"/>
  <c r="Y40" i="5" s="1"/>
  <c r="X44" i="5"/>
  <c r="Y44" i="5" s="1"/>
  <c r="X48" i="5"/>
  <c r="Y48" i="5" s="1"/>
  <c r="X52" i="5"/>
  <c r="Y52" i="5" s="1"/>
  <c r="X56" i="5"/>
  <c r="Y56" i="5" s="1"/>
  <c r="X60" i="5"/>
  <c r="Y60" i="5" s="1"/>
  <c r="X64" i="5"/>
  <c r="Y64" i="5" s="1"/>
  <c r="X68" i="5"/>
  <c r="Y68" i="5" s="1"/>
  <c r="X72" i="5"/>
  <c r="Y72" i="5" s="1"/>
  <c r="X76" i="5"/>
  <c r="Y76" i="5" s="1"/>
  <c r="X80" i="5"/>
  <c r="Y80" i="5" s="1"/>
  <c r="X84" i="5"/>
  <c r="Y84" i="5" s="1"/>
  <c r="X88" i="5"/>
  <c r="Y88" i="5" s="1"/>
  <c r="X92" i="5"/>
  <c r="Y92" i="5" s="1"/>
  <c r="X96" i="5"/>
  <c r="Y96" i="5" s="1"/>
  <c r="X100" i="5"/>
  <c r="Y100" i="5" s="1"/>
  <c r="X104" i="5"/>
  <c r="Y104" i="5" s="1"/>
  <c r="X108" i="5"/>
  <c r="Y108" i="5" s="1"/>
  <c r="X112" i="5"/>
  <c r="Y112" i="5" s="1"/>
  <c r="X116" i="5"/>
  <c r="Y116" i="5" s="1"/>
  <c r="X120" i="5"/>
  <c r="Y120" i="5" s="1"/>
  <c r="X124" i="5"/>
  <c r="Y124" i="5" s="1"/>
  <c r="X128" i="5"/>
  <c r="Y128" i="5" s="1"/>
  <c r="X50" i="5"/>
  <c r="Y50" i="5" s="1"/>
  <c r="X62" i="5"/>
  <c r="Y62" i="5" s="1"/>
  <c r="X74" i="5"/>
  <c r="Y74" i="5" s="1"/>
  <c r="X86" i="5"/>
  <c r="Y86" i="5" s="1"/>
  <c r="X98" i="5"/>
  <c r="Y98" i="5" s="1"/>
  <c r="X106" i="5"/>
  <c r="Y106" i="5" s="1"/>
  <c r="X118" i="5"/>
  <c r="Y118" i="5" s="1"/>
  <c r="X41" i="5"/>
  <c r="Y41" i="5" s="1"/>
  <c r="X45" i="5"/>
  <c r="Y45" i="5" s="1"/>
  <c r="X49" i="5"/>
  <c r="Y49" i="5" s="1"/>
  <c r="X53" i="5"/>
  <c r="Y53" i="5" s="1"/>
  <c r="X57" i="5"/>
  <c r="Y57" i="5" s="1"/>
  <c r="X61" i="5"/>
  <c r="Y61" i="5" s="1"/>
  <c r="X65" i="5"/>
  <c r="Y65" i="5" s="1"/>
  <c r="X69" i="5"/>
  <c r="Y69" i="5" s="1"/>
  <c r="X73" i="5"/>
  <c r="Y73" i="5" s="1"/>
  <c r="X77" i="5"/>
  <c r="Y77" i="5" s="1"/>
  <c r="X81" i="5"/>
  <c r="Y81" i="5" s="1"/>
  <c r="X85" i="5"/>
  <c r="Y85" i="5" s="1"/>
  <c r="X89" i="5"/>
  <c r="Y89" i="5" s="1"/>
  <c r="X93" i="5"/>
  <c r="Y93" i="5" s="1"/>
  <c r="X97" i="5"/>
  <c r="Y97" i="5" s="1"/>
  <c r="X101" i="5"/>
  <c r="Y101" i="5" s="1"/>
  <c r="X105" i="5"/>
  <c r="Y105" i="5" s="1"/>
  <c r="X109" i="5"/>
  <c r="Y109" i="5" s="1"/>
  <c r="X113" i="5"/>
  <c r="Y113" i="5" s="1"/>
  <c r="X117" i="5"/>
  <c r="Y117" i="5" s="1"/>
  <c r="X121" i="5"/>
  <c r="Y121" i="5" s="1"/>
  <c r="X125" i="5"/>
  <c r="Y125" i="5" s="1"/>
  <c r="X129" i="5"/>
  <c r="Y129" i="5" s="1"/>
  <c r="X42" i="5"/>
  <c r="Y42" i="5" s="1"/>
  <c r="X54" i="5"/>
  <c r="Y54" i="5" s="1"/>
  <c r="X66" i="5"/>
  <c r="Y66" i="5" s="1"/>
  <c r="X78" i="5"/>
  <c r="Y78" i="5" s="1"/>
  <c r="X90" i="5"/>
  <c r="Y90" i="5" s="1"/>
  <c r="X102" i="5"/>
  <c r="Y102" i="5" s="1"/>
  <c r="X114" i="5"/>
  <c r="Y114" i="5" s="1"/>
  <c r="X126" i="5"/>
  <c r="Y126" i="5" s="1"/>
  <c r="G6" i="6"/>
  <c r="X10" i="5"/>
  <c r="Y10" i="5" s="1"/>
  <c r="X14" i="5"/>
  <c r="Y14" i="5" s="1"/>
  <c r="X18" i="5"/>
  <c r="Y18" i="5" s="1"/>
  <c r="X22" i="5"/>
  <c r="Y22" i="5" s="1"/>
  <c r="X26" i="5"/>
  <c r="Y26" i="5" s="1"/>
  <c r="X30" i="5"/>
  <c r="Y30" i="5" s="1"/>
  <c r="X34" i="5"/>
  <c r="Y34" i="5" s="1"/>
  <c r="X38" i="5"/>
  <c r="Y38" i="5" s="1"/>
  <c r="X7" i="5"/>
  <c r="Y7" i="5" s="1"/>
  <c r="X11" i="5"/>
  <c r="Y11" i="5" s="1"/>
  <c r="X15" i="5"/>
  <c r="Y15" i="5" s="1"/>
  <c r="X19" i="5"/>
  <c r="Y19" i="5" s="1"/>
  <c r="X23" i="5"/>
  <c r="Y23" i="5" s="1"/>
  <c r="X27" i="5"/>
  <c r="Y27" i="5" s="1"/>
  <c r="X31" i="5"/>
  <c r="Y31" i="5" s="1"/>
  <c r="X35" i="5"/>
  <c r="Y35" i="5" s="1"/>
  <c r="X8" i="5"/>
  <c r="Y8" i="5" s="1"/>
  <c r="X12" i="5"/>
  <c r="Y12" i="5" s="1"/>
  <c r="X16" i="5"/>
  <c r="Y16" i="5" s="1"/>
  <c r="X20" i="5"/>
  <c r="Y20" i="5" s="1"/>
  <c r="X24" i="5"/>
  <c r="Y24" i="5" s="1"/>
  <c r="X28" i="5"/>
  <c r="Y28" i="5" s="1"/>
  <c r="X32" i="5"/>
  <c r="Y32" i="5" s="1"/>
  <c r="X36" i="5"/>
  <c r="Y36" i="5" s="1"/>
  <c r="X9" i="5"/>
  <c r="Y9" i="5" s="1"/>
  <c r="X13" i="5"/>
  <c r="Y13" i="5" s="1"/>
  <c r="X17" i="5"/>
  <c r="Y17" i="5" s="1"/>
  <c r="X21" i="5"/>
  <c r="Y21" i="5" s="1"/>
  <c r="X25" i="5"/>
  <c r="Y25" i="5" s="1"/>
  <c r="X29" i="5"/>
  <c r="Y29" i="5" s="1"/>
  <c r="X33" i="5"/>
  <c r="Y33" i="5" s="1"/>
  <c r="X37" i="5"/>
  <c r="Y37" i="5" s="1"/>
  <c r="AI244" i="5"/>
  <c r="AI240" i="5"/>
  <c r="AI232" i="5"/>
  <c r="AI224" i="5"/>
  <c r="AI216" i="5"/>
  <c r="AI212" i="5"/>
  <c r="AI204" i="5"/>
  <c r="AI196" i="5"/>
  <c r="AI188" i="5"/>
  <c r="AI180" i="5"/>
  <c r="AI176" i="5"/>
  <c r="AI168" i="5"/>
  <c r="AI160" i="5"/>
  <c r="AI156" i="5"/>
  <c r="AI148" i="5"/>
  <c r="AI140" i="5"/>
  <c r="AI132" i="5"/>
  <c r="S128" i="5"/>
  <c r="AE128" i="5" s="1"/>
  <c r="AI128" i="5"/>
  <c r="S120" i="5"/>
  <c r="AE120" i="5" s="1"/>
  <c r="AI120" i="5"/>
  <c r="S112" i="5"/>
  <c r="AE112" i="5" s="1"/>
  <c r="AI112" i="5"/>
  <c r="S104" i="5"/>
  <c r="AE104" i="5" s="1"/>
  <c r="AI96" i="5"/>
  <c r="S96" i="5"/>
  <c r="AE96" i="5" s="1"/>
  <c r="AI88" i="5"/>
  <c r="S88" i="5"/>
  <c r="AE88" i="5" s="1"/>
  <c r="AI84" i="5"/>
  <c r="S84" i="5"/>
  <c r="AE84" i="5" s="1"/>
  <c r="AI80" i="5"/>
  <c r="S80" i="5"/>
  <c r="AE80" i="5" s="1"/>
  <c r="AI72" i="5"/>
  <c r="S72" i="5"/>
  <c r="AE72" i="5" s="1"/>
  <c r="AI68" i="5"/>
  <c r="S68" i="5"/>
  <c r="AE68" i="5" s="1"/>
  <c r="AI64" i="5"/>
  <c r="S64" i="5"/>
  <c r="AE64" i="5" s="1"/>
  <c r="AI56" i="5"/>
  <c r="S56" i="5"/>
  <c r="AE56" i="5" s="1"/>
  <c r="AI52" i="5"/>
  <c r="S52" i="5"/>
  <c r="AE52" i="5" s="1"/>
  <c r="AI48" i="5"/>
  <c r="S48" i="5"/>
  <c r="AE48" i="5" s="1"/>
  <c r="AI44" i="5"/>
  <c r="S44" i="5"/>
  <c r="AE44" i="5" s="1"/>
  <c r="AI40" i="5"/>
  <c r="S40" i="5"/>
  <c r="AE40" i="5" s="1"/>
  <c r="AI36" i="5"/>
  <c r="S36" i="5"/>
  <c r="AE36" i="5" s="1"/>
  <c r="AI32" i="5"/>
  <c r="S32" i="5"/>
  <c r="AE32" i="5" s="1"/>
  <c r="AI28" i="5"/>
  <c r="S28" i="5"/>
  <c r="AE28" i="5" s="1"/>
  <c r="AI24" i="5"/>
  <c r="S24" i="5"/>
  <c r="AE24" i="5" s="1"/>
  <c r="AI20" i="5"/>
  <c r="S20" i="5"/>
  <c r="AE20" i="5" s="1"/>
  <c r="AI16" i="5"/>
  <c r="S16" i="5"/>
  <c r="AE16" i="5" s="1"/>
  <c r="AI12" i="5"/>
  <c r="S12" i="5"/>
  <c r="AE12" i="5" s="1"/>
  <c r="AI243" i="5"/>
  <c r="AI235" i="5"/>
  <c r="AI231" i="5"/>
  <c r="AI223" i="5"/>
  <c r="AI215" i="5"/>
  <c r="AI211" i="5"/>
  <c r="AI203" i="5"/>
  <c r="AI195" i="5"/>
  <c r="AI187" i="5"/>
  <c r="AI179" i="5"/>
  <c r="AI171" i="5"/>
  <c r="AI163" i="5"/>
  <c r="AI155" i="5"/>
  <c r="AI151" i="5"/>
  <c r="AI143" i="5"/>
  <c r="AI139" i="5"/>
  <c r="AI131" i="5"/>
  <c r="S127" i="5"/>
  <c r="AE127" i="5" s="1"/>
  <c r="AI127" i="5"/>
  <c r="S119" i="5"/>
  <c r="AE119" i="5" s="1"/>
  <c r="AI119" i="5"/>
  <c r="S115" i="5"/>
  <c r="AE115" i="5" s="1"/>
  <c r="AI115" i="5"/>
  <c r="S111" i="5"/>
  <c r="AE111" i="5" s="1"/>
  <c r="AI111" i="5"/>
  <c r="S107" i="5"/>
  <c r="AE107" i="5" s="1"/>
  <c r="AI107" i="5"/>
  <c r="S103" i="5"/>
  <c r="AE103" i="5" s="1"/>
  <c r="AI103" i="5"/>
  <c r="S99" i="5"/>
  <c r="AE99" i="5" s="1"/>
  <c r="AI99" i="5"/>
  <c r="S95" i="5"/>
  <c r="AE95" i="5" s="1"/>
  <c r="AI95" i="5"/>
  <c r="S91" i="5"/>
  <c r="AE91" i="5" s="1"/>
  <c r="AI91" i="5"/>
  <c r="S83" i="5"/>
  <c r="AE83" i="5" s="1"/>
  <c r="AI83" i="5"/>
  <c r="S75" i="5"/>
  <c r="AE75" i="5" s="1"/>
  <c r="AI75" i="5"/>
  <c r="S67" i="5"/>
  <c r="AE67" i="5" s="1"/>
  <c r="AI67" i="5"/>
  <c r="S59" i="5"/>
  <c r="AE59" i="5" s="1"/>
  <c r="AI59" i="5"/>
  <c r="S55" i="5"/>
  <c r="AE55" i="5" s="1"/>
  <c r="AI55" i="5"/>
  <c r="S47" i="5"/>
  <c r="AE47" i="5" s="1"/>
  <c r="AI47" i="5"/>
  <c r="S39" i="5"/>
  <c r="AE39" i="5" s="1"/>
  <c r="AI39" i="5"/>
  <c r="S31" i="5"/>
  <c r="AE31" i="5" s="1"/>
  <c r="AI31" i="5"/>
  <c r="S23" i="5"/>
  <c r="AE23" i="5" s="1"/>
  <c r="AI23" i="5"/>
  <c r="S19" i="5"/>
  <c r="AE19" i="5" s="1"/>
  <c r="AI19" i="5"/>
  <c r="S11" i="5"/>
  <c r="AE11" i="5" s="1"/>
  <c r="AI11" i="5"/>
  <c r="AI242" i="5"/>
  <c r="AI238" i="5"/>
  <c r="AI234" i="5"/>
  <c r="AI230" i="5"/>
  <c r="AI226" i="5"/>
  <c r="AI222" i="5"/>
  <c r="AI218" i="5"/>
  <c r="AI214" i="5"/>
  <c r="AI210" i="5"/>
  <c r="AI206" i="5"/>
  <c r="AI202" i="5"/>
  <c r="AI198" i="5"/>
  <c r="AI194" i="5"/>
  <c r="AI190" i="5"/>
  <c r="AI186" i="5"/>
  <c r="AI182" i="5"/>
  <c r="AI178" i="5"/>
  <c r="AI174" i="5"/>
  <c r="AI170" i="5"/>
  <c r="AI166" i="5"/>
  <c r="AI162" i="5"/>
  <c r="AI158" i="5"/>
  <c r="AI154" i="5"/>
  <c r="AI150" i="5"/>
  <c r="AI146" i="5"/>
  <c r="AI142" i="5"/>
  <c r="AI138" i="5"/>
  <c r="AI134" i="5"/>
  <c r="AI130" i="5"/>
  <c r="S126" i="5"/>
  <c r="AE126" i="5" s="1"/>
  <c r="AI126" i="5"/>
  <c r="S122" i="5"/>
  <c r="AE122" i="5" s="1"/>
  <c r="AI122" i="5"/>
  <c r="S118" i="5"/>
  <c r="AE118" i="5" s="1"/>
  <c r="AI118" i="5"/>
  <c r="S114" i="5"/>
  <c r="AE114" i="5" s="1"/>
  <c r="AI114" i="5"/>
  <c r="S110" i="5"/>
  <c r="AE110" i="5" s="1"/>
  <c r="AI110" i="5"/>
  <c r="S106" i="5"/>
  <c r="AE106" i="5" s="1"/>
  <c r="AI106" i="5"/>
  <c r="S102" i="5"/>
  <c r="AE102" i="5" s="1"/>
  <c r="S98" i="5"/>
  <c r="AE98" i="5" s="1"/>
  <c r="AI98" i="5"/>
  <c r="S94" i="5"/>
  <c r="AE94" i="5" s="1"/>
  <c r="AI94" i="5"/>
  <c r="S90" i="5"/>
  <c r="AE90" i="5" s="1"/>
  <c r="AI90" i="5"/>
  <c r="S86" i="5"/>
  <c r="AE86" i="5" s="1"/>
  <c r="AI86" i="5"/>
  <c r="S82" i="5"/>
  <c r="AE82" i="5" s="1"/>
  <c r="AI82" i="5"/>
  <c r="S78" i="5"/>
  <c r="AE78" i="5" s="1"/>
  <c r="AI78" i="5"/>
  <c r="S74" i="5"/>
  <c r="AE74" i="5" s="1"/>
  <c r="AI74" i="5"/>
  <c r="S70" i="5"/>
  <c r="AE70" i="5" s="1"/>
  <c r="AI70" i="5"/>
  <c r="S66" i="5"/>
  <c r="AE66" i="5" s="1"/>
  <c r="AI66" i="5"/>
  <c r="S62" i="5"/>
  <c r="AE62" i="5" s="1"/>
  <c r="AI62" i="5"/>
  <c r="S58" i="5"/>
  <c r="AE58" i="5" s="1"/>
  <c r="AI58" i="5"/>
  <c r="S54" i="5"/>
  <c r="AE54" i="5" s="1"/>
  <c r="AI54" i="5"/>
  <c r="S50" i="5"/>
  <c r="AE50" i="5" s="1"/>
  <c r="AI50" i="5"/>
  <c r="S46" i="5"/>
  <c r="AE46" i="5" s="1"/>
  <c r="AI46" i="5"/>
  <c r="S42" i="5"/>
  <c r="AE42" i="5" s="1"/>
  <c r="AI42" i="5"/>
  <c r="S38" i="5"/>
  <c r="AE38" i="5" s="1"/>
  <c r="AI38" i="5"/>
  <c r="S34" i="5"/>
  <c r="AE34" i="5" s="1"/>
  <c r="AI34" i="5"/>
  <c r="S30" i="5"/>
  <c r="AE30" i="5" s="1"/>
  <c r="AI30" i="5"/>
  <c r="S26" i="5"/>
  <c r="AE26" i="5" s="1"/>
  <c r="AI26" i="5"/>
  <c r="S22" i="5"/>
  <c r="AE22" i="5" s="1"/>
  <c r="AI22" i="5"/>
  <c r="S18" i="5"/>
  <c r="AE18" i="5" s="1"/>
  <c r="AI18" i="5"/>
  <c r="S14" i="5"/>
  <c r="AE14" i="5" s="1"/>
  <c r="AI14" i="5"/>
  <c r="S10" i="5"/>
  <c r="AE10" i="5" s="1"/>
  <c r="AI10" i="5"/>
  <c r="AI236" i="5"/>
  <c r="AI228" i="5"/>
  <c r="AI220" i="5"/>
  <c r="AI208" i="5"/>
  <c r="AI200" i="5"/>
  <c r="AI192" i="5"/>
  <c r="AI184" i="5"/>
  <c r="AI172" i="5"/>
  <c r="AI164" i="5"/>
  <c r="AI152" i="5"/>
  <c r="AI144" i="5"/>
  <c r="AI136" i="5"/>
  <c r="S124" i="5"/>
  <c r="AE124" i="5" s="1"/>
  <c r="AI124" i="5"/>
  <c r="S116" i="5"/>
  <c r="AE116" i="5" s="1"/>
  <c r="AI116" i="5"/>
  <c r="S108" i="5"/>
  <c r="AE108" i="5" s="1"/>
  <c r="AI108" i="5"/>
  <c r="AI100" i="5"/>
  <c r="S100" i="5"/>
  <c r="AE100" i="5" s="1"/>
  <c r="AI92" i="5"/>
  <c r="S92" i="5"/>
  <c r="AE92" i="5" s="1"/>
  <c r="AI76" i="5"/>
  <c r="S76" i="5"/>
  <c r="AE76" i="5" s="1"/>
  <c r="AI60" i="5"/>
  <c r="S60" i="5"/>
  <c r="AE60" i="5" s="1"/>
  <c r="AI8" i="5"/>
  <c r="S8" i="5"/>
  <c r="AE8" i="5" s="1"/>
  <c r="AI239" i="5"/>
  <c r="AI227" i="5"/>
  <c r="AI219" i="5"/>
  <c r="AI207" i="5"/>
  <c r="AI199" i="5"/>
  <c r="AI191" i="5"/>
  <c r="AI183" i="5"/>
  <c r="AI175" i="5"/>
  <c r="AI167" i="5"/>
  <c r="AI159" i="5"/>
  <c r="AI147" i="5"/>
  <c r="AI135" i="5"/>
  <c r="S123" i="5"/>
  <c r="AE123" i="5" s="1"/>
  <c r="AI123" i="5"/>
  <c r="S87" i="5"/>
  <c r="AE87" i="5" s="1"/>
  <c r="AI87" i="5"/>
  <c r="S79" i="5"/>
  <c r="AE79" i="5" s="1"/>
  <c r="AI79" i="5"/>
  <c r="S71" i="5"/>
  <c r="AE71" i="5" s="1"/>
  <c r="AI71" i="5"/>
  <c r="S63" i="5"/>
  <c r="AE63" i="5" s="1"/>
  <c r="AI63" i="5"/>
  <c r="S51" i="5"/>
  <c r="AE51" i="5" s="1"/>
  <c r="AI51" i="5"/>
  <c r="S43" i="5"/>
  <c r="AE43" i="5" s="1"/>
  <c r="AI43" i="5"/>
  <c r="S35" i="5"/>
  <c r="AE35" i="5" s="1"/>
  <c r="AI35" i="5"/>
  <c r="S27" i="5"/>
  <c r="AE27" i="5" s="1"/>
  <c r="AI27" i="5"/>
  <c r="S15" i="5"/>
  <c r="AE15" i="5" s="1"/>
  <c r="AI15" i="5"/>
  <c r="S7" i="5"/>
  <c r="AE7" i="5" s="1"/>
  <c r="AI7" i="5"/>
  <c r="AI245" i="5"/>
  <c r="AI241" i="5"/>
  <c r="AI237" i="5"/>
  <c r="AI233" i="5"/>
  <c r="AI229" i="5"/>
  <c r="AI225" i="5"/>
  <c r="AI221" i="5"/>
  <c r="AI217" i="5"/>
  <c r="AI213" i="5"/>
  <c r="AI209" i="5"/>
  <c r="AI205" i="5"/>
  <c r="AI201" i="5"/>
  <c r="AI197" i="5"/>
  <c r="AI193" i="5"/>
  <c r="AI189" i="5"/>
  <c r="AI185" i="5"/>
  <c r="AI181" i="5"/>
  <c r="AI177" i="5"/>
  <c r="AI173" i="5"/>
  <c r="AI169" i="5"/>
  <c r="AI165" i="5"/>
  <c r="AI161" i="5"/>
  <c r="AI157" i="5"/>
  <c r="AI153" i="5"/>
  <c r="AI149" i="5"/>
  <c r="AI145" i="5"/>
  <c r="AI141" i="5"/>
  <c r="AI137" i="5"/>
  <c r="AI133" i="5"/>
  <c r="S129" i="5"/>
  <c r="AE129" i="5" s="1"/>
  <c r="AI129" i="5"/>
  <c r="S125" i="5"/>
  <c r="AE125" i="5" s="1"/>
  <c r="AI125" i="5"/>
  <c r="AI121" i="5"/>
  <c r="S121" i="5"/>
  <c r="AE121" i="5" s="1"/>
  <c r="S117" i="5"/>
  <c r="AE117" i="5" s="1"/>
  <c r="AI117" i="5"/>
  <c r="S113" i="5"/>
  <c r="AE113" i="5" s="1"/>
  <c r="AI113" i="5"/>
  <c r="S109" i="5"/>
  <c r="AE109" i="5" s="1"/>
  <c r="AI109" i="5"/>
  <c r="S105" i="5"/>
  <c r="AE105" i="5" s="1"/>
  <c r="AI101" i="5"/>
  <c r="S101" i="5"/>
  <c r="AE101" i="5" s="1"/>
  <c r="AI97" i="5"/>
  <c r="S97" i="5"/>
  <c r="AE97" i="5" s="1"/>
  <c r="AI93" i="5"/>
  <c r="S93" i="5"/>
  <c r="AE93" i="5" s="1"/>
  <c r="AI89" i="5"/>
  <c r="S89" i="5"/>
  <c r="AE89" i="5" s="1"/>
  <c r="AI85" i="5"/>
  <c r="S85" i="5"/>
  <c r="AE85" i="5" s="1"/>
  <c r="AI81" i="5"/>
  <c r="S81" i="5"/>
  <c r="AE81" i="5" s="1"/>
  <c r="AI77" i="5"/>
  <c r="S77" i="5"/>
  <c r="AE77" i="5" s="1"/>
  <c r="AI73" i="5"/>
  <c r="S73" i="5"/>
  <c r="AE73" i="5" s="1"/>
  <c r="AI69" i="5"/>
  <c r="S69" i="5"/>
  <c r="AE69" i="5" s="1"/>
  <c r="AI65" i="5"/>
  <c r="S65" i="5"/>
  <c r="AE65" i="5" s="1"/>
  <c r="AI61" i="5"/>
  <c r="S61" i="5"/>
  <c r="AE61" i="5" s="1"/>
  <c r="AI57" i="5"/>
  <c r="S57" i="5"/>
  <c r="AE57" i="5" s="1"/>
  <c r="AI53" i="5"/>
  <c r="S53" i="5"/>
  <c r="AE53" i="5" s="1"/>
  <c r="AI49" i="5"/>
  <c r="S49" i="5"/>
  <c r="AE49" i="5" s="1"/>
  <c r="AI45" i="5"/>
  <c r="S45" i="5"/>
  <c r="AE45" i="5" s="1"/>
  <c r="AI41" i="5"/>
  <c r="S41" i="5"/>
  <c r="AE41" i="5" s="1"/>
  <c r="AI37" i="5"/>
  <c r="S37" i="5"/>
  <c r="AE37" i="5" s="1"/>
  <c r="AI33" i="5"/>
  <c r="S33" i="5"/>
  <c r="AE33" i="5" s="1"/>
  <c r="AI29" i="5"/>
  <c r="S29" i="5"/>
  <c r="AE29" i="5" s="1"/>
  <c r="AI25" i="5"/>
  <c r="S25" i="5"/>
  <c r="AE25" i="5" s="1"/>
  <c r="AI21" i="5"/>
  <c r="S21" i="5"/>
  <c r="AE21" i="5" s="1"/>
  <c r="AI17" i="5"/>
  <c r="S17" i="5"/>
  <c r="AE17" i="5" s="1"/>
  <c r="AI13" i="5"/>
  <c r="S13" i="5"/>
  <c r="AE13" i="5" s="1"/>
  <c r="AI9" i="5"/>
  <c r="S9" i="5"/>
  <c r="AE9" i="5" s="1"/>
  <c r="R198" i="5"/>
  <c r="R182" i="5"/>
  <c r="R166" i="5"/>
  <c r="R150" i="5"/>
  <c r="R134" i="5"/>
  <c r="R118" i="5"/>
  <c r="R62" i="5"/>
  <c r="R30" i="5"/>
  <c r="W244" i="5"/>
  <c r="W240" i="5"/>
  <c r="W236" i="5"/>
  <c r="W232" i="5"/>
  <c r="W228" i="5"/>
  <c r="W224" i="5"/>
  <c r="W220" i="5"/>
  <c r="W216" i="5"/>
  <c r="W212" i="5"/>
  <c r="AD212" i="5" s="1"/>
  <c r="W208" i="5"/>
  <c r="W204" i="5"/>
  <c r="W200" i="5"/>
  <c r="W196" i="5"/>
  <c r="W192" i="5"/>
  <c r="W188" i="5"/>
  <c r="AD188" i="5" s="1"/>
  <c r="W184" i="5"/>
  <c r="W180" i="5"/>
  <c r="W176" i="5"/>
  <c r="W172" i="5"/>
  <c r="W168" i="5"/>
  <c r="W164" i="5"/>
  <c r="W160" i="5"/>
  <c r="W156" i="5"/>
  <c r="AD156" i="5" s="1"/>
  <c r="W152" i="5"/>
  <c r="W148" i="5"/>
  <c r="W144" i="5"/>
  <c r="W140" i="5"/>
  <c r="W136" i="5"/>
  <c r="W132" i="5"/>
  <c r="W128" i="5"/>
  <c r="W124" i="5"/>
  <c r="W120" i="5"/>
  <c r="W116" i="5"/>
  <c r="AD116" i="5" s="1"/>
  <c r="W112" i="5"/>
  <c r="W108" i="5"/>
  <c r="AD108" i="5" s="1"/>
  <c r="W104" i="5"/>
  <c r="W100" i="5"/>
  <c r="W96" i="5"/>
  <c r="W92" i="5"/>
  <c r="W88" i="5"/>
  <c r="W84" i="5"/>
  <c r="AD84" i="5" s="1"/>
  <c r="W80" i="5"/>
  <c r="W76" i="5"/>
  <c r="AD76" i="5" s="1"/>
  <c r="W72" i="5"/>
  <c r="W68" i="5"/>
  <c r="W64" i="5"/>
  <c r="W60" i="5"/>
  <c r="W56" i="5"/>
  <c r="W52" i="5"/>
  <c r="W48" i="5"/>
  <c r="W44" i="5"/>
  <c r="AD44" i="5" s="1"/>
  <c r="W40" i="5"/>
  <c r="W36" i="5"/>
  <c r="W32" i="5"/>
  <c r="W28" i="5"/>
  <c r="W24" i="5"/>
  <c r="W20" i="5"/>
  <c r="W16" i="5"/>
  <c r="W12" i="5"/>
  <c r="W8" i="5"/>
  <c r="V98" i="5"/>
  <c r="V38" i="5"/>
  <c r="V30" i="5"/>
  <c r="V22" i="5"/>
  <c r="V129" i="5"/>
  <c r="V77" i="5"/>
  <c r="V41" i="5"/>
  <c r="V33" i="5"/>
  <c r="V25" i="5"/>
  <c r="V17" i="5"/>
  <c r="V9" i="5"/>
  <c r="V118" i="5"/>
  <c r="V94" i="5"/>
  <c r="V70" i="5"/>
  <c r="V10" i="5"/>
  <c r="V124" i="5"/>
  <c r="V60" i="5"/>
  <c r="V40" i="5"/>
  <c r="V36" i="5"/>
  <c r="R245" i="5"/>
  <c r="R241" i="5"/>
  <c r="R237" i="5"/>
  <c r="R233" i="5"/>
  <c r="R229" i="5"/>
  <c r="R225" i="5"/>
  <c r="R221" i="5"/>
  <c r="R217" i="5"/>
  <c r="R213" i="5"/>
  <c r="R209" i="5"/>
  <c r="R205" i="5"/>
  <c r="R201" i="5"/>
  <c r="R197" i="5"/>
  <c r="V115" i="5"/>
  <c r="V95" i="5"/>
  <c r="V91" i="5"/>
  <c r="V59" i="5"/>
  <c r="V27" i="5"/>
  <c r="V23" i="5"/>
  <c r="V19" i="5"/>
  <c r="V15" i="5"/>
  <c r="V11" i="5"/>
  <c r="V7" i="5"/>
  <c r="W6" i="5"/>
  <c r="W243" i="5"/>
  <c r="W239" i="5"/>
  <c r="W235" i="5"/>
  <c r="W231" i="5"/>
  <c r="W227" i="5"/>
  <c r="W223" i="5"/>
  <c r="W219" i="5"/>
  <c r="W215" i="5"/>
  <c r="AD215" i="5" s="1"/>
  <c r="W211" i="5"/>
  <c r="W207" i="5"/>
  <c r="W203" i="5"/>
  <c r="W199" i="5"/>
  <c r="W195" i="5"/>
  <c r="W191" i="5"/>
  <c r="W187" i="5"/>
  <c r="W183" i="5"/>
  <c r="AD183" i="5" s="1"/>
  <c r="W179" i="5"/>
  <c r="W175" i="5"/>
  <c r="W171" i="5"/>
  <c r="W167" i="5"/>
  <c r="W163" i="5"/>
  <c r="W159" i="5"/>
  <c r="W155" i="5"/>
  <c r="W151" i="5"/>
  <c r="AD151" i="5" s="1"/>
  <c r="W147" i="5"/>
  <c r="W143" i="5"/>
  <c r="W139" i="5"/>
  <c r="W135" i="5"/>
  <c r="W131" i="5"/>
  <c r="W127" i="5"/>
  <c r="W123" i="5"/>
  <c r="W119" i="5"/>
  <c r="W115" i="5"/>
  <c r="W111" i="5"/>
  <c r="W107" i="5"/>
  <c r="W103" i="5"/>
  <c r="W99" i="5"/>
  <c r="AD99" i="5" s="1"/>
  <c r="W95" i="5"/>
  <c r="W91" i="5"/>
  <c r="W87" i="5"/>
  <c r="W83" i="5"/>
  <c r="W79" i="5"/>
  <c r="W75" i="5"/>
  <c r="W71" i="5"/>
  <c r="W67" i="5"/>
  <c r="AD67" i="5" s="1"/>
  <c r="W63" i="5"/>
  <c r="W59" i="5"/>
  <c r="W55" i="5"/>
  <c r="W51" i="5"/>
  <c r="W47" i="5"/>
  <c r="W43" i="5"/>
  <c r="W39" i="5"/>
  <c r="W35" i="5"/>
  <c r="W31" i="5"/>
  <c r="W27" i="5"/>
  <c r="W23" i="5"/>
  <c r="W19" i="5"/>
  <c r="W15" i="5"/>
  <c r="W11" i="5"/>
  <c r="W7" i="5"/>
  <c r="W242" i="5"/>
  <c r="AD242" i="5" s="1"/>
  <c r="W238" i="5"/>
  <c r="W234" i="5"/>
  <c r="W230" i="5"/>
  <c r="W226" i="5"/>
  <c r="W222" i="5"/>
  <c r="W218" i="5"/>
  <c r="W214" i="5"/>
  <c r="W210" i="5"/>
  <c r="AD210" i="5" s="1"/>
  <c r="W206" i="5"/>
  <c r="W202" i="5"/>
  <c r="W198" i="5"/>
  <c r="W194" i="5"/>
  <c r="AD194" i="5" s="1"/>
  <c r="W190" i="5"/>
  <c r="W186" i="5"/>
  <c r="W182" i="5"/>
  <c r="W178" i="5"/>
  <c r="AD178" i="5" s="1"/>
  <c r="W174" i="5"/>
  <c r="W170" i="5"/>
  <c r="W166" i="5"/>
  <c r="W162" i="5"/>
  <c r="AD162" i="5" s="1"/>
  <c r="W158" i="5"/>
  <c r="W154" i="5"/>
  <c r="W150" i="5"/>
  <c r="W146" i="5"/>
  <c r="AD146" i="5" s="1"/>
  <c r="W142" i="5"/>
  <c r="W138" i="5"/>
  <c r="W134" i="5"/>
  <c r="W130" i="5"/>
  <c r="AD130" i="5" s="1"/>
  <c r="W126" i="5"/>
  <c r="W122" i="5"/>
  <c r="W118" i="5"/>
  <c r="W114" i="5"/>
  <c r="W110" i="5"/>
  <c r="W106" i="5"/>
  <c r="W102" i="5"/>
  <c r="W98" i="5"/>
  <c r="W94" i="5"/>
  <c r="W90" i="5"/>
  <c r="AD90" i="5" s="1"/>
  <c r="W86" i="5"/>
  <c r="W82" i="5"/>
  <c r="W78" i="5"/>
  <c r="W74" i="5"/>
  <c r="AD74" i="5" s="1"/>
  <c r="W70" i="5"/>
  <c r="W66" i="5"/>
  <c r="W62" i="5"/>
  <c r="W58" i="5"/>
  <c r="W54" i="5"/>
  <c r="W50" i="5"/>
  <c r="W46" i="5"/>
  <c r="AD46" i="5" s="1"/>
  <c r="W42" i="5"/>
  <c r="W38" i="5"/>
  <c r="W34" i="5"/>
  <c r="W30" i="5"/>
  <c r="W26" i="5"/>
  <c r="W22" i="5"/>
  <c r="W18" i="5"/>
  <c r="W14" i="5"/>
  <c r="W10" i="5"/>
  <c r="W245" i="5"/>
  <c r="W241" i="5"/>
  <c r="W237" i="5"/>
  <c r="W233" i="5"/>
  <c r="W229" i="5"/>
  <c r="AD229" i="5" s="1"/>
  <c r="W225" i="5"/>
  <c r="W221" i="5"/>
  <c r="W217" i="5"/>
  <c r="W213" i="5"/>
  <c r="W209" i="5"/>
  <c r="W205" i="5"/>
  <c r="W201" i="5"/>
  <c r="W197" i="5"/>
  <c r="AD197" i="5" s="1"/>
  <c r="W193" i="5"/>
  <c r="W189" i="5"/>
  <c r="W185" i="5"/>
  <c r="W181" i="5"/>
  <c r="W177" i="5"/>
  <c r="W173" i="5"/>
  <c r="W169" i="5"/>
  <c r="W165" i="5"/>
  <c r="AD165" i="5" s="1"/>
  <c r="W161" i="5"/>
  <c r="W157" i="5"/>
  <c r="W153" i="5"/>
  <c r="W149" i="5"/>
  <c r="W145" i="5"/>
  <c r="W141" i="5"/>
  <c r="W137" i="5"/>
  <c r="W133" i="5"/>
  <c r="AD133" i="5" s="1"/>
  <c r="W129" i="5"/>
  <c r="W125" i="5"/>
  <c r="W121" i="5"/>
  <c r="W117" i="5"/>
  <c r="W113" i="5"/>
  <c r="W109" i="5"/>
  <c r="W105" i="5"/>
  <c r="W101" i="5"/>
  <c r="W97" i="5"/>
  <c r="W93" i="5"/>
  <c r="W89" i="5"/>
  <c r="W85" i="5"/>
  <c r="W81" i="5"/>
  <c r="W77" i="5"/>
  <c r="W73" i="5"/>
  <c r="W69" i="5"/>
  <c r="W65" i="5"/>
  <c r="W61" i="5"/>
  <c r="W57" i="5"/>
  <c r="W53" i="5"/>
  <c r="W49" i="5"/>
  <c r="W45" i="5"/>
  <c r="W41" i="5"/>
  <c r="W37" i="5"/>
  <c r="W33" i="5"/>
  <c r="W29" i="5"/>
  <c r="W25" i="5"/>
  <c r="W21" i="5"/>
  <c r="W17" i="5"/>
  <c r="W13" i="5"/>
  <c r="W9" i="5"/>
  <c r="R246" i="5"/>
  <c r="R234" i="5"/>
  <c r="R230" i="5"/>
  <c r="R218" i="5"/>
  <c r="R214" i="5"/>
  <c r="R202" i="5"/>
  <c r="R240" i="5"/>
  <c r="R224" i="5"/>
  <c r="R208" i="5"/>
  <c r="R192" i="5"/>
  <c r="R176" i="5"/>
  <c r="R160" i="5"/>
  <c r="R144" i="5"/>
  <c r="R128" i="5"/>
  <c r="R112" i="5"/>
  <c r="R96" i="5"/>
  <c r="R186" i="5"/>
  <c r="R170" i="5"/>
  <c r="R154" i="5"/>
  <c r="R138" i="5"/>
  <c r="R122" i="5"/>
  <c r="R106" i="5"/>
  <c r="R102" i="5"/>
  <c r="R90" i="5"/>
  <c r="R86" i="5"/>
  <c r="R78" i="5"/>
  <c r="R70" i="5"/>
  <c r="R54" i="5"/>
  <c r="R46" i="5"/>
  <c r="R38" i="5"/>
  <c r="R22" i="5"/>
  <c r="R14" i="5"/>
  <c r="R193" i="5"/>
  <c r="R189" i="5"/>
  <c r="R185" i="5"/>
  <c r="R181" i="5"/>
  <c r="R177" i="5"/>
  <c r="R173" i="5"/>
  <c r="R169" i="5"/>
  <c r="R161" i="5"/>
  <c r="R157" i="5"/>
  <c r="R153" i="5"/>
  <c r="R149" i="5"/>
  <c r="R145" i="5"/>
  <c r="R141" i="5"/>
  <c r="R137" i="5"/>
  <c r="R129" i="5"/>
  <c r="R125" i="5"/>
  <c r="R121" i="5"/>
  <c r="R117" i="5"/>
  <c r="R113" i="5"/>
  <c r="R109" i="5"/>
  <c r="R105" i="5"/>
  <c r="R101" i="5"/>
  <c r="R81" i="5"/>
  <c r="R77" i="5"/>
  <c r="R65" i="5"/>
  <c r="R61" i="5"/>
  <c r="R49" i="5"/>
  <c r="R45" i="5"/>
  <c r="R33" i="5"/>
  <c r="R29" i="5"/>
  <c r="R17" i="5"/>
  <c r="R13" i="5"/>
  <c r="R188" i="5"/>
  <c r="R172" i="5"/>
  <c r="R156" i="5"/>
  <c r="R140" i="5"/>
  <c r="R124" i="5"/>
  <c r="R108" i="5"/>
  <c r="R92" i="5"/>
  <c r="R98" i="5"/>
  <c r="R94" i="5"/>
  <c r="R82" i="5"/>
  <c r="R74" i="5"/>
  <c r="R66" i="5"/>
  <c r="R58" i="5"/>
  <c r="R50" i="5"/>
  <c r="R42" i="5"/>
  <c r="R34" i="5"/>
  <c r="R26" i="5"/>
  <c r="R18" i="5"/>
  <c r="R10" i="5"/>
  <c r="R236" i="5"/>
  <c r="R220" i="5"/>
  <c r="R204" i="5"/>
  <c r="R239" i="5"/>
  <c r="R227" i="5"/>
  <c r="R242" i="5"/>
  <c r="R238" i="5"/>
  <c r="R226" i="5"/>
  <c r="R222" i="5"/>
  <c r="R210" i="5"/>
  <c r="R206" i="5"/>
  <c r="R194" i="5"/>
  <c r="R190" i="5"/>
  <c r="R178" i="5"/>
  <c r="R174" i="5"/>
  <c r="R162" i="5"/>
  <c r="R158" i="5"/>
  <c r="R146" i="5"/>
  <c r="R142" i="5"/>
  <c r="R130" i="5"/>
  <c r="R126" i="5"/>
  <c r="R114" i="5"/>
  <c r="R110" i="5"/>
  <c r="R243" i="5"/>
  <c r="R235" i="5"/>
  <c r="R231" i="5"/>
  <c r="R244" i="5"/>
  <c r="R232" i="5"/>
  <c r="R228" i="5"/>
  <c r="R216" i="5"/>
  <c r="R212" i="5"/>
  <c r="R200" i="5"/>
  <c r="R196" i="5"/>
  <c r="R184" i="5"/>
  <c r="R180" i="5"/>
  <c r="R168" i="5"/>
  <c r="R164" i="5"/>
  <c r="R152" i="5"/>
  <c r="R148" i="5"/>
  <c r="R136" i="5"/>
  <c r="R132" i="5"/>
  <c r="R120" i="5"/>
  <c r="R116" i="5"/>
  <c r="R104" i="5"/>
  <c r="R100" i="5"/>
  <c r="R88" i="5"/>
  <c r="R84" i="5"/>
  <c r="R80" i="5"/>
  <c r="R76" i="5"/>
  <c r="R72" i="5"/>
  <c r="R68" i="5"/>
  <c r="R64" i="5"/>
  <c r="R60" i="5"/>
  <c r="R56" i="5"/>
  <c r="R52" i="5"/>
  <c r="R48" i="5"/>
  <c r="R44" i="5"/>
  <c r="R40" i="5"/>
  <c r="R36" i="5"/>
  <c r="R32" i="5"/>
  <c r="R28" i="5"/>
  <c r="R24" i="5"/>
  <c r="R20" i="5"/>
  <c r="R16" i="5"/>
  <c r="R12" i="5"/>
  <c r="R8" i="5"/>
  <c r="R223" i="5"/>
  <c r="R219" i="5"/>
  <c r="R215" i="5"/>
  <c r="R211" i="5"/>
  <c r="R207" i="5"/>
  <c r="R203" i="5"/>
  <c r="R199" i="5"/>
  <c r="R195" i="5"/>
  <c r="R191" i="5"/>
  <c r="R187" i="5"/>
  <c r="R183" i="5"/>
  <c r="R179" i="5"/>
  <c r="R175" i="5"/>
  <c r="R171" i="5"/>
  <c r="R167" i="5"/>
  <c r="R163" i="5"/>
  <c r="R159" i="5"/>
  <c r="R155" i="5"/>
  <c r="R151" i="5"/>
  <c r="R147" i="5"/>
  <c r="R143" i="5"/>
  <c r="R139" i="5"/>
  <c r="R135" i="5"/>
  <c r="R131" i="5"/>
  <c r="R127" i="5"/>
  <c r="R123" i="5"/>
  <c r="R119" i="5"/>
  <c r="R115" i="5"/>
  <c r="R111" i="5"/>
  <c r="R107" i="5"/>
  <c r="R103" i="5"/>
  <c r="R99" i="5"/>
  <c r="R95" i="5"/>
  <c r="R91" i="5"/>
  <c r="R87" i="5"/>
  <c r="R83" i="5"/>
  <c r="R79" i="5"/>
  <c r="R75" i="5"/>
  <c r="R71" i="5"/>
  <c r="R67" i="5"/>
  <c r="R63" i="5"/>
  <c r="R59" i="5"/>
  <c r="R55" i="5"/>
  <c r="R51" i="5"/>
  <c r="R47" i="5"/>
  <c r="R43" i="5"/>
  <c r="R39" i="5"/>
  <c r="R35" i="5"/>
  <c r="R31" i="5"/>
  <c r="R27" i="5"/>
  <c r="R23" i="5"/>
  <c r="R19" i="5"/>
  <c r="R15" i="5"/>
  <c r="R11" i="5"/>
  <c r="R7" i="5"/>
  <c r="R6" i="5"/>
  <c r="AD19" i="5" l="1"/>
  <c r="AD244" i="5"/>
  <c r="AD137" i="5"/>
  <c r="AD169" i="5"/>
  <c r="AD201" i="5"/>
  <c r="AD233" i="5"/>
  <c r="AD26" i="5"/>
  <c r="AD58" i="5"/>
  <c r="AD138" i="5"/>
  <c r="AD170" i="5"/>
  <c r="AD202" i="5"/>
  <c r="AD234" i="5"/>
  <c r="AD37" i="5"/>
  <c r="AD226" i="5"/>
  <c r="AD140" i="5"/>
  <c r="AD172" i="5"/>
  <c r="AD204" i="5"/>
  <c r="AD134" i="5"/>
  <c r="AD166" i="5"/>
  <c r="AD198" i="5"/>
  <c r="AD230" i="5"/>
  <c r="AD55" i="5"/>
  <c r="AD87" i="5"/>
  <c r="AD119" i="5"/>
  <c r="AD110" i="5"/>
  <c r="AD68" i="5"/>
  <c r="AD100" i="5"/>
  <c r="AD228" i="5"/>
  <c r="AD153" i="5"/>
  <c r="AD185" i="5"/>
  <c r="AD217" i="5"/>
  <c r="AD10" i="5"/>
  <c r="AD216" i="5"/>
  <c r="AD96" i="5"/>
  <c r="AD64" i="5"/>
  <c r="AD54" i="5"/>
  <c r="AD7" i="5"/>
  <c r="AD36" i="5"/>
  <c r="AD41" i="5"/>
  <c r="AD105" i="5"/>
  <c r="AD139" i="5"/>
  <c r="AD203" i="5"/>
  <c r="AD94" i="5"/>
  <c r="AD128" i="5"/>
  <c r="AD73" i="5"/>
  <c r="AD171" i="5"/>
  <c r="AD235" i="5"/>
  <c r="AD51" i="5"/>
  <c r="AD83" i="5"/>
  <c r="AD115" i="5"/>
  <c r="AD144" i="5"/>
  <c r="AD176" i="5"/>
  <c r="AD208" i="5"/>
  <c r="AD184" i="5"/>
  <c r="AD17" i="5"/>
  <c r="AD6" i="5"/>
  <c r="Z6" i="5"/>
  <c r="AA6" i="5" s="1"/>
  <c r="AD243" i="5"/>
  <c r="AD147" i="5"/>
  <c r="AD152" i="5"/>
  <c r="AD142" i="5"/>
  <c r="AD174" i="5"/>
  <c r="AD206" i="5"/>
  <c r="AD238" i="5"/>
  <c r="AD211" i="5"/>
  <c r="AD161" i="5"/>
  <c r="AD193" i="5"/>
  <c r="AD225" i="5"/>
  <c r="AD179" i="5"/>
  <c r="AD240" i="5"/>
  <c r="AB6" i="5"/>
  <c r="AB96" i="5"/>
  <c r="AD154" i="5"/>
  <c r="AD186" i="5"/>
  <c r="AD218" i="5"/>
  <c r="AB76" i="5"/>
  <c r="AD148" i="5"/>
  <c r="AD180" i="5"/>
  <c r="AB44" i="5"/>
  <c r="AB36" i="5"/>
  <c r="AB108" i="5"/>
  <c r="AB48" i="5"/>
  <c r="AD48" i="5"/>
  <c r="AD80" i="5"/>
  <c r="AD112" i="5"/>
  <c r="AB128" i="5"/>
  <c r="AB64" i="5"/>
  <c r="AB80" i="5"/>
  <c r="AD86" i="5"/>
  <c r="AD150" i="5"/>
  <c r="AD182" i="5"/>
  <c r="AD214" i="5"/>
  <c r="AD39" i="5"/>
  <c r="AD71" i="5"/>
  <c r="AD103" i="5"/>
  <c r="AB92" i="5"/>
  <c r="AB124" i="5"/>
  <c r="AB60" i="5"/>
  <c r="AD220" i="5"/>
  <c r="AD160" i="5"/>
  <c r="AD192" i="5"/>
  <c r="AD57" i="5"/>
  <c r="AD89" i="5"/>
  <c r="AD155" i="5"/>
  <c r="AD187" i="5"/>
  <c r="AD219" i="5"/>
  <c r="AD232" i="5"/>
  <c r="AB84" i="5"/>
  <c r="AB20" i="5"/>
  <c r="AD43" i="5"/>
  <c r="AD75" i="5"/>
  <c r="AD107" i="5"/>
  <c r="AD9" i="5"/>
  <c r="AD122" i="5"/>
  <c r="AD11" i="5"/>
  <c r="AB100" i="5"/>
  <c r="AB68" i="5"/>
  <c r="AD59" i="5"/>
  <c r="AD91" i="5"/>
  <c r="AD123" i="5"/>
  <c r="AD20" i="5"/>
  <c r="AD21" i="5"/>
  <c r="AD102" i="5"/>
  <c r="AD23" i="5"/>
  <c r="AD121" i="5"/>
  <c r="AB112" i="5"/>
  <c r="AD149" i="5"/>
  <c r="AD181" i="5"/>
  <c r="AD213" i="5"/>
  <c r="AD245" i="5"/>
  <c r="AD42" i="5"/>
  <c r="AD60" i="5"/>
  <c r="AD92" i="5"/>
  <c r="AD124" i="5"/>
  <c r="AD33" i="5"/>
  <c r="AD35" i="5"/>
  <c r="AD135" i="5"/>
  <c r="AD167" i="5"/>
  <c r="AD199" i="5"/>
  <c r="AD231" i="5"/>
  <c r="AD158" i="5"/>
  <c r="AD190" i="5"/>
  <c r="AD222" i="5"/>
  <c r="AD177" i="5"/>
  <c r="AD145" i="5"/>
  <c r="AD27" i="5"/>
  <c r="AB116" i="5"/>
  <c r="AD132" i="5"/>
  <c r="AD164" i="5"/>
  <c r="AD196" i="5"/>
  <c r="AD209" i="5"/>
  <c r="AD25" i="5"/>
  <c r="AD136" i="5"/>
  <c r="AD168" i="5"/>
  <c r="AD200" i="5"/>
  <c r="AD241" i="5"/>
  <c r="AD131" i="5"/>
  <c r="AD163" i="5"/>
  <c r="AD195" i="5"/>
  <c r="AD227" i="5"/>
  <c r="AD53" i="5"/>
  <c r="AD69" i="5"/>
  <c r="AD85" i="5"/>
  <c r="AD101" i="5"/>
  <c r="AD117" i="5"/>
  <c r="AD22" i="5"/>
  <c r="AD38" i="5"/>
  <c r="AD118" i="5"/>
  <c r="AB16" i="5"/>
  <c r="AB32" i="5"/>
  <c r="AD16" i="5"/>
  <c r="AD32" i="5"/>
  <c r="AB17" i="5"/>
  <c r="AB33" i="5"/>
  <c r="AB38" i="5"/>
  <c r="AB74" i="5"/>
  <c r="AB52" i="5"/>
  <c r="AD52" i="5"/>
  <c r="AD109" i="5"/>
  <c r="AB91" i="5"/>
  <c r="AB50" i="5"/>
  <c r="AD61" i="5"/>
  <c r="AD93" i="5"/>
  <c r="AD141" i="5"/>
  <c r="AD173" i="5"/>
  <c r="AD205" i="5"/>
  <c r="AD237" i="5"/>
  <c r="AD30" i="5"/>
  <c r="AD159" i="5"/>
  <c r="AD191" i="5"/>
  <c r="AD223" i="5"/>
  <c r="AB11" i="5"/>
  <c r="AB43" i="5"/>
  <c r="AB75" i="5"/>
  <c r="AB123" i="5"/>
  <c r="AB8" i="5"/>
  <c r="AD24" i="5"/>
  <c r="AD50" i="5"/>
  <c r="AD66" i="5"/>
  <c r="AD98" i="5"/>
  <c r="AD114" i="5"/>
  <c r="AD236" i="5"/>
  <c r="AD45" i="5"/>
  <c r="AD77" i="5"/>
  <c r="AD125" i="5"/>
  <c r="AD157" i="5"/>
  <c r="AD189" i="5"/>
  <c r="AD221" i="5"/>
  <c r="AD14" i="5"/>
  <c r="AD143" i="5"/>
  <c r="AD175" i="5"/>
  <c r="AD207" i="5"/>
  <c r="AD239" i="5"/>
  <c r="AB27" i="5"/>
  <c r="AB59" i="5"/>
  <c r="AB107" i="5"/>
  <c r="AB24" i="5"/>
  <c r="AD8" i="5"/>
  <c r="AD70" i="5"/>
  <c r="AD224" i="5"/>
  <c r="AD62" i="5"/>
  <c r="AD78" i="5"/>
  <c r="AD126" i="5"/>
  <c r="AD47" i="5"/>
  <c r="AD63" i="5"/>
  <c r="AD79" i="5"/>
  <c r="AD95" i="5"/>
  <c r="AD111" i="5"/>
  <c r="AD127" i="5"/>
  <c r="AB40" i="5"/>
  <c r="AB56" i="5"/>
  <c r="AB72" i="5"/>
  <c r="AB88" i="5"/>
  <c r="AB104" i="5"/>
  <c r="AB120" i="5"/>
  <c r="AB49" i="5"/>
  <c r="AB65" i="5"/>
  <c r="AB81" i="5"/>
  <c r="AB97" i="5"/>
  <c r="AB113" i="5"/>
  <c r="AB129" i="5"/>
  <c r="AB106" i="5"/>
  <c r="AD40" i="5"/>
  <c r="AD56" i="5"/>
  <c r="AD72" i="5"/>
  <c r="AD88" i="5"/>
  <c r="AD104" i="5"/>
  <c r="AD120" i="5"/>
  <c r="AD106" i="5"/>
  <c r="AD49" i="5"/>
  <c r="AD65" i="5"/>
  <c r="AD81" i="5"/>
  <c r="AD97" i="5"/>
  <c r="AD113" i="5"/>
  <c r="AD129" i="5"/>
  <c r="AD82" i="5"/>
  <c r="AB18" i="5"/>
  <c r="AD13" i="5"/>
  <c r="AD29" i="5"/>
  <c r="AD15" i="5"/>
  <c r="AD31" i="5"/>
  <c r="AD18" i="5"/>
  <c r="AD34" i="5"/>
  <c r="AB12" i="5"/>
  <c r="AB28" i="5"/>
  <c r="AD12" i="5"/>
  <c r="AD28" i="5"/>
  <c r="AB78" i="5"/>
  <c r="AB15" i="5"/>
  <c r="AB31" i="5"/>
  <c r="AB47" i="5"/>
  <c r="AB63" i="5"/>
  <c r="AB79" i="5"/>
  <c r="AB95" i="5"/>
  <c r="AB111" i="5"/>
  <c r="AB127" i="5"/>
  <c r="AB26" i="5"/>
  <c r="AB58" i="5"/>
  <c r="AB86" i="5"/>
  <c r="AB118" i="5"/>
  <c r="AB21" i="5"/>
  <c r="AB37" i="5"/>
  <c r="AB53" i="5"/>
  <c r="AB69" i="5"/>
  <c r="AB85" i="5"/>
  <c r="AB101" i="5"/>
  <c r="AB117" i="5"/>
  <c r="AB14" i="5"/>
  <c r="AB46" i="5"/>
  <c r="AB82" i="5"/>
  <c r="AB114" i="5"/>
  <c r="AB110" i="5"/>
  <c r="AB19" i="5"/>
  <c r="AB35" i="5"/>
  <c r="AB51" i="5"/>
  <c r="AB67" i="5"/>
  <c r="AB83" i="5"/>
  <c r="AB99" i="5"/>
  <c r="AB115" i="5"/>
  <c r="AB34" i="5"/>
  <c r="AB62" i="5"/>
  <c r="AB94" i="5"/>
  <c r="AB9" i="5"/>
  <c r="AB25" i="5"/>
  <c r="AB41" i="5"/>
  <c r="AB57" i="5"/>
  <c r="AB73" i="5"/>
  <c r="AB89" i="5"/>
  <c r="AB105" i="5"/>
  <c r="AB121" i="5"/>
  <c r="AB22" i="5"/>
  <c r="AB54" i="5"/>
  <c r="AB90" i="5"/>
  <c r="AB122" i="5"/>
  <c r="AB7" i="5"/>
  <c r="AB23" i="5"/>
  <c r="AB39" i="5"/>
  <c r="AB55" i="5"/>
  <c r="AB71" i="5"/>
  <c r="AB87" i="5"/>
  <c r="AB103" i="5"/>
  <c r="AB119" i="5"/>
  <c r="AB10" i="5"/>
  <c r="AB42" i="5"/>
  <c r="AB70" i="5"/>
  <c r="AB102" i="5"/>
  <c r="AB13" i="5"/>
  <c r="AB29" i="5"/>
  <c r="AB45" i="5"/>
  <c r="AB61" i="5"/>
  <c r="AB77" i="5"/>
  <c r="AB93" i="5"/>
  <c r="AB109" i="5"/>
  <c r="AB125" i="5"/>
  <c r="AB30" i="5"/>
  <c r="AB66" i="5"/>
  <c r="AB98" i="5"/>
  <c r="AB126" i="5"/>
  <c r="Z109" i="5"/>
  <c r="AA109" i="5" s="1"/>
  <c r="Z34" i="5"/>
  <c r="AA34" i="5" s="1"/>
  <c r="Z13" i="5"/>
  <c r="AA13" i="5" s="1"/>
  <c r="Z29" i="5"/>
  <c r="AA29" i="5" s="1"/>
  <c r="Z61" i="5"/>
  <c r="AA61" i="5" s="1"/>
  <c r="Z93" i="5"/>
  <c r="AA93" i="5" s="1"/>
  <c r="Z125" i="5"/>
  <c r="AA125" i="5" s="1"/>
  <c r="Z157" i="5"/>
  <c r="Z189" i="5"/>
  <c r="Z205" i="5"/>
  <c r="Z237" i="5"/>
  <c r="Z30" i="5"/>
  <c r="AA30" i="5" s="1"/>
  <c r="Z62" i="5"/>
  <c r="AA62" i="5" s="1"/>
  <c r="Z158" i="5"/>
  <c r="Z8" i="5"/>
  <c r="AA8" i="5" s="1"/>
  <c r="Z40" i="5"/>
  <c r="AA40" i="5" s="1"/>
  <c r="Z72" i="5"/>
  <c r="AA72" i="5" s="1"/>
  <c r="Z88" i="5"/>
  <c r="AA88" i="5" s="1"/>
  <c r="Z120" i="5"/>
  <c r="AA120" i="5" s="1"/>
  <c r="Z152" i="5"/>
  <c r="Z184" i="5"/>
  <c r="Z216" i="5"/>
  <c r="Z17" i="5"/>
  <c r="AA17" i="5" s="1"/>
  <c r="Z49" i="5"/>
  <c r="AA49" i="5" s="1"/>
  <c r="Z65" i="5"/>
  <c r="AA65" i="5" s="1"/>
  <c r="Z97" i="5"/>
  <c r="AA97" i="5" s="1"/>
  <c r="Z113" i="5"/>
  <c r="AA113" i="5" s="1"/>
  <c r="Z145" i="5"/>
  <c r="Z161" i="5"/>
  <c r="Z193" i="5"/>
  <c r="Z225" i="5"/>
  <c r="Z241" i="5"/>
  <c r="Z50" i="5"/>
  <c r="AA50" i="5" s="1"/>
  <c r="Z66" i="5"/>
  <c r="AA66" i="5" s="1"/>
  <c r="Z98" i="5"/>
  <c r="AA98" i="5" s="1"/>
  <c r="Z130" i="5"/>
  <c r="Z162" i="5"/>
  <c r="Z194" i="5"/>
  <c r="Z226" i="5"/>
  <c r="Z242" i="5"/>
  <c r="Z35" i="5"/>
  <c r="AA35" i="5" s="1"/>
  <c r="Z51" i="5"/>
  <c r="AA51" i="5" s="1"/>
  <c r="Z83" i="5"/>
  <c r="AA83" i="5" s="1"/>
  <c r="Z99" i="5"/>
  <c r="AA99" i="5" s="1"/>
  <c r="Z131" i="5"/>
  <c r="Z147" i="5"/>
  <c r="Z179" i="5"/>
  <c r="Z211" i="5"/>
  <c r="Z243" i="5"/>
  <c r="Z28" i="5"/>
  <c r="AA28" i="5" s="1"/>
  <c r="Z60" i="5"/>
  <c r="AA60" i="5" s="1"/>
  <c r="Z76" i="5"/>
  <c r="AA76" i="5" s="1"/>
  <c r="Z108" i="5"/>
  <c r="AA108" i="5" s="1"/>
  <c r="Z140" i="5"/>
  <c r="Z156" i="5"/>
  <c r="Z188" i="5"/>
  <c r="Z204" i="5"/>
  <c r="Z236" i="5"/>
  <c r="Z37" i="5"/>
  <c r="AA37" i="5" s="1"/>
  <c r="Z69" i="5"/>
  <c r="AA69" i="5" s="1"/>
  <c r="Z85" i="5"/>
  <c r="AA85" i="5" s="1"/>
  <c r="Z117" i="5"/>
  <c r="AA117" i="5" s="1"/>
  <c r="Z149" i="5"/>
  <c r="Z165" i="5"/>
  <c r="Z197" i="5"/>
  <c r="Z229" i="5"/>
  <c r="Z245" i="5"/>
  <c r="Z38" i="5"/>
  <c r="AA38" i="5" s="1"/>
  <c r="Z54" i="5"/>
  <c r="AA54" i="5" s="1"/>
  <c r="Z86" i="5"/>
  <c r="AA86" i="5" s="1"/>
  <c r="Z102" i="5"/>
  <c r="AA102" i="5" s="1"/>
  <c r="Z134" i="5"/>
  <c r="Z166" i="5"/>
  <c r="Z198" i="5"/>
  <c r="Z230" i="5"/>
  <c r="Z7" i="5"/>
  <c r="AA7" i="5" s="1"/>
  <c r="Z39" i="5"/>
  <c r="AA39" i="5" s="1"/>
  <c r="Z71" i="5"/>
  <c r="AA71" i="5" s="1"/>
  <c r="Z103" i="5"/>
  <c r="AA103" i="5" s="1"/>
  <c r="Z135" i="5"/>
  <c r="Z167" i="5"/>
  <c r="Z183" i="5"/>
  <c r="Z215" i="5"/>
  <c r="Z231" i="5"/>
  <c r="Z16" i="5"/>
  <c r="AA16" i="5" s="1"/>
  <c r="Z32" i="5"/>
  <c r="AA32" i="5" s="1"/>
  <c r="Z48" i="5"/>
  <c r="AA48" i="5" s="1"/>
  <c r="Z64" i="5"/>
  <c r="AA64" i="5" s="1"/>
  <c r="Z80" i="5"/>
  <c r="AA80" i="5" s="1"/>
  <c r="Z96" i="5"/>
  <c r="AA96" i="5" s="1"/>
  <c r="Z112" i="5"/>
  <c r="AA112" i="5" s="1"/>
  <c r="Z128" i="5"/>
  <c r="AA128" i="5" s="1"/>
  <c r="Z144" i="5"/>
  <c r="Z160" i="5"/>
  <c r="Z176" i="5"/>
  <c r="Z192" i="5"/>
  <c r="Z208" i="5"/>
  <c r="Z224" i="5"/>
  <c r="Z240" i="5"/>
  <c r="Z45" i="5"/>
  <c r="AA45" i="5" s="1"/>
  <c r="Z77" i="5"/>
  <c r="AA77" i="5" s="1"/>
  <c r="Z141" i="5"/>
  <c r="Z173" i="5"/>
  <c r="Z221" i="5"/>
  <c r="Z14" i="5"/>
  <c r="AA14" i="5" s="1"/>
  <c r="Z46" i="5"/>
  <c r="AA46" i="5" s="1"/>
  <c r="Z78" i="5"/>
  <c r="AA78" i="5" s="1"/>
  <c r="Z94" i="5"/>
  <c r="AA94" i="5" s="1"/>
  <c r="Z110" i="5"/>
  <c r="AA110" i="5" s="1"/>
  <c r="Z126" i="5"/>
  <c r="AA126" i="5" s="1"/>
  <c r="Z142" i="5"/>
  <c r="Z174" i="5"/>
  <c r="Z190" i="5"/>
  <c r="Z206" i="5"/>
  <c r="Z222" i="5"/>
  <c r="Z238" i="5"/>
  <c r="Z15" i="5"/>
  <c r="AA15" i="5" s="1"/>
  <c r="Z31" i="5"/>
  <c r="AA31" i="5" s="1"/>
  <c r="Z47" i="5"/>
  <c r="AA47" i="5" s="1"/>
  <c r="Z63" i="5"/>
  <c r="AA63" i="5" s="1"/>
  <c r="Z79" i="5"/>
  <c r="AA79" i="5" s="1"/>
  <c r="Z95" i="5"/>
  <c r="AA95" i="5" s="1"/>
  <c r="Z111" i="5"/>
  <c r="AA111" i="5" s="1"/>
  <c r="Z127" i="5"/>
  <c r="AA127" i="5" s="1"/>
  <c r="Z143" i="5"/>
  <c r="Z159" i="5"/>
  <c r="Z175" i="5"/>
  <c r="Z191" i="5"/>
  <c r="Z207" i="5"/>
  <c r="Z223" i="5"/>
  <c r="Z239" i="5"/>
  <c r="Z24" i="5"/>
  <c r="AA24" i="5" s="1"/>
  <c r="Z56" i="5"/>
  <c r="AA56" i="5" s="1"/>
  <c r="Z104" i="5"/>
  <c r="AA104" i="5" s="1"/>
  <c r="Z136" i="5"/>
  <c r="Z168" i="5"/>
  <c r="Z200" i="5"/>
  <c r="Z232" i="5"/>
  <c r="Z33" i="5"/>
  <c r="AA33" i="5" s="1"/>
  <c r="Z81" i="5"/>
  <c r="AA81" i="5" s="1"/>
  <c r="Z129" i="5"/>
  <c r="AA129" i="5" s="1"/>
  <c r="Z177" i="5"/>
  <c r="Z209" i="5"/>
  <c r="Z18" i="5"/>
  <c r="AA18" i="5" s="1"/>
  <c r="Z82" i="5"/>
  <c r="AA82" i="5" s="1"/>
  <c r="Z114" i="5"/>
  <c r="AA114" i="5" s="1"/>
  <c r="Z146" i="5"/>
  <c r="Z178" i="5"/>
  <c r="Z210" i="5"/>
  <c r="Z19" i="5"/>
  <c r="AA19" i="5" s="1"/>
  <c r="Z67" i="5"/>
  <c r="AA67" i="5" s="1"/>
  <c r="Z115" i="5"/>
  <c r="AA115" i="5" s="1"/>
  <c r="Z163" i="5"/>
  <c r="Z195" i="5"/>
  <c r="Z227" i="5"/>
  <c r="Z12" i="5"/>
  <c r="AA12" i="5" s="1"/>
  <c r="Z44" i="5"/>
  <c r="AA44" i="5" s="1"/>
  <c r="Z92" i="5"/>
  <c r="AA92" i="5" s="1"/>
  <c r="Z124" i="5"/>
  <c r="AA124" i="5" s="1"/>
  <c r="Z172" i="5"/>
  <c r="Z220" i="5"/>
  <c r="Z21" i="5"/>
  <c r="AA21" i="5" s="1"/>
  <c r="Z53" i="5"/>
  <c r="AA53" i="5" s="1"/>
  <c r="Z101" i="5"/>
  <c r="AA101" i="5" s="1"/>
  <c r="Z133" i="5"/>
  <c r="Z181" i="5"/>
  <c r="Z213" i="5"/>
  <c r="Z22" i="5"/>
  <c r="AA22" i="5" s="1"/>
  <c r="Z70" i="5"/>
  <c r="AA70" i="5" s="1"/>
  <c r="Z118" i="5"/>
  <c r="AA118" i="5" s="1"/>
  <c r="Z150" i="5"/>
  <c r="Z182" i="5"/>
  <c r="Z214" i="5"/>
  <c r="Z23" i="5"/>
  <c r="AA23" i="5" s="1"/>
  <c r="Z55" i="5"/>
  <c r="AA55" i="5" s="1"/>
  <c r="Z87" i="5"/>
  <c r="AA87" i="5" s="1"/>
  <c r="Z119" i="5"/>
  <c r="AA119" i="5" s="1"/>
  <c r="Z151" i="5"/>
  <c r="Z199" i="5"/>
  <c r="Z9" i="5"/>
  <c r="AA9" i="5" s="1"/>
  <c r="Z25" i="5"/>
  <c r="AA25" i="5" s="1"/>
  <c r="Z41" i="5"/>
  <c r="AA41" i="5" s="1"/>
  <c r="Z57" i="5"/>
  <c r="AA57" i="5" s="1"/>
  <c r="Z73" i="5"/>
  <c r="AA73" i="5" s="1"/>
  <c r="Z89" i="5"/>
  <c r="AA89" i="5" s="1"/>
  <c r="Z105" i="5"/>
  <c r="AA105" i="5" s="1"/>
  <c r="Z121" i="5"/>
  <c r="AA121" i="5" s="1"/>
  <c r="Z137" i="5"/>
  <c r="Z153" i="5"/>
  <c r="Z169" i="5"/>
  <c r="Z185" i="5"/>
  <c r="Z201" i="5"/>
  <c r="Z217" i="5"/>
  <c r="Z233" i="5"/>
  <c r="Z10" i="5"/>
  <c r="AA10" i="5" s="1"/>
  <c r="Z26" i="5"/>
  <c r="AA26" i="5" s="1"/>
  <c r="Z42" i="5"/>
  <c r="AA42" i="5" s="1"/>
  <c r="Z58" i="5"/>
  <c r="AA58" i="5" s="1"/>
  <c r="Z74" i="5"/>
  <c r="AA74" i="5" s="1"/>
  <c r="Z90" i="5"/>
  <c r="AA90" i="5" s="1"/>
  <c r="Z106" i="5"/>
  <c r="AA106" i="5" s="1"/>
  <c r="Z122" i="5"/>
  <c r="AA122" i="5" s="1"/>
  <c r="Z138" i="5"/>
  <c r="Z154" i="5"/>
  <c r="Z170" i="5"/>
  <c r="Z186" i="5"/>
  <c r="Z202" i="5"/>
  <c r="Z218" i="5"/>
  <c r="Z234" i="5"/>
  <c r="Z11" i="5"/>
  <c r="AA11" i="5" s="1"/>
  <c r="Z27" i="5"/>
  <c r="AA27" i="5" s="1"/>
  <c r="Z43" i="5"/>
  <c r="AA43" i="5" s="1"/>
  <c r="Z59" i="5"/>
  <c r="AA59" i="5" s="1"/>
  <c r="Z75" i="5"/>
  <c r="AA75" i="5" s="1"/>
  <c r="Z91" i="5"/>
  <c r="AA91" i="5" s="1"/>
  <c r="Z107" i="5"/>
  <c r="AA107" i="5" s="1"/>
  <c r="Z123" i="5"/>
  <c r="AA123" i="5" s="1"/>
  <c r="Z139" i="5"/>
  <c r="Z155" i="5"/>
  <c r="Z171" i="5"/>
  <c r="Z187" i="5"/>
  <c r="Z203" i="5"/>
  <c r="Z219" i="5"/>
  <c r="Z235" i="5"/>
  <c r="Z20" i="5"/>
  <c r="AA20" i="5" s="1"/>
  <c r="Z36" i="5"/>
  <c r="AA36" i="5" s="1"/>
  <c r="Z52" i="5"/>
  <c r="AA52" i="5" s="1"/>
  <c r="Z68" i="5"/>
  <c r="AA68" i="5" s="1"/>
  <c r="Z84" i="5"/>
  <c r="AA84" i="5" s="1"/>
  <c r="Z100" i="5"/>
  <c r="AA100" i="5" s="1"/>
  <c r="Z116" i="5"/>
  <c r="AA116" i="5" s="1"/>
  <c r="Z132" i="5"/>
  <c r="Z148" i="5"/>
  <c r="Z164" i="5"/>
  <c r="Z180" i="5"/>
  <c r="Z196" i="5"/>
  <c r="Z212" i="5"/>
  <c r="Z228" i="5"/>
  <c r="Z244" i="5"/>
  <c r="AF105" i="5"/>
  <c r="AG105" i="5" s="1"/>
  <c r="AF7" i="5"/>
  <c r="AG7" i="5" s="1"/>
  <c r="AF39" i="5"/>
  <c r="AG39" i="5" s="1"/>
  <c r="AF71" i="5"/>
  <c r="AG71" i="5" s="1"/>
  <c r="AF103" i="5"/>
  <c r="AG103" i="5" s="1"/>
  <c r="AF50" i="5"/>
  <c r="AG50" i="5" s="1"/>
  <c r="AF114" i="5"/>
  <c r="AG114" i="5" s="1"/>
  <c r="AF20" i="5"/>
  <c r="AG20" i="5" s="1"/>
  <c r="AF36" i="5"/>
  <c r="AG36" i="5" s="1"/>
  <c r="AF52" i="5"/>
  <c r="AG52" i="5" s="1"/>
  <c r="AF68" i="5"/>
  <c r="AG68" i="5" s="1"/>
  <c r="AF84" i="5"/>
  <c r="AG84" i="5" s="1"/>
  <c r="AF100" i="5"/>
  <c r="AG100" i="5" s="1"/>
  <c r="AF116" i="5"/>
  <c r="AG116" i="5" s="1"/>
  <c r="AF54" i="5"/>
  <c r="AG54" i="5" s="1"/>
  <c r="AF94" i="5"/>
  <c r="AG94" i="5" s="1"/>
  <c r="AF21" i="5"/>
  <c r="AG21" i="5" s="1"/>
  <c r="AF53" i="5"/>
  <c r="AG53" i="5" s="1"/>
  <c r="AF85" i="5"/>
  <c r="AG85" i="5" s="1"/>
  <c r="AF117" i="5"/>
  <c r="AG117" i="5" s="1"/>
  <c r="AF46" i="5"/>
  <c r="AG46" i="5" s="1"/>
  <c r="AF27" i="5"/>
  <c r="AG27" i="5" s="1"/>
  <c r="AF59" i="5"/>
  <c r="AG59" i="5" s="1"/>
  <c r="AF91" i="5"/>
  <c r="AG91" i="5" s="1"/>
  <c r="AF123" i="5"/>
  <c r="AG123" i="5" s="1"/>
  <c r="AF62" i="5"/>
  <c r="AG62" i="5" s="1"/>
  <c r="AF8" i="5"/>
  <c r="AG8" i="5" s="1"/>
  <c r="AF56" i="5"/>
  <c r="AG56" i="5" s="1"/>
  <c r="AF88" i="5"/>
  <c r="AG88" i="5" s="1"/>
  <c r="AF104" i="5"/>
  <c r="AG104" i="5" s="1"/>
  <c r="AF66" i="5"/>
  <c r="AG66" i="5" s="1"/>
  <c r="AF106" i="5"/>
  <c r="AG106" i="5" s="1"/>
  <c r="AF73" i="5"/>
  <c r="AG73" i="5" s="1"/>
  <c r="AF23" i="5"/>
  <c r="AG23" i="5" s="1"/>
  <c r="AF55" i="5"/>
  <c r="AG55" i="5" s="1"/>
  <c r="AF87" i="5"/>
  <c r="AG87" i="5" s="1"/>
  <c r="AF119" i="5"/>
  <c r="AG119" i="5" s="1"/>
  <c r="AF37" i="5"/>
  <c r="AG37" i="5" s="1"/>
  <c r="AF69" i="5"/>
  <c r="AG69" i="5" s="1"/>
  <c r="AF101" i="5"/>
  <c r="AG101" i="5" s="1"/>
  <c r="AF90" i="5"/>
  <c r="AG90" i="5" s="1"/>
  <c r="AF11" i="5"/>
  <c r="AG11" i="5" s="1"/>
  <c r="AF43" i="5"/>
  <c r="AG43" i="5" s="1"/>
  <c r="AF75" i="5"/>
  <c r="AG75" i="5" s="1"/>
  <c r="AF107" i="5"/>
  <c r="AG107" i="5" s="1"/>
  <c r="AF10" i="5"/>
  <c r="AG10" i="5" s="1"/>
  <c r="AF24" i="5"/>
  <c r="AG24" i="5" s="1"/>
  <c r="AF40" i="5"/>
  <c r="AG40" i="5" s="1"/>
  <c r="AF72" i="5"/>
  <c r="AG72" i="5" s="1"/>
  <c r="AF120" i="5"/>
  <c r="AG120" i="5" s="1"/>
  <c r="AF18" i="5"/>
  <c r="AG18" i="5" s="1"/>
  <c r="AF9" i="5"/>
  <c r="AG9" i="5" s="1"/>
  <c r="AF25" i="5"/>
  <c r="AG25" i="5" s="1"/>
  <c r="AF41" i="5"/>
  <c r="AG41" i="5" s="1"/>
  <c r="AF57" i="5"/>
  <c r="AG57" i="5" s="1"/>
  <c r="AF89" i="5"/>
  <c r="AG89" i="5" s="1"/>
  <c r="AF14" i="5"/>
  <c r="AG14" i="5" s="1"/>
  <c r="AF102" i="5"/>
  <c r="AG102" i="5" s="1"/>
  <c r="AF19" i="5"/>
  <c r="AG19" i="5" s="1"/>
  <c r="AF35" i="5"/>
  <c r="AG35" i="5" s="1"/>
  <c r="AF51" i="5"/>
  <c r="AG51" i="5" s="1"/>
  <c r="AF67" i="5"/>
  <c r="AG67" i="5" s="1"/>
  <c r="AF83" i="5"/>
  <c r="AG83" i="5" s="1"/>
  <c r="AF99" i="5"/>
  <c r="AG99" i="5" s="1"/>
  <c r="AF115" i="5"/>
  <c r="AG115" i="5" s="1"/>
  <c r="AF38" i="5"/>
  <c r="AG38" i="5" s="1"/>
  <c r="AF98" i="5"/>
  <c r="AG98" i="5" s="1"/>
  <c r="AF16" i="5"/>
  <c r="AG16" i="5" s="1"/>
  <c r="AF32" i="5"/>
  <c r="AG32" i="5" s="1"/>
  <c r="AF48" i="5"/>
  <c r="AG48" i="5" s="1"/>
  <c r="AF64" i="5"/>
  <c r="AG64" i="5" s="1"/>
  <c r="AF80" i="5"/>
  <c r="AG80" i="5" s="1"/>
  <c r="AF96" i="5"/>
  <c r="AG96" i="5" s="1"/>
  <c r="AF112" i="5"/>
  <c r="AG112" i="5" s="1"/>
  <c r="AF128" i="5"/>
  <c r="AG128" i="5" s="1"/>
  <c r="AF42" i="5"/>
  <c r="AG42" i="5" s="1"/>
  <c r="AF86" i="5"/>
  <c r="AG86" i="5" s="1"/>
  <c r="AF126" i="5"/>
  <c r="AG126" i="5" s="1"/>
  <c r="AF17" i="5"/>
  <c r="AG17" i="5" s="1"/>
  <c r="AF33" i="5"/>
  <c r="AG33" i="5" s="1"/>
  <c r="AF49" i="5"/>
  <c r="AG49" i="5" s="1"/>
  <c r="AF65" i="5"/>
  <c r="AG65" i="5" s="1"/>
  <c r="AF81" i="5"/>
  <c r="AG81" i="5" s="1"/>
  <c r="AF97" i="5"/>
  <c r="AG97" i="5" s="1"/>
  <c r="AF113" i="5"/>
  <c r="AG113" i="5" s="1"/>
  <c r="AF129" i="5"/>
  <c r="AG129" i="5" s="1"/>
  <c r="AF34" i="5"/>
  <c r="AG34" i="5" s="1"/>
  <c r="AF78" i="5"/>
  <c r="AG78" i="5" s="1"/>
  <c r="AF122" i="5"/>
  <c r="AG122" i="5" s="1"/>
  <c r="AF246" i="5"/>
  <c r="AF121" i="5"/>
  <c r="AG121" i="5" s="1"/>
  <c r="AF58" i="5"/>
  <c r="AG58" i="5" s="1"/>
  <c r="AF15" i="5"/>
  <c r="AG15" i="5" s="1"/>
  <c r="AF31" i="5"/>
  <c r="AG31" i="5" s="1"/>
  <c r="AF47" i="5"/>
  <c r="AG47" i="5" s="1"/>
  <c r="AF63" i="5"/>
  <c r="AG63" i="5" s="1"/>
  <c r="AF79" i="5"/>
  <c r="AG79" i="5" s="1"/>
  <c r="AF95" i="5"/>
  <c r="AG95" i="5" s="1"/>
  <c r="AF111" i="5"/>
  <c r="AG111" i="5" s="1"/>
  <c r="AF127" i="5"/>
  <c r="AG127" i="5" s="1"/>
  <c r="AF22" i="5"/>
  <c r="AG22" i="5" s="1"/>
  <c r="AF82" i="5"/>
  <c r="AG82" i="5" s="1"/>
  <c r="AF12" i="5"/>
  <c r="AG12" i="5" s="1"/>
  <c r="AF28" i="5"/>
  <c r="AG28" i="5" s="1"/>
  <c r="AF44" i="5"/>
  <c r="AG44" i="5" s="1"/>
  <c r="AF60" i="5"/>
  <c r="AG60" i="5" s="1"/>
  <c r="AF76" i="5"/>
  <c r="AG76" i="5" s="1"/>
  <c r="AF92" i="5"/>
  <c r="AG92" i="5" s="1"/>
  <c r="AF108" i="5"/>
  <c r="AG108" i="5" s="1"/>
  <c r="AF124" i="5"/>
  <c r="AG124" i="5" s="1"/>
  <c r="AF30" i="5"/>
  <c r="AG30" i="5" s="1"/>
  <c r="AF74" i="5"/>
  <c r="AG74" i="5" s="1"/>
  <c r="AF118" i="5"/>
  <c r="AG118" i="5" s="1"/>
  <c r="AF13" i="5"/>
  <c r="AG13" i="5" s="1"/>
  <c r="AF29" i="5"/>
  <c r="AG29" i="5" s="1"/>
  <c r="AF45" i="5"/>
  <c r="AG45" i="5" s="1"/>
  <c r="AF61" i="5"/>
  <c r="AG61" i="5" s="1"/>
  <c r="AF77" i="5"/>
  <c r="AG77" i="5" s="1"/>
  <c r="AF93" i="5"/>
  <c r="AG93" i="5" s="1"/>
  <c r="AF109" i="5"/>
  <c r="AG109" i="5" s="1"/>
  <c r="AF125" i="5"/>
  <c r="AG125" i="5" s="1"/>
  <c r="AF26" i="5"/>
  <c r="AG26" i="5" s="1"/>
  <c r="AF70" i="5"/>
  <c r="AG70" i="5" s="1"/>
  <c r="AF110" i="5"/>
  <c r="AG110" i="5" s="1"/>
  <c r="AI6" i="5"/>
  <c r="J8" i="6"/>
  <c r="K7" i="6" l="1"/>
  <c r="K6" i="6"/>
  <c r="AD246" i="5"/>
  <c r="U131" i="5"/>
  <c r="T131" i="5" s="1"/>
  <c r="U135" i="5"/>
  <c r="T135" i="5" s="1"/>
  <c r="U139" i="5"/>
  <c r="T139" i="5" s="1"/>
  <c r="U143" i="5"/>
  <c r="T143" i="5" s="1"/>
  <c r="U147" i="5"/>
  <c r="T147" i="5" s="1"/>
  <c r="U151" i="5"/>
  <c r="T151" i="5" s="1"/>
  <c r="U155" i="5"/>
  <c r="T155" i="5" s="1"/>
  <c r="U159" i="5"/>
  <c r="T159" i="5" s="1"/>
  <c r="U163" i="5"/>
  <c r="T163" i="5" s="1"/>
  <c r="U167" i="5"/>
  <c r="T167" i="5" s="1"/>
  <c r="U171" i="5"/>
  <c r="T171" i="5" s="1"/>
  <c r="U175" i="5"/>
  <c r="T175" i="5" s="1"/>
  <c r="U179" i="5"/>
  <c r="T179" i="5" s="1"/>
  <c r="U183" i="5"/>
  <c r="T183" i="5" s="1"/>
  <c r="U187" i="5"/>
  <c r="T187" i="5" s="1"/>
  <c r="U191" i="5"/>
  <c r="T191" i="5" s="1"/>
  <c r="U195" i="5"/>
  <c r="T195" i="5" s="1"/>
  <c r="U199" i="5"/>
  <c r="T199" i="5" s="1"/>
  <c r="U203" i="5"/>
  <c r="T203" i="5" s="1"/>
  <c r="U207" i="5"/>
  <c r="T207" i="5" s="1"/>
  <c r="U211" i="5"/>
  <c r="T211" i="5" s="1"/>
  <c r="U215" i="5"/>
  <c r="T215" i="5" s="1"/>
  <c r="U219" i="5"/>
  <c r="T219" i="5" s="1"/>
  <c r="U223" i="5"/>
  <c r="T223" i="5" s="1"/>
  <c r="U227" i="5"/>
  <c r="T227" i="5" s="1"/>
  <c r="U231" i="5"/>
  <c r="T231" i="5" s="1"/>
  <c r="U235" i="5"/>
  <c r="T235" i="5" s="1"/>
  <c r="U239" i="5"/>
  <c r="T239" i="5" s="1"/>
  <c r="U243" i="5"/>
  <c r="T243" i="5" s="1"/>
  <c r="U130" i="5"/>
  <c r="T130" i="5" s="1"/>
  <c r="U142" i="5"/>
  <c r="T142" i="5" s="1"/>
  <c r="U162" i="5"/>
  <c r="T162" i="5" s="1"/>
  <c r="U174" i="5"/>
  <c r="T174" i="5" s="1"/>
  <c r="U190" i="5"/>
  <c r="T190" i="5" s="1"/>
  <c r="U206" i="5"/>
  <c r="T206" i="5" s="1"/>
  <c r="U218" i="5"/>
  <c r="T218" i="5" s="1"/>
  <c r="U230" i="5"/>
  <c r="T230" i="5" s="1"/>
  <c r="U242" i="5"/>
  <c r="T242" i="5" s="1"/>
  <c r="U132" i="5"/>
  <c r="T132" i="5" s="1"/>
  <c r="U136" i="5"/>
  <c r="T136" i="5" s="1"/>
  <c r="U140" i="5"/>
  <c r="T140" i="5" s="1"/>
  <c r="U144" i="5"/>
  <c r="T144" i="5" s="1"/>
  <c r="U148" i="5"/>
  <c r="T148" i="5" s="1"/>
  <c r="U152" i="5"/>
  <c r="T152" i="5" s="1"/>
  <c r="U156" i="5"/>
  <c r="T156" i="5" s="1"/>
  <c r="U160" i="5"/>
  <c r="T160" i="5" s="1"/>
  <c r="U164" i="5"/>
  <c r="T164" i="5" s="1"/>
  <c r="U168" i="5"/>
  <c r="T168" i="5" s="1"/>
  <c r="U172" i="5"/>
  <c r="T172" i="5" s="1"/>
  <c r="U176" i="5"/>
  <c r="T176" i="5" s="1"/>
  <c r="U180" i="5"/>
  <c r="T180" i="5" s="1"/>
  <c r="U184" i="5"/>
  <c r="T184" i="5" s="1"/>
  <c r="U188" i="5"/>
  <c r="T188" i="5" s="1"/>
  <c r="U192" i="5"/>
  <c r="T192" i="5" s="1"/>
  <c r="U196" i="5"/>
  <c r="T196" i="5" s="1"/>
  <c r="U200" i="5"/>
  <c r="T200" i="5" s="1"/>
  <c r="U204" i="5"/>
  <c r="T204" i="5" s="1"/>
  <c r="U208" i="5"/>
  <c r="T208" i="5" s="1"/>
  <c r="U212" i="5"/>
  <c r="T212" i="5" s="1"/>
  <c r="U216" i="5"/>
  <c r="T216" i="5" s="1"/>
  <c r="U220" i="5"/>
  <c r="T220" i="5" s="1"/>
  <c r="U224" i="5"/>
  <c r="T224" i="5" s="1"/>
  <c r="U228" i="5"/>
  <c r="T228" i="5" s="1"/>
  <c r="U232" i="5"/>
  <c r="T232" i="5" s="1"/>
  <c r="U236" i="5"/>
  <c r="T236" i="5" s="1"/>
  <c r="U240" i="5"/>
  <c r="T240" i="5" s="1"/>
  <c r="U244" i="5"/>
  <c r="T244" i="5" s="1"/>
  <c r="U138" i="5"/>
  <c r="T138" i="5" s="1"/>
  <c r="U150" i="5"/>
  <c r="T150" i="5" s="1"/>
  <c r="U154" i="5"/>
  <c r="T154" i="5" s="1"/>
  <c r="U166" i="5"/>
  <c r="T166" i="5" s="1"/>
  <c r="U182" i="5"/>
  <c r="T182" i="5" s="1"/>
  <c r="U194" i="5"/>
  <c r="T194" i="5" s="1"/>
  <c r="U202" i="5"/>
  <c r="T202" i="5" s="1"/>
  <c r="U214" i="5"/>
  <c r="T214" i="5" s="1"/>
  <c r="U222" i="5"/>
  <c r="T222" i="5" s="1"/>
  <c r="U238" i="5"/>
  <c r="T238" i="5" s="1"/>
  <c r="U133" i="5"/>
  <c r="T133" i="5" s="1"/>
  <c r="U137" i="5"/>
  <c r="T137" i="5" s="1"/>
  <c r="U141" i="5"/>
  <c r="T141" i="5" s="1"/>
  <c r="U145" i="5"/>
  <c r="T145" i="5" s="1"/>
  <c r="U149" i="5"/>
  <c r="T149" i="5" s="1"/>
  <c r="U153" i="5"/>
  <c r="T153" i="5" s="1"/>
  <c r="U157" i="5"/>
  <c r="T157" i="5" s="1"/>
  <c r="U161" i="5"/>
  <c r="T161" i="5" s="1"/>
  <c r="U165" i="5"/>
  <c r="T165" i="5" s="1"/>
  <c r="U169" i="5"/>
  <c r="T169" i="5" s="1"/>
  <c r="U173" i="5"/>
  <c r="T173" i="5" s="1"/>
  <c r="U177" i="5"/>
  <c r="T177" i="5" s="1"/>
  <c r="U181" i="5"/>
  <c r="T181" i="5" s="1"/>
  <c r="U185" i="5"/>
  <c r="T185" i="5" s="1"/>
  <c r="U189" i="5"/>
  <c r="T189" i="5" s="1"/>
  <c r="U193" i="5"/>
  <c r="T193" i="5" s="1"/>
  <c r="U197" i="5"/>
  <c r="T197" i="5" s="1"/>
  <c r="U201" i="5"/>
  <c r="T201" i="5" s="1"/>
  <c r="U205" i="5"/>
  <c r="T205" i="5" s="1"/>
  <c r="U209" i="5"/>
  <c r="T209" i="5" s="1"/>
  <c r="U213" i="5"/>
  <c r="T213" i="5" s="1"/>
  <c r="U217" i="5"/>
  <c r="T217" i="5" s="1"/>
  <c r="U221" i="5"/>
  <c r="T221" i="5" s="1"/>
  <c r="U225" i="5"/>
  <c r="T225" i="5" s="1"/>
  <c r="U229" i="5"/>
  <c r="T229" i="5" s="1"/>
  <c r="U233" i="5"/>
  <c r="T233" i="5" s="1"/>
  <c r="U237" i="5"/>
  <c r="T237" i="5" s="1"/>
  <c r="U241" i="5"/>
  <c r="T241" i="5" s="1"/>
  <c r="U245" i="5"/>
  <c r="T245" i="5" s="1"/>
  <c r="U134" i="5"/>
  <c r="T134" i="5" s="1"/>
  <c r="U146" i="5"/>
  <c r="T146" i="5" s="1"/>
  <c r="U158" i="5"/>
  <c r="T158" i="5" s="1"/>
  <c r="U170" i="5"/>
  <c r="T170" i="5" s="1"/>
  <c r="U178" i="5"/>
  <c r="T178" i="5" s="1"/>
  <c r="U186" i="5"/>
  <c r="T186" i="5" s="1"/>
  <c r="U198" i="5"/>
  <c r="T198" i="5" s="1"/>
  <c r="U210" i="5"/>
  <c r="T210" i="5" s="1"/>
  <c r="U226" i="5"/>
  <c r="T226" i="5" s="1"/>
  <c r="U234" i="5"/>
  <c r="T234" i="5" s="1"/>
  <c r="AE234" i="5" l="1"/>
  <c r="AF234" i="5"/>
  <c r="AG234" i="5" s="1"/>
  <c r="AE186" i="5"/>
  <c r="AF186" i="5"/>
  <c r="AG186" i="5" s="1"/>
  <c r="AE146" i="5"/>
  <c r="AF146" i="5"/>
  <c r="AG146" i="5" s="1"/>
  <c r="AE237" i="5"/>
  <c r="AF237" i="5"/>
  <c r="AG237" i="5" s="1"/>
  <c r="AE221" i="5"/>
  <c r="AF221" i="5"/>
  <c r="AG221" i="5" s="1"/>
  <c r="AE205" i="5"/>
  <c r="AF205" i="5"/>
  <c r="AG205" i="5" s="1"/>
  <c r="AE189" i="5"/>
  <c r="AF189" i="5"/>
  <c r="AG189" i="5" s="1"/>
  <c r="AE173" i="5"/>
  <c r="AF173" i="5"/>
  <c r="AG173" i="5" s="1"/>
  <c r="AE157" i="5"/>
  <c r="AF157" i="5"/>
  <c r="AG157" i="5" s="1"/>
  <c r="AE141" i="5"/>
  <c r="AF141" i="5"/>
  <c r="AG141" i="5" s="1"/>
  <c r="AE222" i="5"/>
  <c r="AF222" i="5"/>
  <c r="AG222" i="5" s="1"/>
  <c r="AE182" i="5"/>
  <c r="AF182" i="5"/>
  <c r="AG182" i="5" s="1"/>
  <c r="AE138" i="5"/>
  <c r="AF138" i="5"/>
  <c r="AG138" i="5" s="1"/>
  <c r="AE232" i="5"/>
  <c r="AF232" i="5"/>
  <c r="AG232" i="5" s="1"/>
  <c r="AE216" i="5"/>
  <c r="AF216" i="5"/>
  <c r="AG216" i="5" s="1"/>
  <c r="AE200" i="5"/>
  <c r="AF200" i="5"/>
  <c r="AG200" i="5" s="1"/>
  <c r="AE184" i="5"/>
  <c r="AF184" i="5"/>
  <c r="AG184" i="5" s="1"/>
  <c r="AE168" i="5"/>
  <c r="AF168" i="5"/>
  <c r="AG168" i="5" s="1"/>
  <c r="AE152" i="5"/>
  <c r="AF152" i="5"/>
  <c r="AG152" i="5" s="1"/>
  <c r="AE136" i="5"/>
  <c r="AF136" i="5"/>
  <c r="AG136" i="5" s="1"/>
  <c r="AE218" i="5"/>
  <c r="AF218" i="5"/>
  <c r="AG218" i="5" s="1"/>
  <c r="AE162" i="5"/>
  <c r="AF162" i="5"/>
  <c r="AG162" i="5" s="1"/>
  <c r="AE239" i="5"/>
  <c r="AF239" i="5"/>
  <c r="AG239" i="5" s="1"/>
  <c r="AE223" i="5"/>
  <c r="AF223" i="5"/>
  <c r="AG223" i="5" s="1"/>
  <c r="AE207" i="5"/>
  <c r="AF207" i="5"/>
  <c r="AG207" i="5" s="1"/>
  <c r="AE191" i="5"/>
  <c r="AF191" i="5"/>
  <c r="AG191" i="5" s="1"/>
  <c r="AE175" i="5"/>
  <c r="AF175" i="5"/>
  <c r="AG175" i="5" s="1"/>
  <c r="AE159" i="5"/>
  <c r="AF159" i="5"/>
  <c r="AG159" i="5" s="1"/>
  <c r="AE143" i="5"/>
  <c r="AF143" i="5"/>
  <c r="AG143" i="5" s="1"/>
  <c r="AE226" i="5"/>
  <c r="AF226" i="5"/>
  <c r="AG226" i="5" s="1"/>
  <c r="AE178" i="5"/>
  <c r="AF178" i="5"/>
  <c r="AG178" i="5" s="1"/>
  <c r="AE134" i="5"/>
  <c r="AF134" i="5"/>
  <c r="AG134" i="5" s="1"/>
  <c r="AE233" i="5"/>
  <c r="AF233" i="5"/>
  <c r="AG233" i="5" s="1"/>
  <c r="AE217" i="5"/>
  <c r="AF217" i="5"/>
  <c r="AG217" i="5" s="1"/>
  <c r="AE201" i="5"/>
  <c r="AF201" i="5"/>
  <c r="AG201" i="5" s="1"/>
  <c r="AE185" i="5"/>
  <c r="AF185" i="5"/>
  <c r="AG185" i="5" s="1"/>
  <c r="AE169" i="5"/>
  <c r="AF169" i="5"/>
  <c r="AG169" i="5" s="1"/>
  <c r="AE153" i="5"/>
  <c r="AF153" i="5"/>
  <c r="AG153" i="5" s="1"/>
  <c r="AE137" i="5"/>
  <c r="AF137" i="5"/>
  <c r="AG137" i="5" s="1"/>
  <c r="AE214" i="5"/>
  <c r="AF214" i="5"/>
  <c r="AG214" i="5" s="1"/>
  <c r="AE166" i="5"/>
  <c r="AF166" i="5"/>
  <c r="AG166" i="5" s="1"/>
  <c r="AE244" i="5"/>
  <c r="AF244" i="5"/>
  <c r="AG244" i="5" s="1"/>
  <c r="AE228" i="5"/>
  <c r="AF228" i="5"/>
  <c r="AG228" i="5" s="1"/>
  <c r="AE212" i="5"/>
  <c r="AF212" i="5"/>
  <c r="AG212" i="5" s="1"/>
  <c r="AE196" i="5"/>
  <c r="AF196" i="5"/>
  <c r="AG196" i="5" s="1"/>
  <c r="AE180" i="5"/>
  <c r="AF180" i="5"/>
  <c r="AG180" i="5" s="1"/>
  <c r="AE164" i="5"/>
  <c r="AF164" i="5"/>
  <c r="AG164" i="5" s="1"/>
  <c r="AE148" i="5"/>
  <c r="AF148" i="5"/>
  <c r="AG148" i="5" s="1"/>
  <c r="AE132" i="5"/>
  <c r="AF132" i="5"/>
  <c r="AG132" i="5" s="1"/>
  <c r="AE206" i="5"/>
  <c r="AF206" i="5"/>
  <c r="AG206" i="5" s="1"/>
  <c r="AE142" i="5"/>
  <c r="AF142" i="5"/>
  <c r="AG142" i="5" s="1"/>
  <c r="AE235" i="5"/>
  <c r="AF235" i="5"/>
  <c r="AG235" i="5" s="1"/>
  <c r="AE219" i="5"/>
  <c r="AF219" i="5"/>
  <c r="AG219" i="5" s="1"/>
  <c r="AE203" i="5"/>
  <c r="AF203" i="5"/>
  <c r="AG203" i="5" s="1"/>
  <c r="AE187" i="5"/>
  <c r="AF187" i="5"/>
  <c r="AG187" i="5" s="1"/>
  <c r="AE171" i="5"/>
  <c r="AF171" i="5"/>
  <c r="AG171" i="5" s="1"/>
  <c r="AE155" i="5"/>
  <c r="AF155" i="5"/>
  <c r="AG155" i="5" s="1"/>
  <c r="AE139" i="5"/>
  <c r="AF139" i="5"/>
  <c r="AG139" i="5" s="1"/>
  <c r="AE210" i="5"/>
  <c r="AF210" i="5"/>
  <c r="AG210" i="5" s="1"/>
  <c r="AE170" i="5"/>
  <c r="AF170" i="5"/>
  <c r="AG170" i="5" s="1"/>
  <c r="AE245" i="5"/>
  <c r="AF245" i="5"/>
  <c r="AG245" i="5" s="1"/>
  <c r="AE229" i="5"/>
  <c r="AF229" i="5"/>
  <c r="AG229" i="5" s="1"/>
  <c r="AE213" i="5"/>
  <c r="AF213" i="5"/>
  <c r="AG213" i="5" s="1"/>
  <c r="AE197" i="5"/>
  <c r="AF197" i="5"/>
  <c r="AG197" i="5" s="1"/>
  <c r="AE181" i="5"/>
  <c r="AF181" i="5"/>
  <c r="AG181" i="5" s="1"/>
  <c r="AE165" i="5"/>
  <c r="AF165" i="5"/>
  <c r="AG165" i="5" s="1"/>
  <c r="AE149" i="5"/>
  <c r="AF149" i="5"/>
  <c r="AG149" i="5" s="1"/>
  <c r="AE133" i="5"/>
  <c r="AF133" i="5"/>
  <c r="AG133" i="5" s="1"/>
  <c r="AE202" i="5"/>
  <c r="AF202" i="5"/>
  <c r="AG202" i="5" s="1"/>
  <c r="AE154" i="5"/>
  <c r="AF154" i="5"/>
  <c r="AG154" i="5" s="1"/>
  <c r="AE240" i="5"/>
  <c r="AF240" i="5"/>
  <c r="AG240" i="5" s="1"/>
  <c r="AE224" i="5"/>
  <c r="AF224" i="5"/>
  <c r="AG224" i="5" s="1"/>
  <c r="AE208" i="5"/>
  <c r="AF208" i="5"/>
  <c r="AG208" i="5" s="1"/>
  <c r="AE192" i="5"/>
  <c r="AF192" i="5"/>
  <c r="AG192" i="5" s="1"/>
  <c r="AE176" i="5"/>
  <c r="AF176" i="5"/>
  <c r="AG176" i="5" s="1"/>
  <c r="AE160" i="5"/>
  <c r="AF160" i="5"/>
  <c r="AG160" i="5" s="1"/>
  <c r="AE144" i="5"/>
  <c r="AF144" i="5"/>
  <c r="AG144" i="5" s="1"/>
  <c r="AE242" i="5"/>
  <c r="AF242" i="5"/>
  <c r="AG242" i="5" s="1"/>
  <c r="AE190" i="5"/>
  <c r="AF190" i="5"/>
  <c r="AG190" i="5" s="1"/>
  <c r="AE130" i="5"/>
  <c r="AF130" i="5"/>
  <c r="AG130" i="5" s="1"/>
  <c r="AE231" i="5"/>
  <c r="AF231" i="5"/>
  <c r="AG231" i="5" s="1"/>
  <c r="AE215" i="5"/>
  <c r="AF215" i="5"/>
  <c r="AG215" i="5" s="1"/>
  <c r="AE199" i="5"/>
  <c r="AF199" i="5"/>
  <c r="AG199" i="5" s="1"/>
  <c r="AE183" i="5"/>
  <c r="AF183" i="5"/>
  <c r="AG183" i="5" s="1"/>
  <c r="AE167" i="5"/>
  <c r="AF167" i="5"/>
  <c r="AG167" i="5" s="1"/>
  <c r="AE151" i="5"/>
  <c r="AF151" i="5"/>
  <c r="AG151" i="5" s="1"/>
  <c r="AE135" i="5"/>
  <c r="AF135" i="5"/>
  <c r="AG135" i="5" s="1"/>
  <c r="AE198" i="5"/>
  <c r="AF198" i="5"/>
  <c r="AG198" i="5" s="1"/>
  <c r="AE158" i="5"/>
  <c r="AF158" i="5"/>
  <c r="AG158" i="5" s="1"/>
  <c r="AE241" i="5"/>
  <c r="AF241" i="5"/>
  <c r="AG241" i="5" s="1"/>
  <c r="AE225" i="5"/>
  <c r="AF225" i="5"/>
  <c r="AG225" i="5" s="1"/>
  <c r="AE209" i="5"/>
  <c r="AF209" i="5"/>
  <c r="AG209" i="5" s="1"/>
  <c r="AE193" i="5"/>
  <c r="AF193" i="5"/>
  <c r="AG193" i="5" s="1"/>
  <c r="AE177" i="5"/>
  <c r="AF177" i="5"/>
  <c r="AG177" i="5" s="1"/>
  <c r="AE161" i="5"/>
  <c r="AF161" i="5"/>
  <c r="AG161" i="5" s="1"/>
  <c r="AE145" i="5"/>
  <c r="AF145" i="5"/>
  <c r="AG145" i="5" s="1"/>
  <c r="AE238" i="5"/>
  <c r="AF238" i="5"/>
  <c r="AG238" i="5" s="1"/>
  <c r="AE194" i="5"/>
  <c r="AF194" i="5"/>
  <c r="AG194" i="5" s="1"/>
  <c r="AE150" i="5"/>
  <c r="AF150" i="5"/>
  <c r="AG150" i="5" s="1"/>
  <c r="AE236" i="5"/>
  <c r="AF236" i="5"/>
  <c r="AG236" i="5" s="1"/>
  <c r="AE220" i="5"/>
  <c r="AF220" i="5"/>
  <c r="AG220" i="5" s="1"/>
  <c r="AE204" i="5"/>
  <c r="AF204" i="5"/>
  <c r="AG204" i="5" s="1"/>
  <c r="AE188" i="5"/>
  <c r="AF188" i="5"/>
  <c r="AG188" i="5" s="1"/>
  <c r="AE172" i="5"/>
  <c r="AF172" i="5"/>
  <c r="AG172" i="5" s="1"/>
  <c r="AE156" i="5"/>
  <c r="AF156" i="5"/>
  <c r="AG156" i="5" s="1"/>
  <c r="AE140" i="5"/>
  <c r="AF140" i="5"/>
  <c r="AG140" i="5" s="1"/>
  <c r="AE230" i="5"/>
  <c r="AF230" i="5"/>
  <c r="AG230" i="5" s="1"/>
  <c r="AE174" i="5"/>
  <c r="AF174" i="5"/>
  <c r="AG174" i="5" s="1"/>
  <c r="AE243" i="5"/>
  <c r="AF243" i="5"/>
  <c r="AG243" i="5" s="1"/>
  <c r="AE227" i="5"/>
  <c r="AF227" i="5"/>
  <c r="AG227" i="5" s="1"/>
  <c r="AE211" i="5"/>
  <c r="AF211" i="5"/>
  <c r="AG211" i="5" s="1"/>
  <c r="AE195" i="5"/>
  <c r="AF195" i="5"/>
  <c r="AG195" i="5" s="1"/>
  <c r="AE179" i="5"/>
  <c r="AF179" i="5"/>
  <c r="AG179" i="5" s="1"/>
  <c r="AE163" i="5"/>
  <c r="AF163" i="5"/>
  <c r="AG163" i="5" s="1"/>
  <c r="AE147" i="5"/>
  <c r="AF147" i="5"/>
  <c r="AG147" i="5" s="1"/>
  <c r="AE131" i="5"/>
  <c r="AF131" i="5"/>
  <c r="AG131" i="5" s="1"/>
  <c r="AA205" i="5"/>
  <c r="AA242" i="5"/>
  <c r="AA231" i="5"/>
  <c r="AA191" i="5"/>
  <c r="AA202" i="5"/>
  <c r="AA184" i="5"/>
  <c r="AA226" i="5"/>
  <c r="AA156" i="5"/>
  <c r="AA245" i="5"/>
  <c r="AA215" i="5"/>
  <c r="AA240" i="5"/>
  <c r="AA222" i="5"/>
  <c r="AA239" i="5"/>
  <c r="AA146" i="5"/>
  <c r="AA220" i="5"/>
  <c r="AA214" i="5"/>
  <c r="AA201" i="5"/>
  <c r="AA218" i="5"/>
  <c r="AA235" i="5"/>
  <c r="AA228" i="5"/>
  <c r="AA193" i="5"/>
  <c r="AA165" i="5"/>
  <c r="AA159" i="5"/>
  <c r="AA138" i="5"/>
  <c r="AA148" i="5"/>
  <c r="AA229" i="5"/>
  <c r="AA221" i="5"/>
  <c r="AA172" i="5"/>
  <c r="AA185" i="5"/>
  <c r="AA158" i="5"/>
  <c r="AA211" i="5"/>
  <c r="AA224" i="5"/>
  <c r="AA168" i="5"/>
  <c r="AA180" i="5"/>
  <c r="AA161" i="5"/>
  <c r="AA131" i="5"/>
  <c r="AA204" i="5"/>
  <c r="AA166" i="5"/>
  <c r="AA144" i="5"/>
  <c r="AA173" i="5"/>
  <c r="AA143" i="5"/>
  <c r="AA136" i="5"/>
  <c r="AA210" i="5"/>
  <c r="AA133" i="5"/>
  <c r="AA199" i="5"/>
  <c r="AA233" i="5"/>
  <c r="AA139" i="5"/>
  <c r="AA132" i="5"/>
  <c r="AA157" i="5"/>
  <c r="AA241" i="5"/>
  <c r="AA135" i="5"/>
  <c r="AA223" i="5"/>
  <c r="AA234" i="5"/>
  <c r="AA244" i="5"/>
  <c r="AA198" i="5"/>
  <c r="AA238" i="5"/>
  <c r="AA181" i="5"/>
  <c r="AA170" i="5"/>
  <c r="AA216" i="5"/>
  <c r="AA188" i="5"/>
  <c r="AA141" i="5"/>
  <c r="AA177" i="5"/>
  <c r="AA189" i="5"/>
  <c r="AA225" i="5"/>
  <c r="AA179" i="5"/>
  <c r="AA149" i="5"/>
  <c r="AA230" i="5"/>
  <c r="AA176" i="5"/>
  <c r="AA142" i="5"/>
  <c r="AA175" i="5"/>
  <c r="AA200" i="5"/>
  <c r="AA163" i="5"/>
  <c r="AA213" i="5"/>
  <c r="AA137" i="5"/>
  <c r="AA154" i="5"/>
  <c r="AA171" i="5"/>
  <c r="AA164" i="5"/>
  <c r="AA152" i="5"/>
  <c r="AA130" i="5"/>
  <c r="AA160" i="5"/>
  <c r="AA178" i="5"/>
  <c r="AA155" i="5"/>
  <c r="AA147" i="5"/>
  <c r="AA183" i="5"/>
  <c r="AA232" i="5"/>
  <c r="AA182" i="5"/>
  <c r="AA187" i="5"/>
  <c r="AA194" i="5"/>
  <c r="AA134" i="5"/>
  <c r="AA174" i="5"/>
  <c r="AA153" i="5"/>
  <c r="AA237" i="5"/>
  <c r="AA162" i="5"/>
  <c r="AA243" i="5"/>
  <c r="AA197" i="5"/>
  <c r="AA167" i="5"/>
  <c r="AA208" i="5"/>
  <c r="AA190" i="5"/>
  <c r="AA207" i="5"/>
  <c r="AA209" i="5"/>
  <c r="AA227" i="5"/>
  <c r="AA150" i="5"/>
  <c r="AA169" i="5"/>
  <c r="AA186" i="5"/>
  <c r="AA203" i="5"/>
  <c r="AA196" i="5"/>
  <c r="AA145" i="5"/>
  <c r="AA140" i="5"/>
  <c r="AA206" i="5"/>
  <c r="AA217" i="5"/>
  <c r="AA219" i="5"/>
  <c r="AA236" i="5"/>
  <c r="AA192" i="5"/>
  <c r="AA195" i="5"/>
  <c r="AA151" i="5"/>
  <c r="AA212" i="5"/>
  <c r="V234" i="5"/>
  <c r="V186" i="5"/>
  <c r="V146" i="5"/>
  <c r="V237" i="5"/>
  <c r="V221" i="5"/>
  <c r="V205" i="5"/>
  <c r="V189" i="5"/>
  <c r="V173" i="5"/>
  <c r="V157" i="5"/>
  <c r="V141" i="5"/>
  <c r="V222" i="5"/>
  <c r="V182" i="5"/>
  <c r="V138" i="5"/>
  <c r="V232" i="5"/>
  <c r="V216" i="5"/>
  <c r="V200" i="5"/>
  <c r="V184" i="5"/>
  <c r="V168" i="5"/>
  <c r="V152" i="5"/>
  <c r="V136" i="5"/>
  <c r="V218" i="5"/>
  <c r="V162" i="5"/>
  <c r="V239" i="5"/>
  <c r="V223" i="5"/>
  <c r="V207" i="5"/>
  <c r="V191" i="5"/>
  <c r="V175" i="5"/>
  <c r="V159" i="5"/>
  <c r="V143" i="5"/>
  <c r="V226" i="5"/>
  <c r="V178" i="5"/>
  <c r="V134" i="5"/>
  <c r="V233" i="5"/>
  <c r="V217" i="5"/>
  <c r="V201" i="5"/>
  <c r="V185" i="5"/>
  <c r="V169" i="5"/>
  <c r="V153" i="5"/>
  <c r="V137" i="5"/>
  <c r="V214" i="5"/>
  <c r="V166" i="5"/>
  <c r="V244" i="5"/>
  <c r="V228" i="5"/>
  <c r="V212" i="5"/>
  <c r="V196" i="5"/>
  <c r="V180" i="5"/>
  <c r="V164" i="5"/>
  <c r="V148" i="5"/>
  <c r="V132" i="5"/>
  <c r="V206" i="5"/>
  <c r="V142" i="5"/>
  <c r="V235" i="5"/>
  <c r="V219" i="5"/>
  <c r="V203" i="5"/>
  <c r="V187" i="5"/>
  <c r="V171" i="5"/>
  <c r="V155" i="5"/>
  <c r="V139" i="5"/>
  <c r="V210" i="5"/>
  <c r="V170" i="5"/>
  <c r="V245" i="5"/>
  <c r="V229" i="5"/>
  <c r="V213" i="5"/>
  <c r="V197" i="5"/>
  <c r="V181" i="5"/>
  <c r="V165" i="5"/>
  <c r="V149" i="5"/>
  <c r="V133" i="5"/>
  <c r="V202" i="5"/>
  <c r="V154" i="5"/>
  <c r="V240" i="5"/>
  <c r="V224" i="5"/>
  <c r="V208" i="5"/>
  <c r="V192" i="5"/>
  <c r="V176" i="5"/>
  <c r="V160" i="5"/>
  <c r="V144" i="5"/>
  <c r="V242" i="5"/>
  <c r="V190" i="5"/>
  <c r="V130" i="5"/>
  <c r="V231" i="5"/>
  <c r="V215" i="5"/>
  <c r="V199" i="5"/>
  <c r="V183" i="5"/>
  <c r="V167" i="5"/>
  <c r="V151" i="5"/>
  <c r="V135" i="5"/>
  <c r="V198" i="5"/>
  <c r="V158" i="5"/>
  <c r="V241" i="5"/>
  <c r="V225" i="5"/>
  <c r="V209" i="5"/>
  <c r="V193" i="5"/>
  <c r="V177" i="5"/>
  <c r="V161" i="5"/>
  <c r="V145" i="5"/>
  <c r="V238" i="5"/>
  <c r="V194" i="5"/>
  <c r="V150" i="5"/>
  <c r="V236" i="5"/>
  <c r="V220" i="5"/>
  <c r="V204" i="5"/>
  <c r="V188" i="5"/>
  <c r="V172" i="5"/>
  <c r="V156" i="5"/>
  <c r="V140" i="5"/>
  <c r="V230" i="5"/>
  <c r="V174" i="5"/>
  <c r="V243" i="5"/>
  <c r="V227" i="5"/>
  <c r="V211" i="5"/>
  <c r="V195" i="5"/>
  <c r="V179" i="5"/>
  <c r="V163" i="5"/>
  <c r="V147" i="5"/>
  <c r="V131" i="5"/>
  <c r="K8" i="6" l="1"/>
  <c r="AE246" i="5"/>
  <c r="AC131" i="5"/>
  <c r="AC174" i="5"/>
  <c r="AC236" i="5"/>
  <c r="AC209" i="5"/>
  <c r="AC130" i="5"/>
  <c r="AC160" i="5"/>
  <c r="AC133" i="5"/>
  <c r="AC170" i="5"/>
  <c r="AC235" i="5"/>
  <c r="AC214" i="5"/>
  <c r="AC134" i="5"/>
  <c r="AC223" i="5"/>
  <c r="AC200" i="5"/>
  <c r="AC173" i="5"/>
  <c r="AC147" i="5"/>
  <c r="AC211" i="5"/>
  <c r="AC230" i="5"/>
  <c r="AC188" i="5"/>
  <c r="AC150" i="5"/>
  <c r="AC161" i="5"/>
  <c r="AC225" i="5"/>
  <c r="AC135" i="5"/>
  <c r="AC199" i="5"/>
  <c r="AC190" i="5"/>
  <c r="AC176" i="5"/>
  <c r="AC240" i="5"/>
  <c r="AC149" i="5"/>
  <c r="AC213" i="5"/>
  <c r="AC210" i="5"/>
  <c r="AC187" i="5"/>
  <c r="AC142" i="5"/>
  <c r="AC164" i="5"/>
  <c r="AC228" i="5"/>
  <c r="AC137" i="5"/>
  <c r="AC201" i="5"/>
  <c r="AC178" i="5"/>
  <c r="AC175" i="5"/>
  <c r="AC239" i="5"/>
  <c r="AC152" i="5"/>
  <c r="AC216" i="5"/>
  <c r="AC222" i="5"/>
  <c r="AC189" i="5"/>
  <c r="AC146" i="5"/>
  <c r="AC172" i="5"/>
  <c r="AC163" i="5"/>
  <c r="AC227" i="5"/>
  <c r="AC140" i="5"/>
  <c r="AC204" i="5"/>
  <c r="AC194" i="5"/>
  <c r="AC177" i="5"/>
  <c r="AC241" i="5"/>
  <c r="AC151" i="5"/>
  <c r="AC215" i="5"/>
  <c r="AC242" i="5"/>
  <c r="AC192" i="5"/>
  <c r="AC154" i="5"/>
  <c r="AC165" i="5"/>
  <c r="AC229" i="5"/>
  <c r="AC139" i="5"/>
  <c r="AC203" i="5"/>
  <c r="AC206" i="5"/>
  <c r="AC180" i="5"/>
  <c r="AC244" i="5"/>
  <c r="AC153" i="5"/>
  <c r="AC217" i="5"/>
  <c r="AC226" i="5"/>
  <c r="AC191" i="5"/>
  <c r="AC162" i="5"/>
  <c r="AC168" i="5"/>
  <c r="AC232" i="5"/>
  <c r="AC141" i="5"/>
  <c r="AC205" i="5"/>
  <c r="AC186" i="5"/>
  <c r="AC195" i="5"/>
  <c r="AC145" i="5"/>
  <c r="AC198" i="5"/>
  <c r="AC183" i="5"/>
  <c r="AC224" i="5"/>
  <c r="AC197" i="5"/>
  <c r="AC171" i="5"/>
  <c r="AC148" i="5"/>
  <c r="AC212" i="5"/>
  <c r="AC185" i="5"/>
  <c r="AC159" i="5"/>
  <c r="AC136" i="5"/>
  <c r="AC182" i="5"/>
  <c r="AC237" i="5"/>
  <c r="AC179" i="5"/>
  <c r="AC243" i="5"/>
  <c r="AC156" i="5"/>
  <c r="AC220" i="5"/>
  <c r="AC238" i="5"/>
  <c r="AC193" i="5"/>
  <c r="AC158" i="5"/>
  <c r="AC167" i="5"/>
  <c r="AC231" i="5"/>
  <c r="AC144" i="5"/>
  <c r="AC208" i="5"/>
  <c r="AC202" i="5"/>
  <c r="AC181" i="5"/>
  <c r="AC245" i="5"/>
  <c r="AC155" i="5"/>
  <c r="AC219" i="5"/>
  <c r="AC132" i="5"/>
  <c r="AC196" i="5"/>
  <c r="AC166" i="5"/>
  <c r="AC169" i="5"/>
  <c r="AC233" i="5"/>
  <c r="AC143" i="5"/>
  <c r="AC207" i="5"/>
  <c r="AC218" i="5"/>
  <c r="AC184" i="5"/>
  <c r="AC138" i="5"/>
  <c r="AC157" i="5"/>
  <c r="AC221" i="5"/>
  <c r="AC234" i="5"/>
  <c r="V246" i="5"/>
</calcChain>
</file>

<file path=xl/sharedStrings.xml><?xml version="1.0" encoding="utf-8"?>
<sst xmlns="http://schemas.openxmlformats.org/spreadsheetml/2006/main" count="1086" uniqueCount="330">
  <si>
    <t>ProductCode</t>
  </si>
  <si>
    <t>Grand Total</t>
  </si>
  <si>
    <t>A</t>
  </si>
  <si>
    <t>B</t>
  </si>
  <si>
    <t>C</t>
  </si>
  <si>
    <t>Sales</t>
  </si>
  <si>
    <t>D</t>
  </si>
  <si>
    <t>Mean(D)</t>
  </si>
  <si>
    <t>SD(D)</t>
  </si>
  <si>
    <t>Deg_Vol</t>
  </si>
  <si>
    <t>LT</t>
  </si>
  <si>
    <t>EOQ</t>
  </si>
  <si>
    <t>Mean
(Demand over LT)</t>
  </si>
  <si>
    <t>SD
(Demand over LT)</t>
  </si>
  <si>
    <t>#Days/Month</t>
  </si>
  <si>
    <t>Ct</t>
  </si>
  <si>
    <t>h</t>
  </si>
  <si>
    <t>Safety Stock</t>
  </si>
  <si>
    <t>Re-Order Point</t>
  </si>
  <si>
    <t>Cycle Stock</t>
  </si>
  <si>
    <t>E(US)</t>
  </si>
  <si>
    <t>IFR</t>
  </si>
  <si>
    <t>T(Act)
(Days)</t>
  </si>
  <si>
    <t>DiCi</t>
  </si>
  <si>
    <t>Re-order
(Weeks)</t>
  </si>
  <si>
    <t>SKU Type</t>
  </si>
  <si>
    <t>Inv Policy</t>
  </si>
  <si>
    <t>Policy Type</t>
  </si>
  <si>
    <t>k</t>
  </si>
  <si>
    <t>G(k)</t>
  </si>
  <si>
    <t>R</t>
  </si>
  <si>
    <t>LT+R</t>
  </si>
  <si>
    <t>Continous</t>
  </si>
  <si>
    <t>(s,Q)</t>
  </si>
  <si>
    <t>Periodic</t>
  </si>
  <si>
    <t>Breakpoint</t>
  </si>
  <si>
    <t>w1</t>
  </si>
  <si>
    <t>w2</t>
  </si>
  <si>
    <t>weeks</t>
  </si>
  <si>
    <t>w3</t>
  </si>
  <si>
    <t>w4</t>
  </si>
  <si>
    <t>w5</t>
  </si>
  <si>
    <t>w6</t>
  </si>
  <si>
    <t>C(logistics)</t>
  </si>
  <si>
    <t>C(Product)</t>
  </si>
  <si>
    <t>SD (LT)</t>
  </si>
  <si>
    <t>Mean (LT)</t>
  </si>
  <si>
    <t>w7</t>
  </si>
  <si>
    <t>w8</t>
  </si>
  <si>
    <t>w9</t>
  </si>
  <si>
    <t>w10</t>
  </si>
  <si>
    <t>Q</t>
  </si>
  <si>
    <t>Order Upto (S)</t>
  </si>
  <si>
    <t>LoS (CSL)</t>
  </si>
  <si>
    <t>(R,S)</t>
  </si>
  <si>
    <t>Segment</t>
  </si>
  <si>
    <t>SPD00486</t>
  </si>
  <si>
    <t>SPD00545</t>
  </si>
  <si>
    <t>SPD00443</t>
  </si>
  <si>
    <t>SPD00438</t>
  </si>
  <si>
    <t>SPD00385</t>
  </si>
  <si>
    <t>SPD00351</t>
  </si>
  <si>
    <t>SPD00463</t>
  </si>
  <si>
    <t>SPD00430</t>
  </si>
  <si>
    <t>SPD00309</t>
  </si>
  <si>
    <t>SPD00900</t>
  </si>
  <si>
    <t>SPD00534</t>
  </si>
  <si>
    <t>SPD00354</t>
  </si>
  <si>
    <t>SPD00421</t>
  </si>
  <si>
    <t>SPD00413</t>
  </si>
  <si>
    <t>SPD00067</t>
  </si>
  <si>
    <t>SPD00356</t>
  </si>
  <si>
    <t>SPD00390</t>
  </si>
  <si>
    <t>SPD00347</t>
  </si>
  <si>
    <t>SPD00888</t>
  </si>
  <si>
    <t>SPD00485</t>
  </si>
  <si>
    <t>SPD00482</t>
  </si>
  <si>
    <t>SPD00441</t>
  </si>
  <si>
    <t>SPD00408</t>
  </si>
  <si>
    <t>SPD00576</t>
  </si>
  <si>
    <t>SPD00976</t>
  </si>
  <si>
    <t>SPD00431</t>
  </si>
  <si>
    <t>SPD00863</t>
  </si>
  <si>
    <t>SPD00039</t>
  </si>
  <si>
    <t>SPD00546</t>
  </si>
  <si>
    <t>SPD00355</t>
  </si>
  <si>
    <t>SPD00635</t>
  </si>
  <si>
    <t>SPD00518</t>
  </si>
  <si>
    <t>SPD00034</t>
  </si>
  <si>
    <t>SPD00533</t>
  </si>
  <si>
    <t>SPD00386</t>
  </si>
  <si>
    <t>SPD00419</t>
  </si>
  <si>
    <t>SPD00352</t>
  </si>
  <si>
    <t>SPD00448</t>
  </si>
  <si>
    <t>SPD00669</t>
  </si>
  <si>
    <t>SPD00358</t>
  </si>
  <si>
    <t>SPD00456</t>
  </si>
  <si>
    <t>SPD00353</t>
  </si>
  <si>
    <t>SPD00601</t>
  </si>
  <si>
    <t>SPD00850</t>
  </si>
  <si>
    <t>SPD00357</t>
  </si>
  <si>
    <t>SPD00405</t>
  </si>
  <si>
    <t>SPD00400</t>
  </si>
  <si>
    <t>SPD00633</t>
  </si>
  <si>
    <t>SPD00105</t>
  </si>
  <si>
    <t>SPD00276</t>
  </si>
  <si>
    <t>SPD00008</t>
  </si>
  <si>
    <t>SPD00348</t>
  </si>
  <si>
    <t>SPD00115</t>
  </si>
  <si>
    <t>SPD00232</t>
  </si>
  <si>
    <t>SPD00687</t>
  </si>
  <si>
    <t>SPD00360</t>
  </si>
  <si>
    <t>SPDZR02G</t>
  </si>
  <si>
    <t>SPD00387</t>
  </si>
  <si>
    <t>SPD01009</t>
  </si>
  <si>
    <t>SPD00093</t>
  </si>
  <si>
    <t>SPD00116</t>
  </si>
  <si>
    <t>SPD00715</t>
  </si>
  <si>
    <t>SPD00887</t>
  </si>
  <si>
    <t>SPD00052</t>
  </si>
  <si>
    <t>SPD00417</t>
  </si>
  <si>
    <t>SPD00370</t>
  </si>
  <si>
    <t>SPD00711</t>
  </si>
  <si>
    <t>SPD01017</t>
  </si>
  <si>
    <t>SPD00668</t>
  </si>
  <si>
    <t>SPD00249</t>
  </si>
  <si>
    <t>SPD00368</t>
  </si>
  <si>
    <t>SPD00717</t>
  </si>
  <si>
    <t>SPD00449</t>
  </si>
  <si>
    <t>SPD00422</t>
  </si>
  <si>
    <t>SPD00065</t>
  </si>
  <si>
    <t>SPD01008</t>
  </si>
  <si>
    <t>SPD00616</t>
  </si>
  <si>
    <t>SPD00480</t>
  </si>
  <si>
    <t>SPD00514</t>
  </si>
  <si>
    <t>SPD00472</t>
  </si>
  <si>
    <t>SPD00346</t>
  </si>
  <si>
    <t>SPD00349</t>
  </si>
  <si>
    <t>SPD00521</t>
  </si>
  <si>
    <t>SPD00444</t>
  </si>
  <si>
    <t>SPD00293</t>
  </si>
  <si>
    <t>SPD00128</t>
  </si>
  <si>
    <t>SPD00389</t>
  </si>
  <si>
    <t>SPD00974</t>
  </si>
  <si>
    <t>SPD00045</t>
  </si>
  <si>
    <t>SPD00883</t>
  </si>
  <si>
    <t>SPD00817</t>
  </si>
  <si>
    <t>SPD00973</t>
  </si>
  <si>
    <t>SPD00637</t>
  </si>
  <si>
    <t>SPD00331</t>
  </si>
  <si>
    <t>SPD00345</t>
  </si>
  <si>
    <t>SPD00134</t>
  </si>
  <si>
    <t>SPD00489</t>
  </si>
  <si>
    <t>SPD00688</t>
  </si>
  <si>
    <t>SPD00634</t>
  </si>
  <si>
    <t>SPD00999</t>
  </si>
  <si>
    <t>SPD00053</t>
  </si>
  <si>
    <t>SPD00042</t>
  </si>
  <si>
    <t>SPD00542</t>
  </si>
  <si>
    <t>SPD00964</t>
  </si>
  <si>
    <t>SPD00496</t>
  </si>
  <si>
    <t>SPD00445</t>
  </si>
  <si>
    <t>SPD00889</t>
  </si>
  <si>
    <t>SPD00429</t>
  </si>
  <si>
    <t>SPD00916</t>
  </si>
  <si>
    <t>SPD00263</t>
  </si>
  <si>
    <t>SPD00350</t>
  </si>
  <si>
    <t>SPD00090</t>
  </si>
  <si>
    <t>SPD00282</t>
  </si>
  <si>
    <t>SPD01026</t>
  </si>
  <si>
    <t>SPD00404</t>
  </si>
  <si>
    <t>SPD00379</t>
  </si>
  <si>
    <t>SPD00122</t>
  </si>
  <si>
    <t>SPD00254</t>
  </si>
  <si>
    <t>SPD00536</t>
  </si>
  <si>
    <t>SPD01051</t>
  </si>
  <si>
    <t>SPD00843</t>
  </si>
  <si>
    <t>SPD00245</t>
  </si>
  <si>
    <t>SPD01061</t>
  </si>
  <si>
    <t>SPD00297</t>
  </si>
  <si>
    <t>SPD00375</t>
  </si>
  <si>
    <t>SPD00814</t>
  </si>
  <si>
    <t>SPD00551</t>
  </si>
  <si>
    <t>SPD00040</t>
  </si>
  <si>
    <t>SPD00464</t>
  </si>
  <si>
    <t>SPD00411</t>
  </si>
  <si>
    <t>SPD00716</t>
  </si>
  <si>
    <t>SPD00036</t>
  </si>
  <si>
    <t>SPD00636</t>
  </si>
  <si>
    <t>SPD00488</t>
  </si>
  <si>
    <t>SPD00407</t>
  </si>
  <si>
    <t>SPD01115</t>
  </si>
  <si>
    <t>SPD00966</t>
  </si>
  <si>
    <t>SPD00473</t>
  </si>
  <si>
    <t>SPD00962</t>
  </si>
  <si>
    <t>SPD00126</t>
  </si>
  <si>
    <t>SPD00447</t>
  </si>
  <si>
    <t>SPD00364</t>
  </si>
  <si>
    <t>SPD00094</t>
  </si>
  <si>
    <t>SPD00638</t>
  </si>
  <si>
    <t>SPD00380</t>
  </si>
  <si>
    <t>SPD00844</t>
  </si>
  <si>
    <t>SPD00383</t>
  </si>
  <si>
    <t>SPD00602</t>
  </si>
  <si>
    <t>SPD00089</t>
  </si>
  <si>
    <t>SPD00471</t>
  </si>
  <si>
    <t>SPD00426</t>
  </si>
  <si>
    <t>SPD00462</t>
  </si>
  <si>
    <t>SPD00246</t>
  </si>
  <si>
    <t>SPD00032</t>
  </si>
  <si>
    <t>SPD00495</t>
  </si>
  <si>
    <t>SPD00972</t>
  </si>
  <si>
    <t>SPD00457</t>
  </si>
  <si>
    <t>SPD00247</t>
  </si>
  <si>
    <t>SPD00938</t>
  </si>
  <si>
    <t>SPD01079</t>
  </si>
  <si>
    <t>SPD00037</t>
  </si>
  <si>
    <t>SPD00106</t>
  </si>
  <si>
    <t>SPD00336</t>
  </si>
  <si>
    <t>SPD00428</t>
  </si>
  <si>
    <t>SPD00537</t>
  </si>
  <si>
    <t>SPD00395</t>
  </si>
  <si>
    <t>SPD00388</t>
  </si>
  <si>
    <t>SPD00632</t>
  </si>
  <si>
    <t>SPD00513</t>
  </si>
  <si>
    <t>SPD00569</t>
  </si>
  <si>
    <t>SPD01022</t>
  </si>
  <si>
    <t>SPD00960</t>
  </si>
  <si>
    <t>SPD00124</t>
  </si>
  <si>
    <t>SPD00849</t>
  </si>
  <si>
    <t>SPD00321</t>
  </si>
  <si>
    <t>SPD01014</t>
  </si>
  <si>
    <t>SPD00571</t>
  </si>
  <si>
    <t>SPD01047</t>
  </si>
  <si>
    <t>SPD00971</t>
  </si>
  <si>
    <t>SPD00416</t>
  </si>
  <si>
    <t>SPD00476</t>
  </si>
  <si>
    <t>SPD00705</t>
  </si>
  <si>
    <t>SPD00516</t>
  </si>
  <si>
    <t>SPD00478</t>
  </si>
  <si>
    <t>SPD00423</t>
  </si>
  <si>
    <t>SPD01015</t>
  </si>
  <si>
    <t>SPD00038</t>
  </si>
  <si>
    <t>SPD00391</t>
  </si>
  <si>
    <t>SPD00552</t>
  </si>
  <si>
    <t>SPD00049</t>
  </si>
  <si>
    <t>SPD01144</t>
  </si>
  <si>
    <t>SPD00910</t>
  </si>
  <si>
    <t>SPD00986</t>
  </si>
  <si>
    <t>SPD00359</t>
  </si>
  <si>
    <t>SPD00466</t>
  </si>
  <si>
    <t>SPD00921</t>
  </si>
  <si>
    <t>SPD00639</t>
  </si>
  <si>
    <t>SPD00520</t>
  </si>
  <si>
    <t>SPD00718</t>
  </si>
  <si>
    <t>SPD00012</t>
  </si>
  <si>
    <t>SPD00051</t>
  </si>
  <si>
    <t>SPD00644</t>
  </si>
  <si>
    <t>SPD00607</t>
  </si>
  <si>
    <t>SPD00460</t>
  </si>
  <si>
    <t>SPD00412</t>
  </si>
  <si>
    <t>SPD00907</t>
  </si>
  <si>
    <t>SPD00137</t>
  </si>
  <si>
    <t>SPD00424</t>
  </si>
  <si>
    <t>SPD00704</t>
  </si>
  <si>
    <t>SPD00846</t>
  </si>
  <si>
    <t>SPD00845</t>
  </si>
  <si>
    <t>SPD00056</t>
  </si>
  <si>
    <t>SPD00397</t>
  </si>
  <si>
    <t>SPD00130</t>
  </si>
  <si>
    <t>SPD00461</t>
  </si>
  <si>
    <t>SPD00905</t>
  </si>
  <si>
    <t>SPD00127</t>
  </si>
  <si>
    <t>SPD00231</t>
  </si>
  <si>
    <t>SPD01050</t>
  </si>
  <si>
    <t>SPD00402</t>
  </si>
  <si>
    <t>SPD00218</t>
  </si>
  <si>
    <t>SPD00860</t>
  </si>
  <si>
    <t>SPD00474</t>
  </si>
  <si>
    <t>SPD00848</t>
  </si>
  <si>
    <t>SPD00392</t>
  </si>
  <si>
    <t>SPD00396</t>
  </si>
  <si>
    <t>SPD00035</t>
  </si>
  <si>
    <t>SPD00842</t>
  </si>
  <si>
    <t>SPD00140</t>
  </si>
  <si>
    <t>SPD00816</t>
  </si>
  <si>
    <t>SPD00274</t>
  </si>
  <si>
    <t>SPD00326</t>
  </si>
  <si>
    <t>SPD00947</t>
  </si>
  <si>
    <t>SPD00459</t>
  </si>
  <si>
    <t>SPD00376</t>
  </si>
  <si>
    <t>SPD00135</t>
  </si>
  <si>
    <t>SPD00139</t>
  </si>
  <si>
    <t>SPD00794</t>
  </si>
  <si>
    <t>SPD00540</t>
  </si>
  <si>
    <t>SPD00917</t>
  </si>
  <si>
    <t># Days/(Apr-Mar)</t>
  </si>
  <si>
    <t>Ordering Cost</t>
  </si>
  <si>
    <t>Inventory Holding Cost</t>
  </si>
  <si>
    <t>20% p.a.</t>
  </si>
  <si>
    <t>As a Supply Chain Head, you want to assess the following</t>
  </si>
  <si>
    <t>Case Study: Inventory Management (Managing Multiple Items)</t>
  </si>
  <si>
    <t>EcoDrive is an Automotive Manufacturing company which manufactures Spare Parts for both OEMs as well as After Market</t>
  </si>
  <si>
    <t>They have a manufacturing unit in Manesar</t>
  </si>
  <si>
    <t>They have distribution across Pan India for which they have multiple depots</t>
  </si>
  <si>
    <t>One of their Key depot is located in Pune</t>
  </si>
  <si>
    <t>Pune Depot manages and sells 240 SKUs</t>
  </si>
  <si>
    <t>They have categorized these 240 SKUs basis ABC method of Segmentation</t>
  </si>
  <si>
    <t>They also follow the Economic Order Quantity (EOQ) Concept for replenishing their stocks from the Plant</t>
  </si>
  <si>
    <t>Since, the Pune depot manages 240 SKUs, they need to consolidate their orders to the Plant for better co-ordination</t>
  </si>
  <si>
    <t>INR 250 per Order</t>
  </si>
  <si>
    <t>Product Cost</t>
  </si>
  <si>
    <t>INR 150 per Unit</t>
  </si>
  <si>
    <t>Logistics Cost</t>
  </si>
  <si>
    <t>INR 8 per Unit</t>
  </si>
  <si>
    <t>They also have standardized following costs</t>
  </si>
  <si>
    <t>Average Lead time from Manesar to Pune is 5.44 days with Standard deviation of 1.06 days</t>
  </si>
  <si>
    <t>The Sales Data for last 1 year has been analyzed in details to determine the ABC Segment of each SKU</t>
  </si>
  <si>
    <t>a. Design the Inventory Policy for each Segment</t>
  </si>
  <si>
    <t>c. Determine the most optimal way for replenishing orders from the plant</t>
  </si>
  <si>
    <t>b. How to effectively manage multiple items at Pune depot</t>
  </si>
  <si>
    <t>Their Supply Chain department also has a well defined Inventory Policy for each of these Segments</t>
  </si>
  <si>
    <t>T* (Days)</t>
  </si>
  <si>
    <t>Row Labels</t>
  </si>
  <si>
    <t>Sum of D</t>
  </si>
  <si>
    <t># SKUs</t>
  </si>
  <si>
    <t>Demand</t>
  </si>
  <si>
    <t>Re-Order</t>
  </si>
  <si>
    <t>Power of 2</t>
  </si>
  <si>
    <t>Breakpoints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</si>
</sst>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0.0000"/>
    <numFmt numFmtId="168" formatCode="_(* #,##0.000_);_(* \(#,##0.000\);_(* &quot;-&quot;??_);_(@_)"/>
    <numFmt numFmtId="169" formatCode="_(* #,##0.0000_);_(* \(#,##0.00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6" fontId="0" fillId="0" borderId="0" xfId="0" applyNumberFormat="1"/>
    <xf numFmtId="167" fontId="0" fillId="0" borderId="0" xfId="0" applyNumberFormat="1"/>
    <xf numFmtId="10" fontId="0" fillId="0" borderId="0" xfId="2" applyNumberFormat="1" applyFont="1"/>
    <xf numFmtId="15" fontId="0" fillId="0" borderId="0" xfId="0" applyNumberFormat="1" applyAlignment="1">
      <alignment vertical="center"/>
    </xf>
    <xf numFmtId="1" fontId="0" fillId="0" borderId="0" xfId="0" applyNumberFormat="1"/>
    <xf numFmtId="9" fontId="0" fillId="0" borderId="0" xfId="2" applyFont="1"/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65" fontId="0" fillId="0" borderId="5" xfId="0" applyNumberFormat="1" applyBorder="1" applyAlignment="1">
      <alignment vertical="center"/>
    </xf>
    <xf numFmtId="165" fontId="0" fillId="0" borderId="6" xfId="0" applyNumberForma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7" fontId="2" fillId="2" borderId="8" xfId="0" applyNumberFormat="1" applyFont="1" applyFill="1" applyBorder="1" applyAlignment="1">
      <alignment vertical="center"/>
    </xf>
    <xf numFmtId="17" fontId="2" fillId="2" borderId="9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65" fontId="0" fillId="0" borderId="12" xfId="0" applyNumberFormat="1" applyBorder="1" applyAlignment="1">
      <alignment vertical="center"/>
    </xf>
    <xf numFmtId="165" fontId="0" fillId="0" borderId="13" xfId="0" applyNumberFormat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165" fontId="2" fillId="3" borderId="8" xfId="0" applyNumberFormat="1" applyFont="1" applyFill="1" applyBorder="1" applyAlignment="1">
      <alignment vertical="center"/>
    </xf>
    <xf numFmtId="165" fontId="2" fillId="3" borderId="9" xfId="0" applyNumberFormat="1" applyFont="1" applyFill="1" applyBorder="1" applyAlignment="1">
      <alignment vertical="center"/>
    </xf>
    <xf numFmtId="164" fontId="2" fillId="4" borderId="10" xfId="0" applyNumberFormat="1" applyFont="1" applyFill="1" applyBorder="1" applyAlignment="1">
      <alignment vertical="center"/>
    </xf>
    <xf numFmtId="17" fontId="2" fillId="2" borderId="14" xfId="0" applyNumberFormat="1" applyFont="1" applyFill="1" applyBorder="1" applyAlignment="1">
      <alignment vertical="center"/>
    </xf>
    <xf numFmtId="165" fontId="0" fillId="0" borderId="15" xfId="0" applyNumberFormat="1" applyBorder="1" applyAlignment="1">
      <alignment vertical="center"/>
    </xf>
    <xf numFmtId="165" fontId="0" fillId="0" borderId="16" xfId="0" applyNumberFormat="1" applyBorder="1" applyAlignment="1">
      <alignment vertical="center"/>
    </xf>
    <xf numFmtId="165" fontId="0" fillId="0" borderId="17" xfId="0" applyNumberFormat="1" applyBorder="1" applyAlignment="1">
      <alignment vertical="center"/>
    </xf>
    <xf numFmtId="165" fontId="2" fillId="3" borderId="14" xfId="0" applyNumberFormat="1" applyFont="1" applyFill="1" applyBorder="1" applyAlignment="1">
      <alignment vertical="center"/>
    </xf>
    <xf numFmtId="165" fontId="0" fillId="0" borderId="2" xfId="0" applyNumberFormat="1" applyBorder="1" applyAlignment="1">
      <alignment vertical="center"/>
    </xf>
    <xf numFmtId="165" fontId="0" fillId="0" borderId="16" xfId="1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8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69" fontId="0" fillId="0" borderId="1" xfId="0" applyNumberFormat="1" applyBorder="1" applyAlignment="1">
      <alignment vertical="center"/>
    </xf>
    <xf numFmtId="10" fontId="0" fillId="0" borderId="1" xfId="2" applyNumberFormat="1" applyFont="1" applyBorder="1" applyAlignment="1">
      <alignment vertical="center"/>
    </xf>
    <xf numFmtId="1" fontId="0" fillId="0" borderId="2" xfId="0" applyNumberFormat="1" applyBorder="1" applyAlignment="1">
      <alignment vertical="center"/>
    </xf>
    <xf numFmtId="1" fontId="0" fillId="0" borderId="16" xfId="0" applyNumberFormat="1" applyBorder="1" applyAlignment="1">
      <alignment vertical="center"/>
    </xf>
    <xf numFmtId="165" fontId="0" fillId="0" borderId="1" xfId="0" applyNumberFormat="1" applyBorder="1"/>
    <xf numFmtId="164" fontId="0" fillId="0" borderId="2" xfId="0" applyNumberFormat="1" applyBorder="1" applyAlignment="1">
      <alignment vertical="center"/>
    </xf>
    <xf numFmtId="1" fontId="0" fillId="0" borderId="3" xfId="0" applyNumberFormat="1" applyBorder="1"/>
    <xf numFmtId="165" fontId="0" fillId="0" borderId="4" xfId="0" applyNumberFormat="1" applyBorder="1" applyAlignment="1">
      <alignment vertical="center"/>
    </xf>
    <xf numFmtId="165" fontId="0" fillId="0" borderId="15" xfId="1" applyNumberFormat="1" applyFont="1" applyBorder="1" applyAlignment="1">
      <alignment vertical="center"/>
    </xf>
    <xf numFmtId="164" fontId="0" fillId="0" borderId="19" xfId="0" applyNumberFormat="1" applyBorder="1" applyAlignment="1">
      <alignment vertical="center"/>
    </xf>
    <xf numFmtId="1" fontId="0" fillId="0" borderId="4" xfId="0" applyNumberFormat="1" applyBorder="1" applyAlignment="1">
      <alignment vertical="center"/>
    </xf>
    <xf numFmtId="1" fontId="0" fillId="0" borderId="5" xfId="0" applyNumberFormat="1" applyBorder="1" applyAlignment="1">
      <alignment vertical="center"/>
    </xf>
    <xf numFmtId="2" fontId="0" fillId="0" borderId="5" xfId="0" applyNumberFormat="1" applyBorder="1" applyAlignment="1">
      <alignment vertical="center"/>
    </xf>
    <xf numFmtId="169" fontId="0" fillId="0" borderId="5" xfId="0" applyNumberFormat="1" applyBorder="1" applyAlignment="1">
      <alignment vertical="center"/>
    </xf>
    <xf numFmtId="10" fontId="0" fillId="0" borderId="5" xfId="2" applyNumberFormat="1" applyFont="1" applyBorder="1" applyAlignment="1">
      <alignment vertical="center"/>
    </xf>
    <xf numFmtId="1" fontId="0" fillId="0" borderId="15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5" fontId="0" fillId="0" borderId="5" xfId="0" applyNumberFormat="1" applyBorder="1"/>
    <xf numFmtId="164" fontId="0" fillId="0" borderId="5" xfId="0" applyNumberFormat="1" applyBorder="1" applyAlignment="1">
      <alignment vertical="center"/>
    </xf>
    <xf numFmtId="1" fontId="0" fillId="0" borderId="6" xfId="0" applyNumberFormat="1" applyBorder="1"/>
    <xf numFmtId="0" fontId="2" fillId="2" borderId="14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165" fontId="0" fillId="0" borderId="11" xfId="0" applyNumberFormat="1" applyBorder="1" applyAlignment="1">
      <alignment vertical="center"/>
    </xf>
    <xf numFmtId="165" fontId="0" fillId="0" borderId="17" xfId="1" applyNumberFormat="1" applyFont="1" applyBorder="1" applyAlignment="1">
      <alignment vertical="center"/>
    </xf>
    <xf numFmtId="164" fontId="0" fillId="0" borderId="20" xfId="0" applyNumberFormat="1" applyBorder="1" applyAlignment="1">
      <alignment vertical="center"/>
    </xf>
    <xf numFmtId="1" fontId="0" fillId="0" borderId="11" xfId="0" applyNumberFormat="1" applyBorder="1" applyAlignment="1">
      <alignment vertical="center"/>
    </xf>
    <xf numFmtId="1" fontId="0" fillId="0" borderId="12" xfId="0" applyNumberFormat="1" applyBorder="1" applyAlignment="1">
      <alignment vertical="center"/>
    </xf>
    <xf numFmtId="2" fontId="0" fillId="0" borderId="12" xfId="0" applyNumberFormat="1" applyBorder="1" applyAlignment="1">
      <alignment vertical="center"/>
    </xf>
    <xf numFmtId="169" fontId="0" fillId="0" borderId="12" xfId="0" applyNumberFormat="1" applyBorder="1" applyAlignment="1">
      <alignment vertical="center"/>
    </xf>
    <xf numFmtId="10" fontId="0" fillId="0" borderId="12" xfId="2" applyNumberFormat="1" applyFont="1" applyBorder="1" applyAlignment="1">
      <alignment vertical="center"/>
    </xf>
    <xf numFmtId="1" fontId="0" fillId="0" borderId="17" xfId="0" applyNumberFormat="1" applyBorder="1" applyAlignment="1">
      <alignment vertical="center"/>
    </xf>
    <xf numFmtId="164" fontId="0" fillId="0" borderId="11" xfId="0" applyNumberFormat="1" applyBorder="1" applyAlignment="1">
      <alignment vertical="center"/>
    </xf>
    <xf numFmtId="165" fontId="0" fillId="0" borderId="12" xfId="0" applyNumberFormat="1" applyBorder="1"/>
    <xf numFmtId="164" fontId="0" fillId="0" borderId="12" xfId="0" applyNumberFormat="1" applyBorder="1" applyAlignment="1">
      <alignment vertical="center"/>
    </xf>
    <xf numFmtId="1" fontId="0" fillId="0" borderId="13" xfId="0" applyNumberFormat="1" applyBorder="1"/>
    <xf numFmtId="165" fontId="2" fillId="3" borderId="7" xfId="0" applyNumberFormat="1" applyFont="1" applyFill="1" applyBorder="1" applyAlignment="1">
      <alignment vertical="center"/>
    </xf>
    <xf numFmtId="1" fontId="2" fillId="4" borderId="7" xfId="0" applyNumberFormat="1" applyFont="1" applyFill="1" applyBorder="1" applyAlignment="1">
      <alignment vertical="center"/>
    </xf>
    <xf numFmtId="1" fontId="2" fillId="4" borderId="8" xfId="0" applyNumberFormat="1" applyFont="1" applyFill="1" applyBorder="1" applyAlignment="1">
      <alignment vertical="center"/>
    </xf>
    <xf numFmtId="2" fontId="2" fillId="4" borderId="8" xfId="0" applyNumberFormat="1" applyFont="1" applyFill="1" applyBorder="1" applyAlignment="1">
      <alignment vertical="center"/>
    </xf>
    <xf numFmtId="165" fontId="2" fillId="4" borderId="8" xfId="0" applyNumberFormat="1" applyFont="1" applyFill="1" applyBorder="1" applyAlignment="1">
      <alignment vertical="center"/>
    </xf>
    <xf numFmtId="168" fontId="2" fillId="4" borderId="8" xfId="0" applyNumberFormat="1" applyFont="1" applyFill="1" applyBorder="1" applyAlignment="1">
      <alignment vertical="center"/>
    </xf>
    <xf numFmtId="169" fontId="2" fillId="4" borderId="8" xfId="0" applyNumberFormat="1" applyFont="1" applyFill="1" applyBorder="1" applyAlignment="1">
      <alignment vertical="center"/>
    </xf>
    <xf numFmtId="167" fontId="2" fillId="4" borderId="8" xfId="0" applyNumberFormat="1" applyFont="1" applyFill="1" applyBorder="1" applyAlignment="1">
      <alignment vertical="center"/>
    </xf>
    <xf numFmtId="1" fontId="2" fillId="4" borderId="14" xfId="0" applyNumberFormat="1" applyFont="1" applyFill="1" applyBorder="1" applyAlignment="1">
      <alignment vertical="center"/>
    </xf>
    <xf numFmtId="164" fontId="2" fillId="4" borderId="7" xfId="0" applyNumberFormat="1" applyFont="1" applyFill="1" applyBorder="1" applyAlignment="1">
      <alignment vertical="center"/>
    </xf>
    <xf numFmtId="165" fontId="2" fillId="4" borderId="8" xfId="0" applyNumberFormat="1" applyFont="1" applyFill="1" applyBorder="1"/>
    <xf numFmtId="164" fontId="2" fillId="4" borderId="8" xfId="0" applyNumberFormat="1" applyFont="1" applyFill="1" applyBorder="1" applyAlignment="1">
      <alignment vertical="center"/>
    </xf>
    <xf numFmtId="1" fontId="2" fillId="4" borderId="9" xfId="0" applyNumberFormat="1" applyFont="1" applyFill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1" xfId="0" applyBorder="1"/>
    <xf numFmtId="166" fontId="0" fillId="0" borderId="1" xfId="0" applyNumberFormat="1" applyBorder="1"/>
    <xf numFmtId="2" fontId="0" fillId="0" borderId="1" xfId="0" applyNumberFormat="1" applyBorder="1"/>
    <xf numFmtId="167" fontId="0" fillId="0" borderId="1" xfId="0" applyNumberFormat="1" applyBorder="1"/>
    <xf numFmtId="0" fontId="0" fillId="0" borderId="2" xfId="0" applyBorder="1"/>
    <xf numFmtId="10" fontId="0" fillId="0" borderId="3" xfId="0" applyNumberFormat="1" applyBorder="1"/>
    <xf numFmtId="0" fontId="0" fillId="0" borderId="21" xfId="0" applyBorder="1"/>
    <xf numFmtId="0" fontId="0" fillId="0" borderId="26" xfId="0" applyBorder="1"/>
    <xf numFmtId="166" fontId="0" fillId="0" borderId="26" xfId="0" applyNumberFormat="1" applyBorder="1"/>
    <xf numFmtId="2" fontId="0" fillId="0" borderId="26" xfId="0" applyNumberFormat="1" applyBorder="1"/>
    <xf numFmtId="167" fontId="0" fillId="0" borderId="26" xfId="0" applyNumberFormat="1" applyBorder="1"/>
    <xf numFmtId="10" fontId="0" fillId="0" borderId="22" xfId="0" applyNumberFormat="1" applyBorder="1"/>
    <xf numFmtId="0" fontId="0" fillId="0" borderId="4" xfId="0" applyBorder="1"/>
    <xf numFmtId="0" fontId="0" fillId="0" borderId="5" xfId="0" applyBorder="1"/>
    <xf numFmtId="166" fontId="0" fillId="0" borderId="5" xfId="0" applyNumberFormat="1" applyBorder="1"/>
    <xf numFmtId="2" fontId="0" fillId="0" borderId="5" xfId="0" applyNumberFormat="1" applyBorder="1"/>
    <xf numFmtId="167" fontId="0" fillId="0" borderId="5" xfId="0" applyNumberFormat="1" applyBorder="1"/>
    <xf numFmtId="10" fontId="0" fillId="0" borderId="6" xfId="0" applyNumberFormat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0" borderId="24" xfId="0" applyFont="1" applyBorder="1"/>
    <xf numFmtId="2" fontId="0" fillId="0" borderId="25" xfId="0" applyNumberFormat="1" applyBorder="1"/>
    <xf numFmtId="0" fontId="2" fillId="0" borderId="21" xfId="0" applyFont="1" applyBorder="1"/>
    <xf numFmtId="2" fontId="0" fillId="0" borderId="22" xfId="0" applyNumberFormat="1" applyBorder="1"/>
    <xf numFmtId="2" fontId="0" fillId="0" borderId="3" xfId="0" applyNumberFormat="1" applyBorder="1"/>
    <xf numFmtId="0" fontId="0" fillId="0" borderId="22" xfId="0" applyBorder="1"/>
    <xf numFmtId="2" fontId="0" fillId="0" borderId="6" xfId="0" applyNumberFormat="1" applyBorder="1"/>
    <xf numFmtId="0" fontId="2" fillId="4" borderId="10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0" fillId="0" borderId="23" xfId="0" applyBorder="1"/>
    <xf numFmtId="0" fontId="0" fillId="4" borderId="23" xfId="0" applyFill="1" applyBorder="1"/>
    <xf numFmtId="9" fontId="0" fillId="4" borderId="23" xfId="0" applyNumberFormat="1" applyFill="1" applyBorder="1"/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pivotButton="1" applyAlignment="1">
      <alignment horizontal="left"/>
    </xf>
    <xf numFmtId="1" fontId="0" fillId="0" borderId="0" xfId="0" applyNumberFormat="1" applyAlignment="1">
      <alignment horizontal="left"/>
    </xf>
    <xf numFmtId="0" fontId="2" fillId="2" borderId="29" xfId="0" applyFont="1" applyFill="1" applyBorder="1" applyAlignment="1">
      <alignment vertical="center"/>
    </xf>
    <xf numFmtId="9" fontId="0" fillId="0" borderId="23" xfId="0" applyNumberFormat="1" applyBorder="1"/>
    <xf numFmtId="0" fontId="0" fillId="0" borderId="30" xfId="0" applyBorder="1" applyAlignment="1">
      <alignment vertical="center"/>
    </xf>
    <xf numFmtId="0" fontId="0" fillId="0" borderId="23" xfId="0" applyBorder="1" applyAlignment="1">
      <alignment vertical="center"/>
    </xf>
    <xf numFmtId="2" fontId="0" fillId="0" borderId="23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12">
    <dxf>
      <numFmt numFmtId="13" formatCode="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1</xdr:row>
      <xdr:rowOff>19050</xdr:rowOff>
    </xdr:from>
    <xdr:to>
      <xdr:col>1</xdr:col>
      <xdr:colOff>250885</xdr:colOff>
      <xdr:row>2</xdr:row>
      <xdr:rowOff>181163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24D040-E43E-405B-9E4B-BE9F16AFF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217170"/>
          <a:ext cx="1995864" cy="36023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3.313429629627" createdVersion="8" refreshedVersion="8" minRefreshableVersion="3" recordCount="240" xr:uid="{1A913BB6-7F11-40E8-BF8B-9332FDF7A185}">
  <cacheSource type="worksheet">
    <worksheetSource ref="A5:AI245" sheet="Solution"/>
  </cacheSource>
  <cacheFields count="35">
    <cacheField name="ProductCode" numFmtId="0">
      <sharedItems/>
    </cacheField>
    <cacheField name="Segment" numFmtId="0">
      <sharedItems count="3">
        <s v="A"/>
        <s v="B"/>
        <s v="C"/>
      </sharedItems>
    </cacheField>
    <cacheField name="Apr-19" numFmtId="165">
      <sharedItems containsSemiMixedTypes="0" containsString="0" containsNumber="1" minValue="0" maxValue="2209.08"/>
    </cacheField>
    <cacheField name="May-19" numFmtId="165">
      <sharedItems containsSemiMixedTypes="0" containsString="0" containsNumber="1" minValue="0" maxValue="2080.27"/>
    </cacheField>
    <cacheField name="Jun-19" numFmtId="165">
      <sharedItems containsSemiMixedTypes="0" containsString="0" containsNumber="1" minValue="0" maxValue="6814.77"/>
    </cacheField>
    <cacheField name="Jul-19" numFmtId="165">
      <sharedItems containsSemiMixedTypes="0" containsString="0" containsNumber="1" minValue="0" maxValue="7613.62"/>
    </cacheField>
    <cacheField name="Aug-19" numFmtId="165">
      <sharedItems containsSemiMixedTypes="0" containsString="0" containsNumber="1" minValue="0" maxValue="3588.19"/>
    </cacheField>
    <cacheField name="Sep-19" numFmtId="165">
      <sharedItems containsSemiMixedTypes="0" containsString="0" containsNumber="1" minValue="0" maxValue="6450.61"/>
    </cacheField>
    <cacheField name="Oct-19" numFmtId="165">
      <sharedItems containsSemiMixedTypes="0" containsString="0" containsNumber="1" minValue="0" maxValue="5770.22"/>
    </cacheField>
    <cacheField name="Nov-19" numFmtId="165">
      <sharedItems containsSemiMixedTypes="0" containsString="0" containsNumber="1" minValue="0" maxValue="4251.4399999999996"/>
    </cacheField>
    <cacheField name="Dec-19" numFmtId="165">
      <sharedItems containsSemiMixedTypes="0" containsString="0" containsNumber="1" minValue="0" maxValue="4542.13"/>
    </cacheField>
    <cacheField name="Jan-20" numFmtId="165">
      <sharedItems containsSemiMixedTypes="0" containsString="0" containsNumber="1" minValue="0" maxValue="4055.79"/>
    </cacheField>
    <cacheField name="Feb-20" numFmtId="165">
      <sharedItems containsSemiMixedTypes="0" containsString="0" containsNumber="1" minValue="0" maxValue="3650.2110000000002"/>
    </cacheField>
    <cacheField name="Mar-20" numFmtId="165">
      <sharedItems containsSemiMixedTypes="0" containsString="0" containsNumber="1" minValue="0" maxValue="4461.3690000000006"/>
    </cacheField>
    <cacheField name="D" numFmtId="165">
      <sharedItems containsSemiMixedTypes="0" containsString="0" containsNumber="1" minValue="10.82" maxValue="48629.63"/>
    </cacheField>
    <cacheField name="Mean(D)" numFmtId="165">
      <sharedItems containsSemiMixedTypes="0" containsString="0" containsNumber="1" minValue="0.90166666666666673" maxValue="4052.4691666666663"/>
    </cacheField>
    <cacheField name="SD(D)" numFmtId="165">
      <sharedItems containsSemiMixedTypes="0" containsString="0" containsNumber="1" minValue="3.1234649563158752" maxValue="1923.9819151553106"/>
    </cacheField>
    <cacheField name="Deg_Vol" numFmtId="164">
      <sharedItems containsSemiMixedTypes="0" containsString="0" containsNumber="1" minValue="0.31301481812739274" maxValue="3.4641016151377553"/>
    </cacheField>
    <cacheField name="EOQ" numFmtId="1">
      <sharedItems containsString="0" containsBlank="1" containsNumber="1" minValue="98.233608160099152" maxValue="877.18650860924436"/>
    </cacheField>
    <cacheField name="Q" numFmtId="1">
      <sharedItems containsString="0" containsBlank="1" containsNumber="1" minValue="1.0505933887962364" maxValue="133.22339787724255"/>
    </cacheField>
    <cacheField name="LT" numFmtId="2">
      <sharedItems containsSemiMixedTypes="0" containsString="0" containsNumber="1" minValue="5.440534834623505" maxValue="35.440534834623506"/>
    </cacheField>
    <cacheField name="Mean_x000a_(Demand over LT)" numFmtId="165">
      <sharedItems containsSemiMixedTypes="0" containsString="0" containsNumber="1" minValue="1.0505933887962364" maxValue="724.85259180781429"/>
    </cacheField>
    <cacheField name="SD_x000a_(Demand over LT)" numFmtId="165">
      <sharedItems containsSemiMixedTypes="0" containsString="0" containsNumber="1" minValue="1.3213688074608447" maxValue="825.82769207339845"/>
    </cacheField>
    <cacheField name="k" numFmtId="2">
      <sharedItems containsSemiMixedTypes="0" containsString="0" containsNumber="1" minValue="0.84162123357291474" maxValue="1.6448536269514715"/>
    </cacheField>
    <cacheField name="G(k)" numFmtId="169">
      <sharedItems containsSemiMixedTypes="0" containsString="0" containsNumber="1" minValue="2.0892959027797683E-2" maxValue="0.11163767369322539"/>
    </cacheField>
    <cacheField name="E(US)" numFmtId="164">
      <sharedItems containsSemiMixedTypes="0" containsString="0" containsNumber="1" minValue="0.14751453975572015" maxValue="17.253984134510237"/>
    </cacheField>
    <cacheField name="IFR" numFmtId="10">
      <sharedItems containsSemiMixedTypes="0" containsString="0" containsNumber="1" minValue="0.85958931273616579" maxValue="0.99371762116343909"/>
    </cacheField>
    <cacheField name="Re-Order Point" numFmtId="165">
      <sharedItems containsString="0" containsBlank="1" containsNumber="1" minValue="42.922764539394706" maxValue="2083.2182663517069"/>
    </cacheField>
    <cacheField name="Order Upto (S)" numFmtId="0">
      <sharedItems containsString="0" containsBlank="1" containsNumber="1" minValue="2.1626854345362041" maxValue="197.00991805267662"/>
    </cacheField>
    <cacheField name="Safety Stock" numFmtId="165">
      <sharedItems containsSemiMixedTypes="0" containsString="0" containsNumber="1" minValue="1.1120920457399674" maxValue="1358.3656745438925"/>
    </cacheField>
    <cacheField name="Cycle Stock" numFmtId="1">
      <sharedItems containsSemiMixedTypes="0" containsString="0" containsNumber="1" minValue="0.52529669439811821" maxValue="438.59325430462218"/>
    </cacheField>
    <cacheField name="T* (Days)" numFmtId="164">
      <sharedItems containsSemiMixedTypes="0" containsString="0" containsNumber="1" minValue="6.5839093499657357" maxValue="58.791655563376111"/>
    </cacheField>
    <cacheField name="T(Act)_x000a_(Days)" numFmtId="165">
      <sharedItems containsSemiMixedTypes="0" containsString="0" containsNumber="1" containsInteger="1" minValue="8" maxValue="64" count="4">
        <n v="8"/>
        <n v="16"/>
        <n v="32"/>
        <n v="64"/>
      </sharedItems>
    </cacheField>
    <cacheField name="DiCi" numFmtId="164">
      <sharedItems containsSemiMixedTypes="0" containsString="0" containsNumber="1" minValue="1.6230000000000001E-2" maxValue="72.944445000000002"/>
    </cacheField>
    <cacheField name="Re-order_x000a_(Weeks)" numFmtId="1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SPD00486"/>
    <x v="0"/>
    <n v="2209.08"/>
    <n v="1791.44"/>
    <n v="6814.77"/>
    <n v="7613.62"/>
    <n v="3588.19"/>
    <n v="6450.61"/>
    <n v="2245.48"/>
    <n v="2981.71"/>
    <n v="4542.13"/>
    <n v="3464.2"/>
    <n v="3117.7799999999997"/>
    <n v="3810.62"/>
    <n v="48629.63"/>
    <n v="4052.4691666666663"/>
    <n v="1923.9819151553106"/>
    <n v="0.47476781093879861"/>
    <n v="877.18650860924436"/>
    <m/>
    <n v="5.440534834623505"/>
    <n v="724.85259180781429"/>
    <n v="825.82769207339845"/>
    <n v="1.6448536269514715"/>
    <n v="2.0892959027797683E-2"/>
    <n v="17.253984134510237"/>
    <n v="0.9803303129207197"/>
    <n v="2083.2182663517069"/>
    <m/>
    <n v="1358.3656745438925"/>
    <n v="438.59325430462218"/>
    <n v="6.5839093499657357"/>
    <x v="0"/>
    <n v="72.944445000000002"/>
    <x v="0"/>
  </r>
  <r>
    <s v="SPD00545"/>
    <x v="0"/>
    <n v="1112.67"/>
    <n v="1919.88"/>
    <n v="3929.51"/>
    <n v="3278.98"/>
    <n v="1075.58"/>
    <n v="1887.73"/>
    <n v="421.01"/>
    <n v="2217.37"/>
    <n v="2729.03"/>
    <n v="2591.02"/>
    <n v="2331.9180000000001"/>
    <n v="2850.1220000000003"/>
    <n v="26344.82"/>
    <n v="2195.4016666666666"/>
    <n v="991.58610633188357"/>
    <n v="0.45166500571962925"/>
    <n v="645.63799278041165"/>
    <m/>
    <n v="5.440534834623505"/>
    <n v="392.68468745722191"/>
    <n v="426.26721987189796"/>
    <n v="1.6448536269514715"/>
    <n v="2.0892959027797683E-2"/>
    <n v="8.9059835596767911"/>
    <n v="0.98620591777549593"/>
    <n v="1093.8318701140338"/>
    <m/>
    <n v="701.14718265681176"/>
    <n v="322.81899639020583"/>
    <n v="8.9451310490961902"/>
    <x v="0"/>
    <n v="39.517229999999998"/>
    <x v="0"/>
  </r>
  <r>
    <s v="SPD00443"/>
    <x v="0"/>
    <n v="512.53"/>
    <n v="1140.21"/>
    <n v="2634.3"/>
    <n v="3558.18"/>
    <n v="960.91"/>
    <n v="2880.78"/>
    <n v="1460.83"/>
    <n v="2507.7199999999998"/>
    <n v="2849.28"/>
    <n v="1546.54"/>
    <n v="1391.886"/>
    <n v="1701.1940000000002"/>
    <n v="23144.359999999997"/>
    <n v="1928.6966666666665"/>
    <n v="929.85887197509078"/>
    <n v="0.48211773683528475"/>
    <n v="605.15140902760947"/>
    <m/>
    <n v="5.440534834623505"/>
    <n v="344.97999124675852"/>
    <n v="398.94580039739219"/>
    <n v="1.6448536269514715"/>
    <n v="2.0892959027797683E-2"/>
    <n v="8.3351582620146676"/>
    <n v="0.98622632594476145"/>
    <n v="1001.1874379874669"/>
    <m/>
    <n v="656.20744674070841"/>
    <n v="302.57570451380474"/>
    <n v="9.5435892068338664"/>
    <x v="0"/>
    <n v="34.716539999999995"/>
    <x v="0"/>
  </r>
  <r>
    <s v="SPD00438"/>
    <x v="0"/>
    <n v="607.47"/>
    <n v="1212.45"/>
    <n v="1247.07"/>
    <n v="2999.88"/>
    <n v="607.62"/>
    <n v="5840.42"/>
    <n v="303.48"/>
    <n v="2694.75"/>
    <n v="3000.64"/>
    <n v="1392.98"/>
    <n v="1253.682"/>
    <n v="1532.2780000000002"/>
    <n v="22692.720000000001"/>
    <n v="1891.0600000000002"/>
    <n v="1542.6522895092078"/>
    <n v="0.81576062605586686"/>
    <n v="599.21784462452024"/>
    <m/>
    <n v="5.440534834623505"/>
    <n v="338.2480374037192"/>
    <n v="655.73765322924874"/>
    <n v="1.6448536269514715"/>
    <n v="2.0892959027797683E-2"/>
    <n v="13.700299921902898"/>
    <n v="0.97713636193446851"/>
    <n v="1416.8404946464952"/>
    <m/>
    <n v="1078.5924572427762"/>
    <n v="299.60892231226012"/>
    <n v="9.6380915680425208"/>
    <x v="0"/>
    <n v="34.039079999999998"/>
    <x v="0"/>
  </r>
  <r>
    <s v="SPD00385"/>
    <x v="0"/>
    <n v="560.99"/>
    <n v="1123.9100000000001"/>
    <n v="925.17"/>
    <n v="2080.27"/>
    <n v="1617.43"/>
    <n v="3073.42"/>
    <n v="164.58"/>
    <n v="3170.78"/>
    <n v="2542.1"/>
    <n v="4055.79"/>
    <n v="3650.2110000000002"/>
    <n v="4461.3690000000006"/>
    <n v="27426.020000000004"/>
    <n v="2285.501666666667"/>
    <n v="1425.7888779341722"/>
    <n v="0.62384066427465834"/>
    <n v="658.75337772054559"/>
    <m/>
    <n v="5.440534834623505"/>
    <n v="408.80059502761912"/>
    <n v="608.22418916028005"/>
    <n v="1.6448536269514715"/>
    <n v="2.0892959027797683E-2"/>
    <n v="12.7076030638412"/>
    <n v="0.98070961987654204"/>
    <n v="1409.2403585675238"/>
    <m/>
    <n v="1000.4397635399046"/>
    <n v="329.37668886027279"/>
    <n v="8.7670388509889179"/>
    <x v="0"/>
    <n v="41.139030000000005"/>
    <x v="0"/>
  </r>
  <r>
    <s v="SPD00351"/>
    <x v="0"/>
    <n v="632.16999999999996"/>
    <n v="1046.06"/>
    <n v="3484.49"/>
    <n v="3732.53"/>
    <n v="411.36"/>
    <n v="2701.68"/>
    <n v="1077.04"/>
    <n v="1805.23"/>
    <n v="2951.48"/>
    <n v="1432.33"/>
    <n v="1488"/>
    <n v="1894"/>
    <n v="22656.370000000003"/>
    <n v="1888.0308333333335"/>
    <n v="1097.2176326712474"/>
    <n v="0.58114391634913132"/>
    <n v="598.73772813194898"/>
    <m/>
    <n v="5.440534834623505"/>
    <n v="337.70621975649027"/>
    <n v="468.66864171738661"/>
    <n v="1.6448536269514715"/>
    <n v="2.0892959027797683E-2"/>
    <n v="9.7918747290149497"/>
    <n v="0.98364580304707805"/>
    <n v="1108.5975349237533"/>
    <m/>
    <n v="770.89131516726309"/>
    <n v="299.36886406597449"/>
    <n v="9.6458201719057968"/>
    <x v="0"/>
    <n v="33.984555000000007"/>
    <x v="0"/>
  </r>
  <r>
    <s v="SPD00463"/>
    <x v="0"/>
    <n v="411.04"/>
    <n v="724.62"/>
    <n v="1729.99"/>
    <n v="2236.4899999999998"/>
    <n v="1903.84"/>
    <n v="2771.61"/>
    <n v="946.21"/>
    <n v="2052.2399999999998"/>
    <n v="3979.03"/>
    <n v="2063.12"/>
    <n v="1856.808"/>
    <n v="2269.4320000000002"/>
    <n v="22944.43"/>
    <n v="1912.0358333333334"/>
    <n v="949.58561091283229"/>
    <n v="0.49663588639831052"/>
    <n v="602.53197299480519"/>
    <m/>
    <n v="5.440534834623505"/>
    <n v="341.99991965912488"/>
    <n v="407.07719292202461"/>
    <n v="1.6448536269514715"/>
    <n v="2.0892959027797683E-2"/>
    <n v="8.5050471128707539"/>
    <n v="0.98588448830259157"/>
    <n v="1011.5823168861409"/>
    <m/>
    <n v="669.58239722701603"/>
    <n v="301.26598649740259"/>
    <n v="9.5850788249306653"/>
    <x v="0"/>
    <n v="34.416645000000003"/>
    <x v="0"/>
  </r>
  <r>
    <s v="SPD00430"/>
    <x v="0"/>
    <n v="209.84"/>
    <n v="384.51"/>
    <n v="2224.41"/>
    <n v="1913.14"/>
    <n v="2995.95"/>
    <n v="2106.33"/>
    <n v="105.12"/>
    <n v="4251.4399999999996"/>
    <n v="2620.5700000000002"/>
    <n v="418.83"/>
    <n v="376.947"/>
    <n v="460.71300000000002"/>
    <n v="18067.800000000003"/>
    <n v="1505.6500000000003"/>
    <n v="1364.867231830727"/>
    <n v="0.90649701579432584"/>
    <n v="534.68019543686592"/>
    <m/>
    <n v="5.440534834623505"/>
    <n v="269.31094598633035"/>
    <n v="579.61066100086362"/>
    <n v="1.6448536269514715"/>
    <n v="2.0892959027797683E-2"/>
    <n v="12.109781792365776"/>
    <n v="0.97735135526672845"/>
    <n v="1222.6856439533408"/>
    <m/>
    <n v="953.37469796701032"/>
    <n v="267.34009771843296"/>
    <n v="10.801440758390951"/>
    <x v="0"/>
    <n v="27.101700000000005"/>
    <x v="1"/>
  </r>
  <r>
    <s v="SPD00309"/>
    <x v="0"/>
    <n v="568.69000000000005"/>
    <n v="469.25"/>
    <n v="1908.38"/>
    <n v="2745.46"/>
    <n v="616.08000000000004"/>
    <n v="2503.1"/>
    <n v="719.69"/>
    <n v="1993.06"/>
    <n v="2972.43"/>
    <n v="1412.39"/>
    <n v="1271.1510000000001"/>
    <n v="1553.6290000000001"/>
    <n v="18733.310000000001"/>
    <n v="1561.1091666666669"/>
    <n v="877.67287026201814"/>
    <n v="0.56221107979018214"/>
    <n v="544.43836465792197"/>
    <m/>
    <n v="5.440534834623505"/>
    <n v="279.23075513096126"/>
    <n v="375.1437644371623"/>
    <n v="1.6448536269514715"/>
    <n v="2.0892959027797683E-2"/>
    <n v="7.8378632999194178"/>
    <n v="0.98560376378904879"/>
    <n v="896.28733669365613"/>
    <m/>
    <n v="617.05658156269487"/>
    <n v="272.21918232896098"/>
    <n v="10.60784255959793"/>
    <x v="0"/>
    <n v="28.099965000000001"/>
    <x v="1"/>
  </r>
  <r>
    <s v="SPD00900"/>
    <x v="0"/>
    <n v="0"/>
    <n v="0"/>
    <n v="1461.37"/>
    <n v="1573.79"/>
    <n v="1931.99"/>
    <n v="691.69"/>
    <n v="5770.22"/>
    <n v="2935.67"/>
    <n v="609.08000000000004"/>
    <n v="747.42"/>
    <n v="672.678"/>
    <n v="822.16200000000003"/>
    <n v="17216.070000000003"/>
    <n v="1434.6725000000004"/>
    <n v="1598.1715067866835"/>
    <n v="1.1139625989810797"/>
    <n v="521.92544571622102"/>
    <m/>
    <n v="5.440534834623505"/>
    <n v="256.61542068579917"/>
    <n v="677.74975390605948"/>
    <n v="1.6448536269514715"/>
    <n v="2.0892959027797683E-2"/>
    <n v="14.160197839459263"/>
    <n v="0.97286930929372928"/>
    <n v="1371.4145615636482"/>
    <m/>
    <n v="1114.7991408778491"/>
    <n v="260.96272285811051"/>
    <n v="11.06540503648165"/>
    <x v="0"/>
    <n v="25.824105000000003"/>
    <x v="1"/>
  </r>
  <r>
    <s v="SPD00534"/>
    <x v="0"/>
    <n v="876.07"/>
    <n v="505.19"/>
    <n v="2959.8"/>
    <n v="2941.82"/>
    <n v="1080.8699999999999"/>
    <n v="1964.77"/>
    <n v="1324.01"/>
    <n v="611.22"/>
    <n v="2266.23"/>
    <n v="1181.04"/>
    <n v="1062.9359999999999"/>
    <n v="1299.144"/>
    <n v="18073.100000000002"/>
    <n v="1506.0916666666669"/>
    <n v="837.80810767787841"/>
    <n v="0.55627962508559903"/>
    <n v="534.75861110588835"/>
    <m/>
    <n v="5.440534834623505"/>
    <n v="269.38994553324403"/>
    <n v="358.18482231414396"/>
    <n v="1.6448536269514715"/>
    <n v="2.0892959027797683E-2"/>
    <n v="7.4835408169884028"/>
    <n v="0.98600575911903066"/>
    <n v="858.55154963563211"/>
    <m/>
    <n v="589.16160410238808"/>
    <n v="267.37930555294417"/>
    <n v="10.79985686205738"/>
    <x v="0"/>
    <n v="27.109650000000006"/>
    <x v="1"/>
  </r>
  <r>
    <s v="SPD00354"/>
    <x v="0"/>
    <n v="532.88"/>
    <n v="1120.3499999999999"/>
    <n v="2096.88"/>
    <n v="1795.1"/>
    <n v="1065.99"/>
    <n v="1882.05"/>
    <n v="965.25"/>
    <n v="1442.14"/>
    <n v="1380.93"/>
    <n v="1717.4"/>
    <n v="1545.66"/>
    <n v="1889.1400000000003"/>
    <n v="17433.77"/>
    <n v="1452.8141666666668"/>
    <n v="460.69851625663063"/>
    <n v="0.31710767063461126"/>
    <n v="525.21499515840219"/>
    <m/>
    <n v="5.440534834623505"/>
    <n v="259.86036433921709"/>
    <n v="201.29115625848669"/>
    <n v="1.6448536269514715"/>
    <n v="2.0892959027797683E-2"/>
    <n v="4.2055678803665835"/>
    <n v="0.99199267363054211"/>
    <n v="590.95485278424439"/>
    <m/>
    <n v="331.09448844502725"/>
    <n v="262.60749757920109"/>
    <n v="10.996099709518756"/>
    <x v="0"/>
    <n v="26.150655"/>
    <x v="1"/>
  </r>
  <r>
    <s v="SPD00421"/>
    <x v="0"/>
    <n v="155.19999999999999"/>
    <n v="2080.27"/>
    <n v="933.3"/>
    <n v="2480.52"/>
    <n v="557.4"/>
    <n v="1209.06"/>
    <n v="716.92"/>
    <n v="1169.75"/>
    <n v="1335.43"/>
    <n v="1089.31"/>
    <n v="980.37900000000002"/>
    <n v="1198.241"/>
    <n v="13905.779999999999"/>
    <n v="1158.8149999999998"/>
    <n v="623.99857618004785"/>
    <n v="0.53847989211396807"/>
    <n v="469.07159854009706"/>
    <m/>
    <n v="5.440534834623505"/>
    <n v="207.27364518523515"/>
    <n v="266.96744348272108"/>
    <n v="1.6448536269514715"/>
    <n v="2.0892959027797683E-2"/>
    <n v="5.5777398584403848"/>
    <n v="0.98810897978943912"/>
    <n v="646.3960128757509"/>
    <m/>
    <n v="439.12236769051577"/>
    <n v="234.53579927004853"/>
    <n v="12.312227970465193"/>
    <x v="1"/>
    <n v="20.858669999999996"/>
    <x v="1"/>
  </r>
  <r>
    <s v="SPD00413"/>
    <x v="0"/>
    <n v="641.22"/>
    <n v="964.25"/>
    <n v="1575.35"/>
    <n v="1040.43"/>
    <n v="1265.72"/>
    <n v="929.1"/>
    <n v="861.64"/>
    <n v="1704.78"/>
    <n v="1729.32"/>
    <n v="969.76"/>
    <n v="872.78399999999999"/>
    <n v="1066.7360000000001"/>
    <n v="13621.090000000002"/>
    <n v="1135.0908333333334"/>
    <n v="355.30025075390404"/>
    <n v="0.31301481812739274"/>
    <n v="464.24516793324528"/>
    <m/>
    <n v="5.440534834623505"/>
    <n v="203.03017706997778"/>
    <n v="155.3686897847864"/>
    <n v="1.6448536269514715"/>
    <n v="2.0892959027797683E-2"/>
    <n v="3.2461116698761505"/>
    <n v="0.99300776422869974"/>
    <n v="458.58892997718169"/>
    <m/>
    <n v="255.55875290720394"/>
    <n v="232.12258396662264"/>
    <n v="12.440229548122396"/>
    <x v="1"/>
    <n v="20.431635000000004"/>
    <x v="1"/>
  </r>
  <r>
    <s v="SPD00067"/>
    <x v="0"/>
    <n v="546.98"/>
    <n v="582.12"/>
    <n v="764.35"/>
    <n v="1528.55"/>
    <n v="872.29"/>
    <n v="2261.9"/>
    <n v="546.53"/>
    <n v="1531.96"/>
    <n v="1204.6400000000001"/>
    <n v="1091.54"/>
    <n v="982.38599999999997"/>
    <n v="1200.694"/>
    <n v="13113.94"/>
    <n v="1092.8283333333334"/>
    <n v="504.48038240970521"/>
    <n v="0.46162820547573513"/>
    <n v="455.52063689026363"/>
    <m/>
    <n v="5.440534834623505"/>
    <n v="195.47081476482896"/>
    <n v="216.7194422345361"/>
    <n v="1.6448536269514715"/>
    <n v="2.0892959027797683E-2"/>
    <n v="4.5279104271333299"/>
    <n v="0.99005992251406139"/>
    <n v="551.94257535520558"/>
    <m/>
    <n v="356.47176059037662"/>
    <n v="227.76031844513182"/>
    <n v="12.6784957430754"/>
    <x v="1"/>
    <n v="19.670909999999999"/>
    <x v="1"/>
  </r>
  <r>
    <s v="SPD00356"/>
    <x v="0"/>
    <n v="590.14"/>
    <n v="472.38"/>
    <n v="1063.56"/>
    <n v="1559.52"/>
    <n v="738.91"/>
    <n v="1104.44"/>
    <n v="568.13"/>
    <n v="1110.79"/>
    <n v="1486.51"/>
    <n v="742.3"/>
    <n v="668.06999999999994"/>
    <n v="816.53"/>
    <n v="10921.28"/>
    <n v="910.10666666666668"/>
    <n v="355.64317025849823"/>
    <n v="0.39077086597010413"/>
    <n v="415.69828396463129"/>
    <m/>
    <n v="5.440534834623505"/>
    <n v="162.78795692788219"/>
    <n v="153.70772172696601"/>
    <n v="1.6448536269514715"/>
    <n v="2.0892959027797683E-2"/>
    <n v="3.2114091322976286"/>
    <n v="0.99227466348508941"/>
    <n v="415.61466050092974"/>
    <m/>
    <n v="252.82670357304755"/>
    <n v="207.84914198231564"/>
    <n v="13.893048584697985"/>
    <x v="1"/>
    <n v="16.381920000000001"/>
    <x v="1"/>
  </r>
  <r>
    <s v="SPD00390"/>
    <x v="0"/>
    <n v="492.55"/>
    <n v="131.66"/>
    <n v="1051.01"/>
    <n v="1147.3499999999999"/>
    <n v="950.38"/>
    <n v="921.23"/>
    <n v="728.68"/>
    <n v="1265.0999999999999"/>
    <n v="1963.93"/>
    <n v="427.82"/>
    <n v="385.03800000000001"/>
    <n v="470.60200000000003"/>
    <n v="9935.3500000000022"/>
    <n v="827.94583333333355"/>
    <n v="499.83207874242078"/>
    <n v="0.60370142419834705"/>
    <n v="396.49073767654545"/>
    <m/>
    <n v="5.440534834623505"/>
    <n v="148.0921034771963"/>
    <n v="213.34584857949025"/>
    <n v="1.6448536269514715"/>
    <n v="2.0892959027797683E-2"/>
    <n v="4.4574260731220186"/>
    <n v="0.98875780529138524"/>
    <n v="499.01479630821029"/>
    <m/>
    <n v="350.92269283101399"/>
    <n v="198.24536883827273"/>
    <n v="14.566081643016004"/>
    <x v="1"/>
    <n v="14.903025000000003"/>
    <x v="1"/>
  </r>
  <r>
    <s v="SPD00347"/>
    <x v="0"/>
    <n v="333.78"/>
    <n v="834.7"/>
    <n v="970.28"/>
    <n v="1500.45"/>
    <n v="697.48"/>
    <n v="1262.1400000000001"/>
    <n v="266.27"/>
    <n v="799.35"/>
    <n v="1495.26"/>
    <n v="627.74"/>
    <n v="564.96600000000001"/>
    <n v="690.51400000000001"/>
    <n v="10042.93"/>
    <n v="836.91083333333336"/>
    <n v="405.76322583537967"/>
    <n v="0.48483447659443568"/>
    <n v="398.63155952980509"/>
    <m/>
    <n v="5.440534834623505"/>
    <n v="149.69564522379571"/>
    <n v="174.06076103457167"/>
    <n v="1.6448536269514715"/>
    <n v="2.0892959027797683E-2"/>
    <n v="3.6366443486425895"/>
    <n v="0.99087717903486594"/>
    <n v="436.00011932144423"/>
    <m/>
    <n v="286.30447409764855"/>
    <n v="199.31577976490254"/>
    <n v="14.487855558923426"/>
    <x v="1"/>
    <n v="15.064394999999999"/>
    <x v="1"/>
  </r>
  <r>
    <s v="SPD00888"/>
    <x v="0"/>
    <n v="224.13"/>
    <n v="486.34"/>
    <n v="1227.72"/>
    <n v="2320.13"/>
    <n v="1156.0999999999999"/>
    <n v="1270.6099999999999"/>
    <n v="794.47"/>
    <n v="186.6"/>
    <n v="931.14"/>
    <n v="111.8"/>
    <n v="100.62"/>
    <n v="122.98"/>
    <n v="8932.64"/>
    <n v="744.38666666666666"/>
    <n v="677.52966262248151"/>
    <n v="0.91018511341213548"/>
    <n v="375.95111451667373"/>
    <m/>
    <n v="5.440534834623505"/>
    <n v="133.14613447986659"/>
    <n v="287.71329186008433"/>
    <n v="1.6448536269514715"/>
    <n v="2.0892959027797683E-2"/>
    <n v="6.0111820185855382"/>
    <n v="0.98401073494272373"/>
    <n v="606.39238611807355"/>
    <m/>
    <n v="473.24625163820701"/>
    <n v="187.97555725833686"/>
    <n v="15.36188145929825"/>
    <x v="1"/>
    <n v="13.398960000000001"/>
    <x v="1"/>
  </r>
  <r>
    <s v="SPD00485"/>
    <x v="0"/>
    <n v="0"/>
    <n v="154.71"/>
    <n v="248.3"/>
    <n v="1243.75"/>
    <n v="1337.61"/>
    <n v="2005.19"/>
    <n v="335.32"/>
    <n v="533.91999999999996"/>
    <n v="971.08"/>
    <n v="1681.83"/>
    <n v="1513.6469999999999"/>
    <n v="1850.0130000000001"/>
    <n v="11875.37"/>
    <n v="989.61416666666673"/>
    <n v="711.79600775845779"/>
    <n v="0.71926618649368335"/>
    <n v="433.47597863161104"/>
    <m/>
    <n v="5.440534834623505"/>
    <n v="177.00921687409024"/>
    <n v="302.99998087752135"/>
    <n v="1.6448536269514715"/>
    <n v="2.0892959027797683E-2"/>
    <n v="6.3305661858975348"/>
    <n v="0.98539580853849906"/>
    <n v="675.39983438670777"/>
    <m/>
    <n v="498.3906175126175"/>
    <n v="216.73798931580552"/>
    <n v="13.323267586655239"/>
    <x v="1"/>
    <n v="17.813055000000002"/>
    <x v="1"/>
  </r>
  <r>
    <s v="SPD00482"/>
    <x v="0"/>
    <n v="445.11"/>
    <n v="501.93"/>
    <n v="1267.08"/>
    <n v="1610.26"/>
    <n v="687.87"/>
    <n v="1448.49"/>
    <n v="719.42"/>
    <n v="686.4"/>
    <n v="515.05999999999995"/>
    <n v="546.71"/>
    <n v="492.03900000000004"/>
    <n v="601.38100000000009"/>
    <n v="9521.7499999999982"/>
    <n v="793.47916666666652"/>
    <n v="406.88551009452163"/>
    <n v="0.5127866328284465"/>
    <n v="388.15023027923445"/>
    <m/>
    <n v="5.440534834623505"/>
    <n v="141.9271577029489"/>
    <n v="174.28300709557936"/>
    <n v="1.6448536269514715"/>
    <n v="2.0892959027797683E-2"/>
    <n v="3.6412877264893124"/>
    <n v="0.99061887011152927"/>
    <n v="428.59719404012162"/>
    <m/>
    <n v="286.67003633717275"/>
    <n v="194.07511513961722"/>
    <n v="14.879075175458356"/>
    <x v="1"/>
    <n v="14.282624999999998"/>
    <x v="1"/>
  </r>
  <r>
    <s v="SPD00441"/>
    <x v="0"/>
    <n v="815.13"/>
    <n v="465.82"/>
    <n v="1690.15"/>
    <n v="1407.9"/>
    <n v="263.33999999999997"/>
    <n v="701.58"/>
    <n v="437.61"/>
    <n v="817.12"/>
    <n v="1076.8"/>
    <n v="610.41"/>
    <n v="549.36900000000003"/>
    <n v="671.45100000000002"/>
    <n v="9506.68"/>
    <n v="792.22333333333336"/>
    <n v="414.98108537713864"/>
    <n v="0.52381830718249311"/>
    <n v="387.84294746550978"/>
    <m/>
    <n v="5.440534834623505"/>
    <n v="141.70253068936597"/>
    <n v="177.65765941438335"/>
    <n v="1.6448536269514715"/>
    <n v="2.0892959027797683E-2"/>
    <n v="3.7117941991191468"/>
    <n v="0.99042964626951424"/>
    <n v="433.92337613282365"/>
    <m/>
    <n v="292.22084544345768"/>
    <n v="193.92147373275489"/>
    <n v="14.890863669010745"/>
    <x v="1"/>
    <n v="14.260020000000001"/>
    <x v="1"/>
  </r>
  <r>
    <s v="SPD00408"/>
    <x v="0"/>
    <n v="324.01"/>
    <n v="193.17"/>
    <n v="522.20000000000005"/>
    <n v="813.42"/>
    <n v="878.76"/>
    <n v="1110.28"/>
    <n v="739.56"/>
    <n v="1050.3499999999999"/>
    <n v="1542.19"/>
    <n v="919.62"/>
    <n v="827.65800000000002"/>
    <n v="1011.5820000000001"/>
    <n v="9932.8000000000011"/>
    <n v="827.73333333333346"/>
    <n v="362.11803604935545"/>
    <n v="0.4374815190673591"/>
    <n v="396.43985289325462"/>
    <m/>
    <n v="5.440534834623505"/>
    <n v="148.05409426122836"/>
    <n v="155.83341445555664"/>
    <n v="1.6448536269514715"/>
    <n v="2.0892959027797683E-2"/>
    <n v="3.2558211433817599"/>
    <n v="0.99178735155000064"/>
    <n v="404.37725122868255"/>
    <m/>
    <n v="256.32315696745422"/>
    <n v="198.21992644662731"/>
    <n v="14.56795126309177"/>
    <x v="1"/>
    <n v="14.899200000000002"/>
    <x v="1"/>
  </r>
  <r>
    <s v="SPD00576"/>
    <x v="0"/>
    <n v="0"/>
    <n v="581.05999999999995"/>
    <n v="833.23"/>
    <n v="1195.23"/>
    <n v="894.26"/>
    <n v="1051.1500000000001"/>
    <n v="108.86"/>
    <n v="1083.81"/>
    <n v="1127.43"/>
    <n v="323.25"/>
    <n v="290.92500000000001"/>
    <n v="355.57500000000005"/>
    <n v="7844.7800000000007"/>
    <n v="653.73166666666668"/>
    <n v="427.45211266257297"/>
    <n v="0.65386478039548279"/>
    <n v="352.31557703681625"/>
    <m/>
    <n v="5.440534834623505"/>
    <n v="116.93095578070624"/>
    <n v="182.205995782385"/>
    <n v="1.6448536269514715"/>
    <n v="2.0892959027797683E-2"/>
    <n v="3.8068224045004473"/>
    <n v="0.98919485071730839"/>
    <n v="416.63314879566673"/>
    <m/>
    <n v="299.70219301496047"/>
    <n v="176.15778851840813"/>
    <n v="16.392452767118762"/>
    <x v="1"/>
    <n v="11.76717"/>
    <x v="1"/>
  </r>
  <r>
    <s v="SPD00976"/>
    <x v="0"/>
    <n v="1008.02"/>
    <n v="0"/>
    <n v="1336.53"/>
    <n v="1348.52"/>
    <n v="674.2"/>
    <n v="1992.39"/>
    <n v="0"/>
    <n v="336.94"/>
    <n v="371.16"/>
    <n v="0"/>
    <n v="0"/>
    <n v="0"/>
    <n v="7067.76"/>
    <n v="588.98"/>
    <n v="683.14816230049655"/>
    <n v="1.1598834634461213"/>
    <n v="334.41238848107923"/>
    <m/>
    <n v="5.440534834623505"/>
    <n v="105.3490259801606"/>
    <n v="289.64728141949411"/>
    <n v="1.6448536269514715"/>
    <n v="2.0892959027797683E-2"/>
    <n v="6.0515887832104758"/>
    <n v="0.98190381399834747"/>
    <n v="581.77640735964906"/>
    <m/>
    <n v="476.42738137948845"/>
    <n v="167.20619424053962"/>
    <n v="17.270043379457412"/>
    <x v="1"/>
    <n v="10.60164"/>
    <x v="2"/>
  </r>
  <r>
    <s v="SPD00431"/>
    <x v="0"/>
    <n v="294.12"/>
    <n v="1121.47"/>
    <n v="1154.1300000000001"/>
    <n v="474.91"/>
    <n v="385.31"/>
    <n v="741.38"/>
    <n v="118.6"/>
    <n v="1216.55"/>
    <n v="1181.23"/>
    <n v="88.7"/>
    <n v="79.83"/>
    <n v="97.570000000000007"/>
    <n v="6953.8"/>
    <n v="579.48333333333335"/>
    <n v="475.14386306261048"/>
    <n v="0.81994396686003701"/>
    <n v="331.70541299873025"/>
    <m/>
    <n v="5.440534834623505"/>
    <n v="103.65038666576693"/>
    <n v="201.95980753379303"/>
    <n v="1.6448536269514715"/>
    <n v="2.0892959027797683E-2"/>
    <n v="4.2195379840654432"/>
    <n v="0.98727926099872965"/>
    <n v="435.84470858614748"/>
    <m/>
    <n v="332.19432192038056"/>
    <n v="165.85270649936513"/>
    <n v="17.410980434372078"/>
    <x v="1"/>
    <n v="10.4307"/>
    <x v="2"/>
  </r>
  <r>
    <s v="SPD00863"/>
    <x v="0"/>
    <n v="82.91"/>
    <n v="166.8"/>
    <n v="195.48"/>
    <n v="961.69"/>
    <n v="703.23"/>
    <n v="980.52"/>
    <n v="0"/>
    <n v="1141.9000000000001"/>
    <n v="1409.69"/>
    <n v="610.44000000000005"/>
    <n v="549.39600000000007"/>
    <n v="671.48400000000015"/>
    <n v="7473.5400000000018"/>
    <n v="622.79500000000019"/>
    <n v="448.81158026422685"/>
    <n v="0.72064094969328063"/>
    <n v="343.87819818923305"/>
    <m/>
    <n v="5.440534834623505"/>
    <n v="111.39741015877304"/>
    <n v="191.04708678258623"/>
    <n v="1.6448536269514715"/>
    <n v="2.0892959027797683E-2"/>
    <n v="3.9915389565286827"/>
    <n v="0.98839257918196899"/>
    <n v="425.64190377162254"/>
    <m/>
    <n v="314.24449361284951"/>
    <n v="171.93909909461652"/>
    <n v="16.794657195796105"/>
    <x v="1"/>
    <n v="11.210310000000002"/>
    <x v="2"/>
  </r>
  <r>
    <s v="SPD00039"/>
    <x v="0"/>
    <n v="0"/>
    <n v="218.8"/>
    <n v="875.57"/>
    <n v="511.22"/>
    <n v="856.56"/>
    <n v="625.94000000000005"/>
    <n v="938.26"/>
    <n v="155.4"/>
    <n v="652.91"/>
    <n v="1179.02"/>
    <n v="1061.1179999999999"/>
    <n v="1296.922"/>
    <n v="8371.7200000000012"/>
    <n v="697.64333333333343"/>
    <n v="414.4769018758534"/>
    <n v="0.59411003025784903"/>
    <n v="363.95593696302433"/>
    <m/>
    <n v="5.440534834623505"/>
    <n v="124.78529941291588"/>
    <n v="176.96574661591939"/>
    <n v="1.6448536269514715"/>
    <n v="2.0892959027797683E-2"/>
    <n v="3.6973380933700302"/>
    <n v="0.98984124802518147"/>
    <n v="415.86804958028597"/>
    <m/>
    <n v="291.08275016737008"/>
    <n v="181.97796848151216"/>
    <n v="15.868174878221424"/>
    <x v="1"/>
    <n v="12.557580000000002"/>
    <x v="1"/>
  </r>
  <r>
    <s v="SPD00546"/>
    <x v="0"/>
    <n v="0"/>
    <n v="32.21"/>
    <n v="840.86"/>
    <n v="963.09"/>
    <n v="311.36"/>
    <n v="998.34"/>
    <n v="96.93"/>
    <n v="356.16"/>
    <n v="878.3"/>
    <n v="1223.3699999999999"/>
    <n v="1101.0329999999999"/>
    <n v="1345.7069999999999"/>
    <n v="8147.3600000000006"/>
    <n v="678.94666666666672"/>
    <n v="488.51553219976961"/>
    <n v="0.71951974460404777"/>
    <n v="359.04585229554306"/>
    <m/>
    <n v="5.440534834623505"/>
    <n v="121.44108463073469"/>
    <n v="207.95216873981138"/>
    <n v="1.6448536269514715"/>
    <n v="2.0892959027797683E-2"/>
    <n v="4.3447361412225494"/>
    <n v="0.98789921645537837"/>
    <n v="463.49196361483786"/>
    <m/>
    <n v="342.05087898410318"/>
    <n v="179.52292614777153"/>
    <n v="16.08517803164132"/>
    <x v="1"/>
    <n v="12.22104"/>
    <x v="1"/>
  </r>
  <r>
    <s v="SPD00355"/>
    <x v="0"/>
    <n v="93.39"/>
    <n v="558.25"/>
    <n v="710.99"/>
    <n v="676.37"/>
    <n v="586.79999999999995"/>
    <n v="524.52"/>
    <n v="123.02"/>
    <n v="928.05"/>
    <n v="683.21"/>
    <n v="367.56"/>
    <n v="330.80400000000003"/>
    <n v="404.31600000000003"/>
    <n v="5987.2800000000007"/>
    <n v="498.94000000000005"/>
    <n v="246.18906143486913"/>
    <n v="0.49342418213586625"/>
    <n v="307.79123288029939"/>
    <m/>
    <n v="5.440534834623505"/>
    <n v="89.243850423683909"/>
    <n v="105.55701981644395"/>
    <n v="1.6448536269514715"/>
    <n v="2.0892959027797683E-2"/>
    <n v="2.2053984901213917"/>
    <n v="0.99283475858138204"/>
    <n v="262.8696973189501"/>
    <m/>
    <n v="173.62584689526619"/>
    <n v="153.89561644014969"/>
    <n v="18.763745807997832"/>
    <x v="1"/>
    <n v="8.9809200000000011"/>
    <x v="2"/>
  </r>
  <r>
    <s v="SPD00635"/>
    <x v="0"/>
    <n v="110.2"/>
    <n v="233.93"/>
    <n v="329.81"/>
    <n v="839.56"/>
    <n v="440.52"/>
    <n v="523.33000000000004"/>
    <n v="548.71"/>
    <n v="714.77"/>
    <n v="708.48"/>
    <n v="679.4"/>
    <n v="611.46"/>
    <n v="747.34"/>
    <n v="6487.5099999999993"/>
    <n v="540.62583333333328"/>
    <n v="223.4089337539138"/>
    <n v="0.4132413214079001"/>
    <n v="320.39112766046486"/>
    <m/>
    <n v="5.440534834623505"/>
    <n v="96.700066150598161"/>
    <n v="96.339558085476583"/>
    <n v="1.6448536269514715"/>
    <n v="2.0892959027797683E-2"/>
    <n v="2.0128184398359972"/>
    <n v="0.99371762116343909"/>
    <n v="255.16453768639627"/>
    <m/>
    <n v="158.46447153579811"/>
    <n v="160.19556383023243"/>
    <n v="18.025831420077917"/>
    <x v="1"/>
    <n v="9.7312649999999987"/>
    <x v="2"/>
  </r>
  <r>
    <s v="SPD00518"/>
    <x v="0"/>
    <n v="80.66"/>
    <n v="323.22000000000003"/>
    <n v="161.29"/>
    <n v="270.56"/>
    <n v="539.42999999999995"/>
    <n v="704.19"/>
    <n v="0"/>
    <n v="950.39"/>
    <n v="1000.52"/>
    <n v="1028.21"/>
    <n v="925.38900000000001"/>
    <n v="1131.0310000000002"/>
    <n v="7114.8899999999994"/>
    <n v="592.90749999999991"/>
    <n v="412.93452825830536"/>
    <n v="0.69645691487846828"/>
    <n v="335.52551828098188"/>
    <m/>
    <n v="5.440534834623505"/>
    <n v="106.05152572469704"/>
    <n v="175.85504452610928"/>
    <n v="1.6448536269514715"/>
    <n v="2.0892959027797683E-2"/>
    <n v="3.6741322401155383"/>
    <n v="0.98904961906045341"/>
    <n v="395.3073335311804"/>
    <m/>
    <n v="289.25580780648335"/>
    <n v="167.76275914049094"/>
    <n v="17.212748780734263"/>
    <x v="1"/>
    <n v="10.672335"/>
    <x v="2"/>
  </r>
  <r>
    <s v="SPD00034"/>
    <x v="0"/>
    <n v="0"/>
    <n v="62.53"/>
    <n v="372.58"/>
    <n v="828.6"/>
    <n v="218.41"/>
    <n v="1031.0999999999999"/>
    <n v="218.83"/>
    <n v="437.11"/>
    <n v="778.91"/>
    <n v="839.27"/>
    <n v="755.34299999999996"/>
    <n v="923.197"/>
    <n v="6465.88"/>
    <n v="538.82333333333338"/>
    <n v="360.4377807011744"/>
    <n v="0.66893498926891504"/>
    <n v="319.85657387038532"/>
    <m/>
    <n v="5.440534834623505"/>
    <n v="96.377658565740887"/>
    <n v="153.58709055074272"/>
    <n v="1.6448536269514715"/>
    <n v="2.0892959027797683E-2"/>
    <n v="3.2088887900753202"/>
    <n v="0.98996772599904215"/>
    <n v="349.00594151105412"/>
    <m/>
    <n v="252.62828294531323"/>
    <n v="159.92828693519266"/>
    <n v="18.055956724017559"/>
    <x v="1"/>
    <n v="9.6988199999999996"/>
    <x v="2"/>
  </r>
  <r>
    <s v="SPD00533"/>
    <x v="1"/>
    <n v="0"/>
    <n v="99.51"/>
    <n v="299.10000000000002"/>
    <n v="628.75"/>
    <n v="66.36"/>
    <n v="1101.3599999999999"/>
    <n v="303.48"/>
    <n v="807.31"/>
    <n v="669.2"/>
    <n v="801.07"/>
    <n v="720.96300000000008"/>
    <n v="881.17700000000013"/>
    <n v="6378.2799999999988"/>
    <n v="531.5233333333332"/>
    <n v="363.25978049332792"/>
    <n v="0.68343148402389609"/>
    <n v="317.68247024148837"/>
    <m/>
    <n v="5.440534834623505"/>
    <n v="95.071930205431244"/>
    <n v="154.74117672339992"/>
    <n v="1.2815515655446006"/>
    <n v="4.7343175378026764E-2"/>
    <n v="7.3259386678181553"/>
    <n v="0.97693943055073418"/>
    <n v="293.38072748951811"/>
    <m/>
    <n v="198.30879728408686"/>
    <n v="158.84123512074419"/>
    <n v="18.179525144418758"/>
    <x v="1"/>
    <n v="9.5674199999999985"/>
    <x v="2"/>
  </r>
  <r>
    <s v="SPD00386"/>
    <x v="1"/>
    <n v="0"/>
    <n v="0"/>
    <n v="292.41000000000003"/>
    <n v="259.85000000000002"/>
    <n v="227.03"/>
    <n v="485.32"/>
    <n v="194.29"/>
    <n v="324.10000000000002"/>
    <n v="1124.82"/>
    <n v="1349.72"/>
    <n v="1214.748"/>
    <n v="1484.6920000000002"/>
    <n v="6956.9800000000005"/>
    <n v="579.74833333333333"/>
    <n v="549.08872913836785"/>
    <n v="0.94711566651915258"/>
    <n v="331.78124942249895"/>
    <m/>
    <n v="5.440534834623505"/>
    <n v="103.69778639391517"/>
    <n v="233.09854533505103"/>
    <n v="1.2815515655446006"/>
    <n v="4.7343175378026764E-2"/>
    <n v="11.035625312160244"/>
    <n v="0.96673824897769556"/>
    <n v="402.42559209421887"/>
    <m/>
    <n v="298.72780570030369"/>
    <n v="165.89062471124947"/>
    <n v="17.4070007444627"/>
    <x v="1"/>
    <n v="10.43547"/>
    <x v="2"/>
  </r>
  <r>
    <s v="SPD00419"/>
    <x v="1"/>
    <n v="125.48"/>
    <n v="283.02999999999997"/>
    <n v="714.56"/>
    <n v="404.63"/>
    <n v="543.66"/>
    <n v="372.16"/>
    <n v="123.83"/>
    <n v="899.36"/>
    <n v="526.75"/>
    <n v="185.84"/>
    <n v="167.256"/>
    <n v="204.42400000000001"/>
    <n v="4550.9799999999996"/>
    <n v="379.24833333333328"/>
    <n v="249.40627878636218"/>
    <n v="0.65763315713018877"/>
    <n v="268.34525748592966"/>
    <m/>
    <n v="5.440534834623505"/>
    <n v="67.834973210068156"/>
    <n v="106.30260549111367"/>
    <n v="1.2815515655446006"/>
    <n v="4.7343175378026764E-2"/>
    <n v="5.0327028949069854"/>
    <n v="0.98124541889781347"/>
    <n v="204.06724369867493"/>
    <m/>
    <n v="136.23227048860679"/>
    <n v="134.17262874296483"/>
    <n v="21.521962079016902"/>
    <x v="1"/>
    <n v="6.8264699999999987"/>
    <x v="2"/>
  </r>
  <r>
    <s v="SPD00352"/>
    <x v="1"/>
    <n v="0"/>
    <n v="190.42"/>
    <n v="1171.23"/>
    <n v="1006.77"/>
    <n v="313.97000000000003"/>
    <n v="0"/>
    <n v="0"/>
    <n v="157.41"/>
    <n v="755.33"/>
    <n v="317.27"/>
    <n v="285.54300000000001"/>
    <n v="348.99700000000001"/>
    <n v="4546.9400000000005"/>
    <n v="378.91166666666669"/>
    <n v="392.73043614541734"/>
    <n v="1.0364696331477889"/>
    <n v="268.22612319562944"/>
    <m/>
    <n v="5.440534834623505"/>
    <n v="67.77475468751507"/>
    <n v="166.61848067438137"/>
    <n v="1.2815515655446006"/>
    <n v="4.7343175378026764E-2"/>
    <n v="7.8882479517876005"/>
    <n v="0.97059105258724432"/>
    <n v="281.30492944443131"/>
    <m/>
    <n v="213.53017475691624"/>
    <n v="134.11306159781472"/>
    <n v="21.531521191483666"/>
    <x v="1"/>
    <n v="6.8204100000000007"/>
    <x v="2"/>
  </r>
  <r>
    <s v="SPD00448"/>
    <x v="1"/>
    <n v="34.159999999999997"/>
    <n v="34.29"/>
    <n v="68.87"/>
    <n v="446.85"/>
    <n v="620.82000000000005"/>
    <n v="458.22"/>
    <n v="350.37"/>
    <n v="457.93"/>
    <n v="771.58"/>
    <n v="623.08000000000004"/>
    <n v="560.77200000000005"/>
    <n v="685.38800000000015"/>
    <n v="5112.33"/>
    <n v="426.02749999999997"/>
    <n v="256.62068434187256"/>
    <n v="0.60235708807969579"/>
    <n v="284.41395441917831"/>
    <m/>
    <n v="5.440534834623505"/>
    <n v="76.202217674221316"/>
    <n v="109.53916305986978"/>
    <n v="1.2815515655446006"/>
    <n v="4.7343175378026764E-2"/>
    <n v="5.1859318075056855"/>
    <n v="0.98176625398674178"/>
    <n v="216.58230358204273"/>
    <m/>
    <n v="140.38008590782141"/>
    <n v="142.20697720958916"/>
    <n v="20.306023547580082"/>
    <x v="1"/>
    <n v="7.6684950000000001"/>
    <x v="2"/>
  </r>
  <r>
    <s v="SPD00669"/>
    <x v="1"/>
    <n v="0"/>
    <n v="563.85"/>
    <n v="406.35"/>
    <n v="774.91"/>
    <n v="369.39"/>
    <n v="443.39"/>
    <n v="147.72"/>
    <n v="481.15"/>
    <n v="369.85"/>
    <n v="222.09"/>
    <n v="199.881"/>
    <n v="244.29900000000004"/>
    <n v="4222.88"/>
    <n v="351.90666666666669"/>
    <n v="206.61572144457099"/>
    <n v="0.58713216035853533"/>
    <n v="258.49124070070025"/>
    <m/>
    <n v="5.440534834623505"/>
    <n v="62.944454088862756"/>
    <n v="88.236829740616173"/>
    <n v="1.2815515655446006"/>
    <n v="4.7343175378026764E-2"/>
    <n v="4.1774117052110791"/>
    <n v="0.98383925237123226"/>
    <n v="176.02450138164178"/>
    <m/>
    <n v="113.08004729277903"/>
    <n v="129.24562035035012"/>
    <n v="22.342406806671178"/>
    <x v="1"/>
    <n v="6.33432"/>
    <x v="2"/>
  </r>
  <r>
    <s v="SPD00358"/>
    <x v="1"/>
    <n v="33.130000000000003"/>
    <n v="99.4"/>
    <n v="547.78"/>
    <n v="232.43"/>
    <n v="133.27000000000001"/>
    <n v="232.72"/>
    <n v="545.98"/>
    <n v="530.05999999999995"/>
    <n v="726.83"/>
    <n v="495.82"/>
    <n v="446.238"/>
    <n v="545.40200000000004"/>
    <n v="4569.0599999999995"/>
    <n v="380.75499999999994"/>
    <n v="223.0084427158431"/>
    <n v="0.58570062826710911"/>
    <n v="268.87776621460716"/>
    <m/>
    <n v="5.440534834623505"/>
    <n v="68.104466004068129"/>
    <n v="95.241954179136357"/>
    <n v="1.2815515655446006"/>
    <n v="4.7343175378026764E-2"/>
    <n v="4.5090565400488414"/>
    <n v="0.98323008776988319"/>
    <n v="190.16194148786744"/>
    <m/>
    <n v="122.05747548379931"/>
    <n v="134.43888310730358"/>
    <n v="21.479338128265251"/>
    <x v="1"/>
    <n v="6.8535899999999987"/>
    <x v="2"/>
  </r>
  <r>
    <s v="SPD00456"/>
    <x v="1"/>
    <n v="396.94"/>
    <n v="132.75"/>
    <n v="662.33"/>
    <n v="0"/>
    <n v="231.49"/>
    <n v="397.96"/>
    <n v="199"/>
    <n v="464.3"/>
    <n v="596.74"/>
    <n v="297.77999999999997"/>
    <n v="268.00200000000001"/>
    <n v="327.55799999999999"/>
    <n v="3974.85"/>
    <n v="331.23750000000001"/>
    <n v="187.87610066041844"/>
    <n v="0.56719453763664573"/>
    <n v="250.78515945432585"/>
    <m/>
    <n v="5.440534834623505"/>
    <n v="59.247424349049972"/>
    <n v="80.289166423266806"/>
    <n v="1.2815515655446006"/>
    <n v="4.7343175378026764E-2"/>
    <n v="3.8011440869322981"/>
    <n v="0.98484302621732855"/>
    <n v="162.14213127505852"/>
    <m/>
    <n v="102.89470692600855"/>
    <n v="125.39257972716292"/>
    <n v="23.02894026210522"/>
    <x v="2"/>
    <n v="5.962275"/>
    <x v="2"/>
  </r>
  <r>
    <s v="SPD00353"/>
    <x v="1"/>
    <n v="94.46"/>
    <n v="155.76"/>
    <n v="280.77999999999997"/>
    <n v="811.15"/>
    <n v="626.72"/>
    <n v="284.02"/>
    <n v="0"/>
    <n v="379.13"/>
    <n v="380.22"/>
    <n v="158.55000000000001"/>
    <n v="142.69500000000002"/>
    <n v="174.40500000000003"/>
    <n v="3487.8900000000012"/>
    <n v="290.65750000000008"/>
    <n v="232.35423702046745"/>
    <n v="0.79940905368162662"/>
    <n v="234.92154629022946"/>
    <m/>
    <n v="5.440534834623505"/>
    <n v="51.989005600917764"/>
    <n v="98.787727227059051"/>
    <n v="1.2815515655446006"/>
    <n v="4.7343175378026764E-2"/>
    <n v="4.676924695307326"/>
    <n v="0.98009154643682916"/>
    <n v="178.59057208534824"/>
    <m/>
    <n v="126.60156648443049"/>
    <n v="117.46077314511473"/>
    <n v="24.584021972004198"/>
    <x v="2"/>
    <n v="5.231835000000002"/>
    <x v="3"/>
  </r>
  <r>
    <s v="SPD00601"/>
    <x v="1"/>
    <n v="144.28"/>
    <n v="182.28"/>
    <n v="430.85"/>
    <n v="433.17"/>
    <n v="115.63"/>
    <n v="779.76"/>
    <n v="28.83"/>
    <n v="431.83"/>
    <n v="0"/>
    <n v="433.4"/>
    <n v="390.06"/>
    <n v="476.74"/>
    <n v="3846.83"/>
    <n v="320.56916666666666"/>
    <n v="227.65669215083619"/>
    <n v="0.7101640326736649"/>
    <n v="246.71352474304939"/>
    <m/>
    <n v="5.440534834623505"/>
    <n v="57.339212651711613"/>
    <n v="96.925889590884694"/>
    <n v="1.2815515655446006"/>
    <n v="4.7343175378026764E-2"/>
    <n v="4.5887793895725126"/>
    <n v="0.98140037359382015"/>
    <n v="181.55473819871301"/>
    <m/>
    <n v="124.21552554700139"/>
    <n v="123.3567623715247"/>
    <n v="23.408998196232488"/>
    <x v="2"/>
    <n v="5.7702450000000001"/>
    <x v="2"/>
  </r>
  <r>
    <s v="SPD00850"/>
    <x v="1"/>
    <n v="341.6"/>
    <n v="102.74"/>
    <n v="478.91"/>
    <n v="68.28"/>
    <n v="240.22"/>
    <n v="274.42"/>
    <n v="171.46"/>
    <n v="719.79"/>
    <n v="170.05"/>
    <n v="407.31"/>
    <n v="366.57900000000001"/>
    <n v="448.04100000000005"/>
    <n v="3789.4000000000005"/>
    <n v="315.78333333333336"/>
    <n v="184.65721333144094"/>
    <n v="0.58475921253425112"/>
    <n v="244.86498475587251"/>
    <m/>
    <n v="5.440534834623505"/>
    <n v="56.483185485814559"/>
    <n v="78.865453778073842"/>
    <n v="1.2815515655446006"/>
    <n v="4.7343175378026764E-2"/>
    <n v="3.7337410094830132"/>
    <n v="0.98475183778029551"/>
    <n v="157.55333124249043"/>
    <m/>
    <n v="101.07014575667587"/>
    <n v="122.43249237793626"/>
    <n v="23.585717906764515"/>
    <x v="2"/>
    <n v="5.6841000000000008"/>
    <x v="2"/>
  </r>
  <r>
    <s v="SPD00357"/>
    <x v="1"/>
    <n v="0"/>
    <n v="130.83000000000001"/>
    <n v="163.26"/>
    <n v="779.75"/>
    <n v="516.21"/>
    <n v="258.08"/>
    <n v="161.43"/>
    <n v="194.44"/>
    <n v="259.24"/>
    <n v="323.56"/>
    <n v="291.20400000000001"/>
    <n v="355.91600000000005"/>
    <n v="3433.92"/>
    <n v="286.16000000000003"/>
    <n v="202.13561169580274"/>
    <n v="0.70637269952405202"/>
    <n v="233.0969266532484"/>
    <m/>
    <n v="5.440534834623505"/>
    <n v="51.184551724137933"/>
    <n v="86.066303800092925"/>
    <n v="1.2815515655446006"/>
    <n v="4.7343175378026764E-2"/>
    <n v="4.0746521149463311"/>
    <n v="0.98251949447189524"/>
    <n v="161.48295809978424"/>
    <m/>
    <n v="110.29840637564629"/>
    <n v="116.5484633266242"/>
    <n v="24.776459040523854"/>
    <x v="2"/>
    <n v="5.1508799999999999"/>
    <x v="3"/>
  </r>
  <r>
    <s v="SPD00405"/>
    <x v="1"/>
    <n v="198.77"/>
    <n v="265.26"/>
    <n v="231.68"/>
    <n v="99.21"/>
    <n v="298.36"/>
    <n v="232.42"/>
    <n v="66.19"/>
    <n v="364.71"/>
    <n v="432.49"/>
    <n v="499.82"/>
    <n v="449.83800000000002"/>
    <n v="549.80200000000002"/>
    <n v="3688.5500000000006"/>
    <n v="307.37916666666672"/>
    <n v="154.19690656597211"/>
    <n v="0.5016504802135433"/>
    <n v="241.58462888063141"/>
    <m/>
    <n v="5.440534834623505"/>
    <n v="54.979958258220641"/>
    <n v="66.085004459850978"/>
    <n v="1.2815515655446006"/>
    <n v="4.7343175378026764E-2"/>
    <n v="3.1286739560004055"/>
    <n v="0.98704936663190479"/>
    <n v="139.67129918276459"/>
    <m/>
    <n v="84.691340924543937"/>
    <n v="120.79231444031571"/>
    <n v="23.905976478949842"/>
    <x v="2"/>
    <n v="5.5328250000000008"/>
    <x v="3"/>
  </r>
  <r>
    <s v="SPD00400"/>
    <x v="1"/>
    <n v="28.65"/>
    <n v="114.79"/>
    <n v="228.76"/>
    <n v="257.52999999999997"/>
    <n v="509.26"/>
    <n v="203.5"/>
    <n v="28.64"/>
    <n v="202.15"/>
    <n v="794.54"/>
    <n v="191.26"/>
    <n v="172.13399999999999"/>
    <n v="210.386"/>
    <n v="2941.6"/>
    <n v="245.13333333333333"/>
    <n v="212.29817016696688"/>
    <n v="0.86605182281873905"/>
    <n v="215.74128904191787"/>
    <m/>
    <n v="5.440534834623505"/>
    <n v="43.84623909459863"/>
    <n v="90.190682943870385"/>
    <n v="1.2815515655446006"/>
    <n v="4.7343175378026764E-2"/>
    <n v="4.2699133200756627"/>
    <n v="0.98020817740063637"/>
    <n v="159.43025001885243"/>
    <m/>
    <n v="115.5840109242538"/>
    <n v="107.87064452095893"/>
    <n v="26.769639142065554"/>
    <x v="2"/>
    <n v="4.4123999999999999"/>
    <x v="3"/>
  </r>
  <r>
    <s v="SPD00633"/>
    <x v="1"/>
    <n v="0"/>
    <n v="98.15"/>
    <n v="195.99"/>
    <n v="390.4"/>
    <n v="195.53"/>
    <n v="260.25"/>
    <n v="32.520000000000003"/>
    <n v="422.26"/>
    <n v="615.39"/>
    <n v="340.41"/>
    <n v="306.36900000000003"/>
    <n v="374.45100000000008"/>
    <n v="3231.72"/>
    <n v="269.31"/>
    <n v="176.86810354354719"/>
    <n v="0.65674539951560351"/>
    <n v="226.13007346786557"/>
    <m/>
    <n v="5.440534834623505"/>
    <n v="48.170644481505398"/>
    <n v="75.386763100612939"/>
    <n v="1.2815515655446006"/>
    <n v="4.7343175378026764E-2"/>
    <n v="3.569048746654075"/>
    <n v="0.98421683285234829"/>
    <n v="144.78266875443583"/>
    <m/>
    <n v="96.612024272930441"/>
    <n v="113.06503673393279"/>
    <n v="25.539798254728424"/>
    <x v="2"/>
    <n v="4.8475799999999998"/>
    <x v="3"/>
  </r>
  <r>
    <s v="SPD00105"/>
    <x v="1"/>
    <n v="0"/>
    <n v="68.069999999999993"/>
    <n v="135.66999999999999"/>
    <n v="169.63"/>
    <n v="169.19"/>
    <n v="609.94000000000005"/>
    <n v="236.78"/>
    <n v="374.27"/>
    <n v="373.87"/>
    <n v="407.7"/>
    <n v="366.93"/>
    <n v="448.47"/>
    <n v="3360.5199999999995"/>
    <n v="280.04333333333329"/>
    <n v="178.19266433903061"/>
    <n v="0.63630389703628243"/>
    <n v="230.5922479402258"/>
    <m/>
    <n v="5.440534834623505"/>
    <n v="50.090482527257478"/>
    <n v="75.989620135259258"/>
    <n v="1.2815515655446006"/>
    <n v="4.7343175378026764E-2"/>
    <n v="3.5975899129732127"/>
    <n v="0.98439847850433471"/>
    <n v="147.47509917673847"/>
    <m/>
    <n v="97.384616649481003"/>
    <n v="115.2961239701129"/>
    <n v="25.045579403837035"/>
    <x v="2"/>
    <n v="5.0407799999999998"/>
    <x v="3"/>
  </r>
  <r>
    <s v="SPD00276"/>
    <x v="1"/>
    <n v="0"/>
    <n v="66.17"/>
    <n v="132.06"/>
    <n v="0"/>
    <n v="165.05"/>
    <n v="330.62"/>
    <n v="430.54"/>
    <n v="431.1"/>
    <n v="528.33000000000004"/>
    <n v="460.25"/>
    <n v="414.22500000000002"/>
    <n v="506.27500000000003"/>
    <n v="3464.62"/>
    <n v="288.71833333333331"/>
    <n v="201.84182975260308"/>
    <n v="0.69909599235449693"/>
    <n v="234.13657704182137"/>
    <m/>
    <n v="5.440534834623505"/>
    <n v="51.642152873241884"/>
    <n v="85.953247432174678"/>
    <n v="1.2815515655446006"/>
    <n v="4.7343175378026764E-2"/>
    <n v="4.0692996674923743"/>
    <n v="0.9826199745511548"/>
    <n v="161.79567168358776"/>
    <m/>
    <n v="110.15351881034587"/>
    <n v="117.06828852091068"/>
    <n v="24.666442674886365"/>
    <x v="2"/>
    <n v="5.19693"/>
    <x v="3"/>
  </r>
  <r>
    <s v="SPD00008"/>
    <x v="1"/>
    <n v="335.69"/>
    <n v="1308.83"/>
    <n v="35.46"/>
    <n v="35.49"/>
    <n v="212.79"/>
    <n v="530.85"/>
    <n v="0"/>
    <n v="0"/>
    <n v="0"/>
    <n v="0"/>
    <n v="0"/>
    <n v="0"/>
    <n v="2459.11"/>
    <n v="204.92583333333334"/>
    <n v="387.46106400182231"/>
    <n v="1.8907380182349987"/>
    <n v="197.25609839604547"/>
    <m/>
    <n v="5.440534834623505"/>
    <n v="36.654448266221941"/>
    <n v="164.02261437926006"/>
    <n v="1.2815515655446006"/>
    <n v="4.7343175378026764E-2"/>
    <n v="7.7653513985197637"/>
    <n v="0.96063314918188891"/>
    <n v="246.85788650868099"/>
    <m/>
    <n v="210.20343824245904"/>
    <n v="98.628049198022737"/>
    <n v="29.278265679272828"/>
    <x v="2"/>
    <n v="3.6886649999999999"/>
    <x v="3"/>
  </r>
  <r>
    <s v="SPD00348"/>
    <x v="1"/>
    <n v="0"/>
    <n v="239.15"/>
    <n v="448.07"/>
    <n v="408.73"/>
    <n v="328.51"/>
    <n v="148.65"/>
    <n v="59.07"/>
    <n v="334.46"/>
    <n v="469.89"/>
    <n v="0"/>
    <n v="0"/>
    <n v="0"/>
    <n v="2436.5300000000002"/>
    <n v="203.04416666666668"/>
    <n v="189.84717971225425"/>
    <n v="0.93500435313624319"/>
    <n v="196.34838902679525"/>
    <m/>
    <n v="5.440534834623505"/>
    <n v="36.317880385219752"/>
    <n v="80.601583587661395"/>
    <n v="1.2815515655446006"/>
    <n v="4.7343175378026764E-2"/>
    <n v="3.8159349075373372"/>
    <n v="0.98056548909593255"/>
    <n v="139.6129660173612"/>
    <m/>
    <n v="103.29508563214145"/>
    <n v="98.174194513397623"/>
    <n v="29.413617724706963"/>
    <x v="2"/>
    <n v="3.6547950000000005"/>
    <x v="3"/>
  </r>
  <r>
    <s v="SPD00115"/>
    <x v="1"/>
    <n v="0"/>
    <n v="165.66"/>
    <n v="277.58"/>
    <n v="415.84"/>
    <n v="165.15"/>
    <n v="194.41"/>
    <n v="304.68"/>
    <n v="140.22"/>
    <n v="421.22"/>
    <n v="335.28"/>
    <n v="301.75200000000001"/>
    <n v="368.80799999999999"/>
    <n v="3090.6"/>
    <n v="257.55"/>
    <n v="126.45756247129637"/>
    <n v="0.49100198979342408"/>
    <n v="221.13773701966207"/>
    <m/>
    <n v="5.440534834623505"/>
    <n v="46.067169753116183"/>
    <n v="54.227708049860624"/>
    <n v="1.2815515655446006"/>
    <n v="4.7343175378026764E-2"/>
    <n v="2.5673118925529854"/>
    <n v="0.98839043969992002"/>
    <n v="115.56277390031062"/>
    <m/>
    <n v="69.495604147194427"/>
    <n v="110.56886850983103"/>
    <n v="26.11637675926249"/>
    <x v="2"/>
    <n v="4.6359000000000004"/>
    <x v="3"/>
  </r>
  <r>
    <s v="SPD00232"/>
    <x v="1"/>
    <n v="0"/>
    <n v="0"/>
    <n v="334.47"/>
    <n v="405.16"/>
    <n v="236.47"/>
    <n v="236.38"/>
    <n v="168.47"/>
    <n v="370.45"/>
    <n v="123.44"/>
    <n v="302.95"/>
    <n v="272.65499999999997"/>
    <n v="333.245"/>
    <n v="2783.6899999999996"/>
    <n v="231.97416666666663"/>
    <n v="134.87322746047886"/>
    <n v="0.5814148592428563"/>
    <n v="209.87074080991198"/>
    <m/>
    <n v="5.440534834623505"/>
    <n v="41.492499763816724"/>
    <n v="57.609604436666757"/>
    <n v="1.2815515655446006"/>
    <n v="4.7343175378026764E-2"/>
    <n v="2.7274216063038632"/>
    <n v="0.98700427893960596"/>
    <n v="115.32217852003217"/>
    <m/>
    <n v="73.829678756215444"/>
    <n v="104.93537040495599"/>
    <n v="27.518445083905853"/>
    <x v="2"/>
    <n v="4.1755349999999991"/>
    <x v="3"/>
  </r>
  <r>
    <s v="SPD00687"/>
    <x v="1"/>
    <n v="112.76"/>
    <n v="276.02999999999997"/>
    <n v="451.2"/>
    <n v="263.87"/>
    <n v="112.94"/>
    <n v="113.21"/>
    <n v="151.41999999999999"/>
    <n v="188.9"/>
    <n v="264.42"/>
    <n v="226.15"/>
    <n v="203.535"/>
    <n v="248.76500000000001"/>
    <n v="2613.2000000000003"/>
    <n v="217.76666666666668"/>
    <n v="96.107797676579935"/>
    <n v="0.44133383289413713"/>
    <n v="203.34232531822485"/>
    <m/>
    <n v="5.440534834623505"/>
    <n v="38.951248300926423"/>
    <n v="41.346630171891917"/>
    <n v="1.2815515655446006"/>
    <n v="4.7343175378026764E-2"/>
    <n v="1.9574807635182918"/>
    <n v="0.99037347113811702"/>
    <n v="91.939086927708132"/>
    <m/>
    <n v="52.987838626781702"/>
    <n v="101.67116265911243"/>
    <n v="28.401939668281056"/>
    <x v="2"/>
    <n v="3.9198000000000004"/>
    <x v="3"/>
  </r>
  <r>
    <s v="SPD00360"/>
    <x v="1"/>
    <n v="176.43"/>
    <n v="282.24"/>
    <n v="211.82"/>
    <n v="139.54"/>
    <n v="0"/>
    <n v="263.88"/>
    <n v="175.33"/>
    <n v="245.9"/>
    <n v="450.53"/>
    <n v="132.69"/>
    <n v="119.42100000000001"/>
    <n v="145.959"/>
    <n v="2343.7399999999993"/>
    <n v="195.31166666666661"/>
    <n v="110.51767283136496"/>
    <n v="0.56585289920229198"/>
    <n v="192.5733462109595"/>
    <m/>
    <n v="5.440534834623505"/>
    <n v="34.934792091234215"/>
    <n v="47.232222419410718"/>
    <n v="1.2815515655446006"/>
    <n v="4.7343175378026764E-2"/>
    <n v="2.2361233894961292"/>
    <n v="0.98838819892008056"/>
    <n v="95.465320676980809"/>
    <m/>
    <n v="60.530528585746588"/>
    <n v="96.28667310547975"/>
    <n v="29.990217074846289"/>
    <x v="2"/>
    <n v="3.5156099999999988"/>
    <x v="3"/>
  </r>
  <r>
    <s v="SPDZR02G"/>
    <x v="1"/>
    <n v="204.06"/>
    <n v="202.56"/>
    <n v="86.8"/>
    <n v="291.73"/>
    <n v="252.56"/>
    <n v="467.23"/>
    <n v="146.08000000000001"/>
    <n v="331.43"/>
    <n v="87.18"/>
    <n v="0"/>
    <n v="0"/>
    <n v="0"/>
    <n v="2069.63"/>
    <n v="172.46916666666667"/>
    <n v="147.47582202198637"/>
    <n v="0.85508514288246518"/>
    <n v="180.96217871859932"/>
    <m/>
    <n v="5.440534834623505"/>
    <n v="30.849024958306426"/>
    <n v="62.65941983354454"/>
    <n v="1.2815515655446006"/>
    <n v="4.7343175378026764E-2"/>
    <n v="2.9664959022649078"/>
    <n v="0.98360709445879357"/>
    <n v="111.15030254210183"/>
    <m/>
    <n v="80.301277583795397"/>
    <n v="90.481089359299659"/>
    <n v="31.914494490459042"/>
    <x v="2"/>
    <n v="3.1044450000000001"/>
    <x v="4"/>
  </r>
  <r>
    <s v="SPD00387"/>
    <x v="1"/>
    <n v="0"/>
    <n v="0"/>
    <n v="60.2"/>
    <n v="479.12"/>
    <n v="119.83"/>
    <n v="359.87"/>
    <n v="29.98"/>
    <n v="360.04"/>
    <n v="450"/>
    <n v="119.04"/>
    <n v="107.13600000000001"/>
    <n v="130.94400000000002"/>
    <n v="2216.16"/>
    <n v="184.67999999999998"/>
    <n v="176.73498615209672"/>
    <n v="0.95697956547594076"/>
    <n v="187.25870549806257"/>
    <m/>
    <n v="5.440534834623505"/>
    <n v="33.033138846847194"/>
    <n v="75.021581738064484"/>
    <n v="1.2815515655446006"/>
    <n v="4.7343175378026764E-2"/>
    <n v="3.5517599013621566"/>
    <n v="0.98103287165253361"/>
    <n v="129.17716437289596"/>
    <m/>
    <n v="96.14402552604875"/>
    <n v="93.629352749031284"/>
    <n v="30.841377656303173"/>
    <x v="2"/>
    <n v="3.3242400000000001"/>
    <x v="4"/>
  </r>
  <r>
    <s v="SPD01009"/>
    <x v="1"/>
    <n v="135.91"/>
    <n v="67.989999999999995"/>
    <n v="135.84"/>
    <n v="271.24"/>
    <n v="67.739999999999995"/>
    <n v="506.54"/>
    <n v="100.84"/>
    <n v="67.209999999999994"/>
    <n v="303.04000000000002"/>
    <n v="268.98"/>
    <n v="242.08200000000002"/>
    <n v="295.87800000000004"/>
    <n v="2463.29"/>
    <n v="205.27416666666667"/>
    <n v="133.36768925168246"/>
    <n v="0.64970517926033455"/>
    <n v="197.42367536578968"/>
    <m/>
    <n v="5.440534834623505"/>
    <n v="36.716753569259545"/>
    <n v="56.855080953688052"/>
    <n v="1.2815515655446006"/>
    <n v="4.7343175378026764E-2"/>
    <n v="2.6917000687223624"/>
    <n v="0.98636586993056863"/>
    <n v="109.57947157462348"/>
    <m/>
    <n v="72.862718005363931"/>
    <n v="98.711837682894839"/>
    <n v="29.253413730625805"/>
    <x v="2"/>
    <n v="3.6949350000000001"/>
    <x v="3"/>
  </r>
  <r>
    <s v="SPD00093"/>
    <x v="1"/>
    <n v="362.56"/>
    <n v="181.9"/>
    <n v="72.83"/>
    <n v="363.3"/>
    <n v="0"/>
    <n v="145.58000000000001"/>
    <n v="109.22"/>
    <n v="109.3"/>
    <n v="109.04"/>
    <n v="436.1"/>
    <n v="392.49"/>
    <n v="479.71000000000004"/>
    <n v="2762.0299999999997"/>
    <n v="230.16916666666665"/>
    <n v="164.42914187954165"/>
    <n v="0.71438387800078196"/>
    <n v="209.05264009123135"/>
    <m/>
    <n v="5.440534834623505"/>
    <n v="41.169645011712767"/>
    <n v="70.001008218561637"/>
    <n v="1.2815515655446006"/>
    <n v="4.7343175378026764E-2"/>
    <n v="3.3140700087300563"/>
    <n v="0.98414719848893661"/>
    <n v="130.87954668391089"/>
    <m/>
    <n v="89.709901672198114"/>
    <n v="104.52632004561568"/>
    <n v="27.626134992487209"/>
    <x v="2"/>
    <n v="4.143044999999999"/>
    <x v="3"/>
  </r>
  <r>
    <s v="SPD00116"/>
    <x v="1"/>
    <n v="0"/>
    <n v="58.3"/>
    <n v="117.2"/>
    <n v="277.89"/>
    <n v="116.58"/>
    <n v="58.46"/>
    <n v="290.99"/>
    <n v="398.7"/>
    <n v="88.21"/>
    <n v="469.95"/>
    <n v="422.95499999999998"/>
    <n v="516.94500000000005"/>
    <n v="2816.1800000000003"/>
    <n v="234.6816666666667"/>
    <n v="183.11798874363805"/>
    <n v="0.78028246238651522"/>
    <n v="211.09194709079333"/>
    <m/>
    <n v="5.440534834623505"/>
    <n v="41.976781891972664"/>
    <n v="77.874683797572033"/>
    <n v="1.2815515655446006"/>
    <n v="4.7343175378026764E-2"/>
    <n v="3.6868348125368322"/>
    <n v="0.98253446015659196"/>
    <n v="141.77720482904186"/>
    <m/>
    <n v="99.800422937069186"/>
    <n v="105.54597354539666"/>
    <n v="27.359245747125382"/>
    <x v="2"/>
    <n v="4.2242700000000006"/>
    <x v="3"/>
  </r>
  <r>
    <s v="SPD00715"/>
    <x v="1"/>
    <n v="71"/>
    <n v="212.3"/>
    <n v="70.599999999999994"/>
    <n v="283.72000000000003"/>
    <n v="388.8"/>
    <n v="0"/>
    <n v="283.93"/>
    <n v="142.33000000000001"/>
    <n v="284.89"/>
    <n v="70.86"/>
    <n v="63.774000000000001"/>
    <n v="77.946000000000012"/>
    <n v="1950.15"/>
    <n v="162.51250000000002"/>
    <n v="123.2276548126936"/>
    <n v="0.75826570148569239"/>
    <n v="175.66104803703169"/>
    <m/>
    <n v="5.440534834623505"/>
    <n v="29.068106870523366"/>
    <n v="52.422056953588886"/>
    <n v="1.2815515655446006"/>
    <n v="4.7343175378026764E-2"/>
    <n v="2.4818266360306662"/>
    <n v="0.98587150273914192"/>
    <n v="96.249676028463412"/>
    <m/>
    <n v="67.181569157940046"/>
    <n v="87.830524018515845"/>
    <n v="32.877615841610421"/>
    <x v="2"/>
    <n v="2.9252250000000002"/>
    <x v="4"/>
  </r>
  <r>
    <s v="SPD00887"/>
    <x v="1"/>
    <n v="0"/>
    <n v="0"/>
    <n v="370.83"/>
    <n v="220"/>
    <n v="0"/>
    <n v="586.89"/>
    <n v="184.8"/>
    <n v="0"/>
    <n v="222.1"/>
    <n v="110.54"/>
    <n v="99.486000000000004"/>
    <n v="121.59400000000002"/>
    <n v="1916.2399999999998"/>
    <n v="159.68666666666664"/>
    <n v="177.03052882551768"/>
    <n v="1.1086118366729703"/>
    <n v="174.12711783222323"/>
    <m/>
    <n v="5.440534834623505"/>
    <n v="28.562658826024503"/>
    <n v="75.076764522296941"/>
    <n v="1.2815515655446006"/>
    <n v="4.7343175378026764E-2"/>
    <n v="3.5543724295939216"/>
    <n v="0.97958748485678915"/>
    <n v="124.77740393559748"/>
    <m/>
    <n v="96.214745109572974"/>
    <n v="87.063558916111617"/>
    <n v="33.167243147393584"/>
    <x v="2"/>
    <n v="2.8743599999999994"/>
    <x v="4"/>
  </r>
  <r>
    <s v="SPD00052"/>
    <x v="1"/>
    <n v="0"/>
    <n v="161.55000000000001"/>
    <n v="96.79"/>
    <n v="0"/>
    <n v="485.07"/>
    <n v="163.05000000000001"/>
    <n v="163.35"/>
    <n v="131.29"/>
    <n v="196.78"/>
    <n v="295.32"/>
    <n v="265.78800000000001"/>
    <n v="324.85200000000003"/>
    <n v="2283.8399999999997"/>
    <n v="190.31999999999996"/>
    <n v="137.74585472990731"/>
    <n v="0.72375921989232517"/>
    <n v="190.09657771974614"/>
    <m/>
    <n v="5.440534834623505"/>
    <n v="34.041948155360394"/>
    <n v="58.631483810888973"/>
    <n v="1.2815515655446006"/>
    <n v="4.7343175378026764E-2"/>
    <n v="2.7758006207328538"/>
    <n v="0.98539794532847858"/>
    <n v="109.18121802340806"/>
    <m/>
    <n v="75.139269868047663"/>
    <n v="95.048288859873068"/>
    <n v="30.380959641528019"/>
    <x v="2"/>
    <n v="3.4257599999999995"/>
    <x v="3"/>
  </r>
  <r>
    <s v="SPD00417"/>
    <x v="1"/>
    <n v="36.56"/>
    <n v="181.85"/>
    <n v="109.44"/>
    <n v="182.65"/>
    <n v="73.430000000000007"/>
    <n v="183.13"/>
    <n v="293.3"/>
    <n v="256.06"/>
    <n v="182.74"/>
    <n v="183.26"/>
    <n v="164.934"/>
    <n v="201.58600000000001"/>
    <n v="2048.94"/>
    <n v="170.745"/>
    <n v="70.862467467880109"/>
    <n v="0.41501928295341067"/>
    <n v="180.0553712302434"/>
    <m/>
    <n v="5.440534834623505"/>
    <n v="30.540628613845165"/>
    <n v="30.552700642923487"/>
    <n v="1.2815515655446006"/>
    <n v="4.7343175378026764E-2"/>
    <n v="1.4464618648102776"/>
    <n v="0.9919665719776799"/>
    <n v="69.695489954399278"/>
    <m/>
    <n v="39.15486134055412"/>
    <n v="90.027685615121698"/>
    <n v="32.075224505861001"/>
    <x v="2"/>
    <n v="3.07341"/>
    <x v="4"/>
  </r>
  <r>
    <s v="SPD00370"/>
    <x v="1"/>
    <n v="0"/>
    <n v="120.98"/>
    <n v="30.19"/>
    <n v="151.47999999999999"/>
    <n v="241.48"/>
    <n v="271.25"/>
    <n v="151.53"/>
    <n v="484.86"/>
    <n v="120.65"/>
    <n v="60.26"/>
    <n v="54.234000000000002"/>
    <n v="66.286000000000001"/>
    <n v="1753.2"/>
    <n v="146.1"/>
    <n v="134.10099008244089"/>
    <n v="0.91787125313101225"/>
    <n v="166.55481478814693"/>
    <m/>
    <n v="5.440534834623505"/>
    <n v="26.132453896060078"/>
    <n v="56.942201148119047"/>
    <n v="1.2815515655446006"/>
    <n v="4.7343175378026764E-2"/>
    <n v="2.695824615366277"/>
    <n v="0.98381418982816382"/>
    <n v="99.106820922987595"/>
    <m/>
    <n v="72.974367026927524"/>
    <n v="83.277407394073464"/>
    <n v="34.675169631344758"/>
    <x v="2"/>
    <n v="2.6297999999999999"/>
    <x v="4"/>
  </r>
  <r>
    <s v="SPD00711"/>
    <x v="1"/>
    <n v="0"/>
    <n v="0"/>
    <n v="0"/>
    <n v="570.4"/>
    <n v="684.3"/>
    <n v="245.64"/>
    <n v="0"/>
    <n v="0"/>
    <n v="0"/>
    <n v="123.41"/>
    <n v="111.069"/>
    <n v="135.751"/>
    <n v="1870.5699999999997"/>
    <n v="155.8808333333333"/>
    <n v="235.17311497039537"/>
    <n v="1.5086724258620341"/>
    <n v="172.03960759743228"/>
    <m/>
    <n v="5.440534834623505"/>
    <n v="27.881921220826541"/>
    <n v="99.608713019425835"/>
    <n v="1.2815515655446006"/>
    <n v="4.7343175378026764E-2"/>
    <n v="4.7157927696582149"/>
    <n v="0.97258891231202393"/>
    <n v="155.53562333275454"/>
    <m/>
    <n v="127.65370211192801"/>
    <n v="86.01980379871614"/>
    <n v="33.569690935416901"/>
    <x v="2"/>
    <n v="2.8058549999999993"/>
    <x v="4"/>
  </r>
  <r>
    <s v="SPD01017"/>
    <x v="1"/>
    <n v="508.3"/>
    <n v="847.19"/>
    <n v="0"/>
    <n v="0"/>
    <n v="169.41"/>
    <n v="0"/>
    <n v="0"/>
    <n v="0"/>
    <n v="0"/>
    <n v="0"/>
    <n v="0"/>
    <n v="0"/>
    <n v="1524.9"/>
    <n v="127.075"/>
    <n v="271.53149268212303"/>
    <n v="2.1367813707033094"/>
    <n v="155.33243240534804"/>
    <m/>
    <n v="5.440534834623505"/>
    <n v="22.729511148814748"/>
    <n v="114.92296058595716"/>
    <n v="1.2815515655446006"/>
    <n v="4.7343175378026764E-2"/>
    <n v="5.4408178779830267"/>
    <n v="0.96497307230865392"/>
    <n v="170.00921120476855"/>
    <m/>
    <n v="147.27970005595381"/>
    <n v="77.666216202674022"/>
    <n v="37.180364501247318"/>
    <x v="2"/>
    <n v="2.28735"/>
    <x v="4"/>
  </r>
  <r>
    <s v="SPD00668"/>
    <x v="1"/>
    <n v="0"/>
    <n v="0"/>
    <n v="146.05000000000001"/>
    <n v="121.84"/>
    <n v="182.27"/>
    <n v="109.23"/>
    <n v="183.16"/>
    <n v="146.54"/>
    <n v="267.89999999999998"/>
    <n v="363.89"/>
    <n v="327.50099999999998"/>
    <n v="400.279"/>
    <n v="2248.66"/>
    <n v="187.38833333333332"/>
    <n v="130.26007774960573"/>
    <n v="0.69513440582180896"/>
    <n v="188.6267830694762"/>
    <m/>
    <n v="5.440534834623505"/>
    <n v="33.517570030752026"/>
    <n v="55.474876598237344"/>
    <n v="1.2815515655446006"/>
    <n v="4.7343175378026764E-2"/>
    <n v="2.6263568118647433"/>
    <n v="0.98607643745428564"/>
    <n v="104.61148498361662"/>
    <m/>
    <n v="71.093914952864594"/>
    <n v="94.313391534738102"/>
    <n v="30.617690455808713"/>
    <x v="2"/>
    <n v="3.3729900000000002"/>
    <x v="4"/>
  </r>
  <r>
    <s v="SPD00249"/>
    <x v="1"/>
    <n v="424.32"/>
    <n v="0"/>
    <n v="280.43"/>
    <n v="168.35"/>
    <n v="0"/>
    <n v="0"/>
    <n v="122.41"/>
    <n v="56.3"/>
    <n v="392.33"/>
    <n v="0"/>
    <n v="0"/>
    <n v="0"/>
    <n v="1444.1399999999999"/>
    <n v="120.34499999999998"/>
    <n v="161.05105585158108"/>
    <n v="1.3382446786454036"/>
    <n v="151.16321131709327"/>
    <m/>
    <n v="5.440534834623505"/>
    <n v="21.525736920748461"/>
    <n v="68.241342109332692"/>
    <n v="1.2815515655446006"/>
    <n v="4.7343175378026764E-2"/>
    <n v="3.2307618275140606"/>
    <n v="0.9786273273810191"/>
    <n v="108.98053573582844"/>
    <m/>
    <n v="87.454798815079982"/>
    <n v="75.581605658546636"/>
    <n v="38.205833319996017"/>
    <x v="2"/>
    <n v="2.1662099999999995"/>
    <x v="5"/>
  </r>
  <r>
    <s v="SPD00368"/>
    <x v="1"/>
    <n v="534.27"/>
    <n v="417.44"/>
    <n v="0"/>
    <n v="277.01"/>
    <n v="0"/>
    <n v="0"/>
    <n v="0"/>
    <n v="0"/>
    <n v="138.85"/>
    <n v="69.45"/>
    <n v="62.505000000000003"/>
    <n v="76.39500000000001"/>
    <n v="1575.92"/>
    <n v="131.32666666666668"/>
    <n v="181.73919928309519"/>
    <n v="1.3838712570416911"/>
    <n v="157.90960400803581"/>
    <m/>
    <n v="5.440534834623505"/>
    <n v="23.489993579670891"/>
    <n v="76.998022642930991"/>
    <n v="1.2815515655446006"/>
    <n v="4.7343175378026764E-2"/>
    <n v="3.6453308897455576"/>
    <n v="0.97691507801159416"/>
    <n v="122.16693004155771"/>
    <m/>
    <n v="98.676936461886811"/>
    <n v="78.954802004017907"/>
    <n v="36.573560499856001"/>
    <x v="2"/>
    <n v="2.36388"/>
    <x v="4"/>
  </r>
  <r>
    <s v="SPD00717"/>
    <x v="1"/>
    <n v="0"/>
    <n v="0"/>
    <n v="0"/>
    <n v="0"/>
    <n v="0"/>
    <n v="0"/>
    <n v="0"/>
    <n v="332.15"/>
    <n v="491.26"/>
    <n v="591.02"/>
    <n v="531.91800000000001"/>
    <n v="650.12200000000007"/>
    <n v="2596.4700000000003"/>
    <n v="216.37250000000003"/>
    <n v="277.12080054357"/>
    <n v="1.2807579546549122"/>
    <n v="202.69036996352187"/>
    <m/>
    <n v="5.440534834623505"/>
    <n v="38.701878033027107"/>
    <n v="117.44326720397282"/>
    <n v="1.2815515655446006"/>
    <n v="4.7343175378026764E-2"/>
    <n v="5.5601371962061439"/>
    <n v="0.97256832084717793"/>
    <n v="189.21148098095131"/>
    <m/>
    <n v="150.50960294792421"/>
    <n v="101.34518498176094"/>
    <n v="28.493294756606268"/>
    <x v="2"/>
    <n v="3.8947050000000005"/>
    <x v="3"/>
  </r>
  <r>
    <s v="SPD00449"/>
    <x v="1"/>
    <n v="0"/>
    <n v="137.96"/>
    <n v="0"/>
    <n v="353.99"/>
    <n v="272.77"/>
    <n v="136.63"/>
    <n v="102.49"/>
    <n v="0"/>
    <n v="136.58000000000001"/>
    <n v="272.87"/>
    <n v="245.583"/>
    <n v="300.15700000000004"/>
    <n v="1959.0300000000002"/>
    <n v="163.25250000000003"/>
    <n v="124.90655938922718"/>
    <n v="0.76511268978562141"/>
    <n v="176.06052972367851"/>
    <m/>
    <n v="5.440534834623505"/>
    <n v="29.200468375541057"/>
    <n v="53.130769533344946"/>
    <n v="1.2815515655446006"/>
    <n v="4.7343175378026764E-2"/>
    <n v="2.5153793399866711"/>
    <n v="0.98571298550598208"/>
    <n v="97.290289249588653"/>
    <m/>
    <n v="68.089820874047589"/>
    <n v="88.030264861839257"/>
    <n v="32.803016466895684"/>
    <x v="2"/>
    <n v="2.9385450000000004"/>
    <x v="4"/>
  </r>
  <r>
    <s v="SPD00422"/>
    <x v="1"/>
    <n v="143.24"/>
    <n v="107.19"/>
    <n v="177.48"/>
    <n v="35.71"/>
    <n v="107.11"/>
    <n v="249.24"/>
    <n v="250.33"/>
    <n v="141.96"/>
    <n v="70.64"/>
    <n v="106.06"/>
    <n v="95.454000000000008"/>
    <n v="116.66600000000001"/>
    <n v="1601.08"/>
    <n v="133.42333333333332"/>
    <n v="65.040094444375882"/>
    <n v="0.48747166495897187"/>
    <n v="159.16514789299026"/>
    <m/>
    <n v="5.440534834623505"/>
    <n v="23.865017843887674"/>
    <n v="27.896118362844376"/>
    <n v="1.2815515655446006"/>
    <n v="4.7343175378026764E-2"/>
    <n v="1.3206908240183342"/>
    <n v="0.99170238685100676"/>
    <n v="59.615332004408359"/>
    <m/>
    <n v="35.750314160520688"/>
    <n v="79.582573946495131"/>
    <n v="36.285056949647391"/>
    <x v="2"/>
    <n v="2.4016199999999999"/>
    <x v="4"/>
  </r>
  <r>
    <s v="SPD00065"/>
    <x v="1"/>
    <n v="0"/>
    <n v="0"/>
    <n v="0"/>
    <n v="0"/>
    <n v="131.85"/>
    <n v="0"/>
    <n v="0"/>
    <n v="495.26"/>
    <n v="650.11"/>
    <n v="98.77"/>
    <n v="88.893000000000001"/>
    <n v="108.64700000000001"/>
    <n v="1573.53"/>
    <n v="131.1275"/>
    <n v="214.99228233146164"/>
    <n v="1.6395666990635958"/>
    <n v="157.78981773954391"/>
    <m/>
    <n v="5.440534834623505"/>
    <n v="23.454369255685268"/>
    <n v="91.040330683953698"/>
    <n v="1.2815515655446006"/>
    <n v="4.7343175378026764E-2"/>
    <n v="4.3101383420439712"/>
    <n v="0.97268430622590296"/>
    <n v="140.12724757140427"/>
    <m/>
    <n v="116.672878315719"/>
    <n v="78.894908869771953"/>
    <n v="36.601325348060428"/>
    <x v="2"/>
    <n v="2.3602949999999998"/>
    <x v="4"/>
  </r>
  <r>
    <s v="SPD01008"/>
    <x v="1"/>
    <n v="0"/>
    <n v="67.86"/>
    <n v="271.25"/>
    <n v="67.8"/>
    <n v="0"/>
    <n v="167.58"/>
    <n v="33.36"/>
    <n v="366.61"/>
    <n v="33.35"/>
    <n v="366.71"/>
    <n v="330.03899999999999"/>
    <n v="403.38100000000003"/>
    <n v="2107.94"/>
    <n v="175.66166666666666"/>
    <n v="160.48885145326412"/>
    <n v="0.91362477937662812"/>
    <n v="182.62935419219502"/>
    <m/>
    <n v="5.440534834623505"/>
    <n v="31.420057532318552"/>
    <n v="68.149591624808593"/>
    <n v="1.2815515655446006"/>
    <n v="4.7343175378026764E-2"/>
    <n v="3.2264180682342172"/>
    <n v="0.98233351871332353"/>
    <n v="118.75727337031721"/>
    <m/>
    <n v="87.337215837998656"/>
    <n v="91.314677096097512"/>
    <n v="31.62315544092867"/>
    <x v="2"/>
    <n v="3.1619100000000002"/>
    <x v="4"/>
  </r>
  <r>
    <s v="SPD00616"/>
    <x v="1"/>
    <n v="0"/>
    <n v="0"/>
    <n v="0"/>
    <n v="72.319999999999993"/>
    <n v="325.57"/>
    <n v="0"/>
    <n v="0"/>
    <n v="108.15"/>
    <n v="784.27"/>
    <n v="83.41"/>
    <n v="75.069000000000003"/>
    <n v="91.751000000000005"/>
    <n v="1540.54"/>
    <n v="128.37833333333333"/>
    <n v="225.88024460453835"/>
    <n v="1.759488838494593"/>
    <n v="156.12697688545822"/>
    <m/>
    <n v="5.440534834623505"/>
    <n v="22.962634340084641"/>
    <n v="95.635117755078412"/>
    <n v="1.2815515655446006"/>
    <n v="4.7343175378026764E-2"/>
    <n v="4.5276701521769187"/>
    <n v="0.97100007799741983"/>
    <n v="145.52396922014762"/>
    <m/>
    <n v="122.56133488006297"/>
    <n v="78.06348844272911"/>
    <n v="36.991150222124872"/>
    <x v="2"/>
    <n v="2.31081"/>
    <x v="4"/>
  </r>
  <r>
    <s v="SPD00480"/>
    <x v="1"/>
    <n v="131.66999999999999"/>
    <n v="99"/>
    <n v="0"/>
    <n v="65.45"/>
    <n v="459.65"/>
    <n v="0"/>
    <n v="32.71"/>
    <n v="0"/>
    <n v="395.21"/>
    <n v="164.73"/>
    <n v="148.25700000000001"/>
    <n v="181.203"/>
    <n v="1677.88"/>
    <n v="139.82333333333335"/>
    <n v="149.94076579668706"/>
    <n v="1.072358684506785"/>
    <n v="162.93782304061628"/>
    <m/>
    <n v="5.440534834623505"/>
    <n v="25.009765995392019"/>
    <n v="63.600254147699893"/>
    <n v="1.2815515655446006"/>
    <n v="4.7343175378026764E-2"/>
    <n v="3.0110379862016301"/>
    <n v="0.98152032517673282"/>
    <n v="106.51677126741129"/>
    <m/>
    <n v="81.507005272019271"/>
    <n v="81.46891152030814"/>
    <n v="35.444909892140643"/>
    <x v="2"/>
    <n v="2.5168200000000005"/>
    <x v="4"/>
  </r>
  <r>
    <s v="SPD00514"/>
    <x v="1"/>
    <n v="71.33"/>
    <n v="142.99"/>
    <n v="197.71"/>
    <n v="144.24"/>
    <n v="107.49"/>
    <n v="465.92"/>
    <n v="72.14"/>
    <n v="0"/>
    <n v="144.87"/>
    <n v="0"/>
    <n v="0"/>
    <n v="0"/>
    <n v="1346.69"/>
    <n v="112.22416666666668"/>
    <n v="131.12256954733982"/>
    <n v="1.1683986920286611"/>
    <n v="145.97392258876025"/>
    <m/>
    <n v="5.440534834623505"/>
    <n v="20.073188647778434"/>
    <n v="55.592501839369895"/>
    <n v="1.2815515655446006"/>
    <n v="4.7343175378026764E-2"/>
    <n v="2.6319255642845643"/>
    <n v="0.98196989217245834"/>
    <n v="91.317846412564009"/>
    <m/>
    <n v="71.244657764785572"/>
    <n v="72.986961294380123"/>
    <n v="39.564028651655157"/>
    <x v="2"/>
    <n v="2.020035"/>
    <x v="5"/>
  </r>
  <r>
    <s v="SPD00472"/>
    <x v="1"/>
    <n v="68.02"/>
    <n v="0"/>
    <n v="204.3"/>
    <n v="407.99"/>
    <n v="135.79"/>
    <n v="169.82"/>
    <n v="34.01"/>
    <n v="67.86"/>
    <n v="170.13"/>
    <n v="67.989999999999995"/>
    <n v="61.190999999999995"/>
    <n v="74.789000000000001"/>
    <n v="1461.8899999999996"/>
    <n v="121.82416666666664"/>
    <n v="108.99187863558993"/>
    <n v="0.89466549714895061"/>
    <n v="152.08935165249389"/>
    <m/>
    <n v="5.440534834623505"/>
    <n v="21.79031087503494"/>
    <n v="46.290014145467026"/>
    <n v="1.2815515655446006"/>
    <n v="4.7343175378026764E-2"/>
    <n v="2.1915162579401852"/>
    <n v="0.98559060030088408"/>
    <n v="81.113350972239914"/>
    <m/>
    <n v="59.323040097204974"/>
    <n v="76.044675826246944"/>
    <n v="37.973180850242009"/>
    <x v="2"/>
    <n v="2.1928349999999992"/>
    <x v="5"/>
  </r>
  <r>
    <s v="SPD00346"/>
    <x v="1"/>
    <n v="0"/>
    <n v="175.74"/>
    <n v="246.49"/>
    <n v="70.430000000000007"/>
    <n v="293.61"/>
    <n v="0"/>
    <n v="317.3"/>
    <n v="70.42"/>
    <n v="70.040000000000006"/>
    <n v="0"/>
    <n v="0"/>
    <n v="0"/>
    <n v="1244.03"/>
    <n v="103.66916666666667"/>
    <n v="122.246174616359"/>
    <n v="1.1791951121727835"/>
    <n v="140.29974692543738"/>
    <m/>
    <n v="5.440534834623505"/>
    <n v="18.542982329634736"/>
    <n v="51.826815043062993"/>
    <n v="1.2815515655446006"/>
    <n v="4.7343175378026764E-2"/>
    <n v="2.4536459938682871"/>
    <n v="0.98251140114192592"/>
    <n v="84.961718285262577"/>
    <m/>
    <n v="66.418735955627838"/>
    <n v="70.149873462718688"/>
    <n v="41.164125967850168"/>
    <x v="2"/>
    <n v="1.866045"/>
    <x v="5"/>
  </r>
  <r>
    <s v="SPD00349"/>
    <x v="1"/>
    <n v="0"/>
    <n v="0"/>
    <n v="88.02"/>
    <n v="127.65"/>
    <n v="293.23"/>
    <n v="0"/>
    <n v="0"/>
    <n v="117.62"/>
    <n v="410.61"/>
    <n v="206.74"/>
    <n v="186.066"/>
    <n v="227.41400000000002"/>
    <n v="1657.3500000000001"/>
    <n v="138.11250000000001"/>
    <n v="132.33541124973453"/>
    <n v="0.95817113765759454"/>
    <n v="161.93792762988937"/>
    <m/>
    <n v="5.440534834623505"/>
    <n v="24.70375454291306"/>
    <n v="56.174058008075249"/>
    <n v="1.2815515655446006"/>
    <n v="4.7343175378026764E-2"/>
    <n v="2.6594582799717554"/>
    <n v="0.98357729829635732"/>
    <n v="96.693706526155097"/>
    <m/>
    <n v="71.989951983242037"/>
    <n v="80.968963814944686"/>
    <n v="35.663766606274841"/>
    <x v="2"/>
    <n v="2.4860250000000002"/>
    <x v="4"/>
  </r>
  <r>
    <s v="SPD00521"/>
    <x v="1"/>
    <n v="0"/>
    <n v="0"/>
    <n v="101.75"/>
    <n v="474.02"/>
    <n v="158.80000000000001"/>
    <n v="0"/>
    <n v="0"/>
    <n v="68"/>
    <n v="102.28"/>
    <n v="337.21"/>
    <n v="303.48899999999998"/>
    <n v="370.93099999999998"/>
    <n v="1916.48"/>
    <n v="159.70666666666668"/>
    <n v="168.59903826660531"/>
    <n v="1.0556794014021871"/>
    <n v="174.13802178993362"/>
    <m/>
    <n v="5.440534834623505"/>
    <n v="28.56623616399796"/>
    <n v="71.521180906474839"/>
    <n v="1.2815515655446006"/>
    <n v="4.7343175378026764E-2"/>
    <n v="3.3860398108988177"/>
    <n v="0.98055542508124116"/>
    <n v="120.22431752428939"/>
    <m/>
    <n v="91.658081360291433"/>
    <n v="87.069010894966809"/>
    <n v="33.165166322281351"/>
    <x v="2"/>
    <n v="2.8747199999999999"/>
    <x v="4"/>
  </r>
  <r>
    <s v="SPD00444"/>
    <x v="1"/>
    <n v="65.2"/>
    <n v="0"/>
    <n v="130.18"/>
    <n v="0"/>
    <n v="326.43"/>
    <n v="0"/>
    <n v="130.13"/>
    <n v="32.6"/>
    <n v="195.05"/>
    <n v="356.13"/>
    <n v="320.517"/>
    <n v="391.74300000000005"/>
    <n v="1947.98"/>
    <n v="162.33166666666668"/>
    <n v="150.93615715522864"/>
    <n v="0.92980106872901347"/>
    <n v="175.56328874349094"/>
    <m/>
    <n v="5.440534834623505"/>
    <n v="29.035761773013412"/>
    <n v="64.084268799538705"/>
    <n v="1.2815515655446006"/>
    <n v="4.7343175378026764E-2"/>
    <n v="3.0339527767491696"/>
    <n v="0.98271875174779866"/>
    <n v="111.16305677984323"/>
    <m/>
    <n v="82.127295006829826"/>
    <n v="87.781644371745472"/>
    <n v="32.895923157000681"/>
    <x v="2"/>
    <n v="2.92197"/>
    <x v="4"/>
  </r>
  <r>
    <s v="SPD00293"/>
    <x v="1"/>
    <n v="0"/>
    <n v="64.069999999999993"/>
    <n v="257.56"/>
    <n v="128.33000000000001"/>
    <n v="0"/>
    <n v="0"/>
    <n v="160.85"/>
    <n v="193.76"/>
    <n v="235.67"/>
    <n v="160.13"/>
    <n v="144.11699999999999"/>
    <n v="176.143"/>
    <n v="1520.6299999999999"/>
    <n v="126.71916666666665"/>
    <n v="90.760139944234211"/>
    <n v="0.71623056189264367"/>
    <n v="155.11480027973727"/>
    <m/>
    <n v="5.440534834623505"/>
    <n v="22.665864344037093"/>
    <n v="38.637233816271078"/>
    <n v="1.2815515655446006"/>
    <n v="4.7343175378026764E-2"/>
    <n v="1.829209336685548"/>
    <n v="0.98820738360629212"/>
    <n v="72.18147182959207"/>
    <m/>
    <n v="49.51560748555498"/>
    <n v="77.557400139868633"/>
    <n v="37.232530005395205"/>
    <x v="2"/>
    <n v="2.2809449999999996"/>
    <x v="4"/>
  </r>
  <r>
    <s v="SPD00128"/>
    <x v="1"/>
    <n v="0"/>
    <n v="0"/>
    <n v="0"/>
    <n v="306.5"/>
    <n v="122.32"/>
    <n v="0"/>
    <n v="0"/>
    <n v="0"/>
    <n v="153.88"/>
    <n v="617.26"/>
    <n v="555.53399999999999"/>
    <n v="678.98599999999999"/>
    <n v="2434.48"/>
    <n v="202.87333333333333"/>
    <n v="267.87757298958024"/>
    <n v="1.3204178616685958"/>
    <n v="196.26577176002178"/>
    <m/>
    <n v="5.440534834623505"/>
    <n v="36.287323956696525"/>
    <n v="113.51220478253833"/>
    <n v="1.2815515655446006"/>
    <n v="4.7343175378026764E-2"/>
    <n v="5.3740282185662007"/>
    <n v="0.97261861724347365"/>
    <n v="181.75906770417782"/>
    <m/>
    <n v="145.4717437474813"/>
    <n v="98.132885880010889"/>
    <n v="29.425999265719145"/>
    <x v="2"/>
    <n v="3.6517200000000001"/>
    <x v="3"/>
  </r>
  <r>
    <s v="SPD00389"/>
    <x v="1"/>
    <n v="0"/>
    <n v="140.4"/>
    <n v="105.25"/>
    <n v="140.19"/>
    <n v="315.07"/>
    <n v="104.97"/>
    <n v="140.08000000000001"/>
    <n v="34.69"/>
    <n v="69.819999999999993"/>
    <n v="139.69"/>
    <n v="125.721"/>
    <n v="153.65900000000002"/>
    <n v="1469.5400000000002"/>
    <n v="122.46166666666669"/>
    <n v="77.106323221820617"/>
    <n v="0.62963640231762819"/>
    <n v="152.48677054050762"/>
    <m/>
    <n v="5.440534834623505"/>
    <n v="21.904338522938705"/>
    <n v="32.887467945344795"/>
    <n v="1.2815515655446006"/>
    <n v="4.7343175378026764E-2"/>
    <n v="1.5569971626756922"/>
    <n v="0.98978929675566785"/>
    <n v="64.051324555093203"/>
    <m/>
    <n v="42.146986032154494"/>
    <n v="76.24338527025381"/>
    <n v="37.874213187313906"/>
    <x v="2"/>
    <n v="2.2043100000000004"/>
    <x v="5"/>
  </r>
  <r>
    <s v="SPD00974"/>
    <x v="1"/>
    <n v="0"/>
    <n v="0"/>
    <n v="0"/>
    <n v="0"/>
    <n v="0"/>
    <n v="1189.54"/>
    <n v="0"/>
    <n v="0"/>
    <n v="0"/>
    <n v="0"/>
    <n v="0"/>
    <n v="0"/>
    <n v="1189.54"/>
    <n v="99.12833333333333"/>
    <n v="343.39061960591368"/>
    <n v="3.4641016151377544"/>
    <n v="137.1926945687633"/>
    <m/>
    <n v="5.440534834623505"/>
    <n v="17.73077755391245"/>
    <n v="145.26996776589402"/>
    <n v="1.2815515655446006"/>
    <n v="4.7343175378026764E-2"/>
    <n v="6.8775415611010153"/>
    <n v="0.94986947677703149"/>
    <n v="203.90173217090759"/>
    <m/>
    <n v="186.17095461699515"/>
    <n v="68.59634728438165"/>
    <n v="42.096384751751607"/>
    <x v="2"/>
    <n v="1.7843100000000001"/>
    <x v="5"/>
  </r>
  <r>
    <s v="SPD00045"/>
    <x v="1"/>
    <n v="0"/>
    <n v="0"/>
    <n v="93.72"/>
    <n v="156.07"/>
    <n v="0"/>
    <n v="0"/>
    <n v="406.71"/>
    <n v="125.92"/>
    <n v="83.53"/>
    <n v="313.92"/>
    <n v="282.52800000000002"/>
    <n v="345.31200000000007"/>
    <n v="1807.71"/>
    <n v="150.64250000000001"/>
    <n v="149.7506034448306"/>
    <n v="0.99407938294193599"/>
    <n v="169.12423341766822"/>
    <m/>
    <n v="5.440534834623505"/>
    <n v="26.944956783280155"/>
    <n v="63.550001259380011"/>
    <n v="1.2815515655446006"/>
    <n v="4.7343175378026764E-2"/>
    <n v="3.0086588548966495"/>
    <n v="0.98221036220476765"/>
    <n v="108.38756038759993"/>
    <m/>
    <n v="81.442603604319785"/>
    <n v="84.562116708834111"/>
    <n v="34.148367380525031"/>
    <x v="2"/>
    <n v="2.7115649999999998"/>
    <x v="4"/>
  </r>
  <r>
    <s v="SPD00883"/>
    <x v="1"/>
    <n v="0"/>
    <n v="0"/>
    <n v="0"/>
    <n v="118.86"/>
    <n v="197.93"/>
    <n v="79.14"/>
    <n v="158.19999999999999"/>
    <n v="237.02"/>
    <n v="157.97999999999999"/>
    <n v="197.61"/>
    <n v="177.84900000000002"/>
    <n v="217.37100000000004"/>
    <n v="1541.96"/>
    <n v="128.49666666666667"/>
    <n v="88.175411594609457"/>
    <n v="0.68620777395996879"/>
    <n v="156.19891569989463"/>
    <m/>
    <n v="5.440534834623505"/>
    <n v="22.983800256427561"/>
    <n v="37.558741320957893"/>
    <n v="1.2815515655446006"/>
    <n v="4.7343175378026764E-2"/>
    <n v="1.7781500773360501"/>
    <n v="0.98861611766401492"/>
    <n v="71.117263996185827"/>
    <m/>
    <n v="48.13346373975827"/>
    <n v="78.099457849947314"/>
    <n v="36.97411361543849"/>
    <x v="2"/>
    <n v="2.3129400000000002"/>
    <x v="4"/>
  </r>
  <r>
    <s v="SPD00817"/>
    <x v="1"/>
    <n v="60.41"/>
    <n v="120.15"/>
    <n v="60.49"/>
    <n v="150.24"/>
    <n v="212.2"/>
    <n v="301.54000000000002"/>
    <n v="0"/>
    <n v="0"/>
    <n v="210.44"/>
    <n v="30.28"/>
    <n v="27.252000000000002"/>
    <n v="33.308000000000007"/>
    <n v="1206.31"/>
    <n v="100.52583333333332"/>
    <n v="98.192921546249337"/>
    <n v="0.97679291272972302"/>
    <n v="138.15637352038377"/>
    <m/>
    <n v="5.440534834623505"/>
    <n v="17.980744044807341"/>
    <n v="41.675411429312724"/>
    <n v="1.2815515655446006"/>
    <n v="4.7343175378026764E-2"/>
    <n v="1.9730463122493733"/>
    <n v="0.98571874563602191"/>
    <n v="71.389932806758409"/>
    <m/>
    <n v="53.409188761951064"/>
    <n v="69.078186760191883"/>
    <n v="41.802750814417585"/>
    <x v="2"/>
    <n v="1.8094650000000001"/>
    <x v="5"/>
  </r>
  <r>
    <s v="SPD00973"/>
    <x v="1"/>
    <n v="0"/>
    <n v="0"/>
    <n v="0"/>
    <n v="0"/>
    <n v="0"/>
    <n v="1132.58"/>
    <n v="0"/>
    <n v="0"/>
    <n v="0"/>
    <n v="0"/>
    <n v="0"/>
    <n v="0"/>
    <n v="1132.58"/>
    <n v="94.381666666666661"/>
    <n v="326.94768393939313"/>
    <n v="3.4641016151377544"/>
    <n v="133.86773181111707"/>
    <m/>
    <n v="5.440534834623505"/>
    <n v="16.881756008213394"/>
    <n v="138.31385249112785"/>
    <n v="1.2815515655446006"/>
    <n v="4.7343175378026764E-2"/>
    <n v="6.54821697569799"/>
    <n v="0.95108442574542673"/>
    <n v="194.13809020472323"/>
    <m/>
    <n v="177.25633419650984"/>
    <n v="66.933865905558534"/>
    <n v="43.141960930846153"/>
    <x v="2"/>
    <n v="1.6988700000000001"/>
    <x v="5"/>
  </r>
  <r>
    <s v="SPD00637"/>
    <x v="1"/>
    <n v="0"/>
    <n v="0"/>
    <n v="168.27"/>
    <n v="319.82"/>
    <n v="16.73"/>
    <n v="201.95"/>
    <n v="0"/>
    <n v="101"/>
    <n v="100.68"/>
    <n v="167.24"/>
    <n v="150.51600000000002"/>
    <n v="183.96400000000003"/>
    <n v="1410.17"/>
    <n v="117.51416666666667"/>
    <n v="100.34162910398867"/>
    <n v="0.85386836285544576"/>
    <n v="149.37475173434163"/>
    <m/>
    <n v="5.440534834623505"/>
    <n v="21.019394541756242"/>
    <n v="42.633635815209033"/>
    <n v="1.2815515655446006"/>
    <n v="4.7343175378026764E-2"/>
    <n v="2.0184116974023643"/>
    <n v="0.98648759797778918"/>
    <n v="75.656597265595735"/>
    <m/>
    <n v="54.637202723839486"/>
    <n v="74.687375867170815"/>
    <n v="38.663270657463066"/>
    <x v="2"/>
    <n v="2.1152549999999999"/>
    <x v="5"/>
  </r>
  <r>
    <s v="SPD00331"/>
    <x v="1"/>
    <n v="0"/>
    <n v="0"/>
    <n v="204.06"/>
    <n v="204.08"/>
    <n v="0"/>
    <n v="90.9"/>
    <n v="374.77"/>
    <n v="0"/>
    <n v="0"/>
    <n v="168.6"/>
    <n v="151.74"/>
    <n v="185.46"/>
    <n v="1379.61"/>
    <n v="114.96749999999999"/>
    <n v="120.31798000034588"/>
    <n v="1.0465390653910531"/>
    <n v="147.74732536292743"/>
    <m/>
    <n v="5.440534834623505"/>
    <n v="20.563880173136802"/>
    <n v="51.042637579323276"/>
    <n v="1.2815515655446006"/>
    <n v="4.7343175378026764E-2"/>
    <n v="2.4165205426749612"/>
    <n v="0.9836442349346155"/>
    <n v="85.977652272444203"/>
    <m/>
    <n v="65.413772099307408"/>
    <n v="73.873662681463713"/>
    <n v="39.089143857661597"/>
    <x v="2"/>
    <n v="2.0694149999999998"/>
    <x v="5"/>
  </r>
  <r>
    <s v="SPD00345"/>
    <x v="1"/>
    <n v="0"/>
    <n v="95.79"/>
    <n v="191.18"/>
    <n v="126.97"/>
    <n v="159.04"/>
    <n v="96.06"/>
    <n v="0"/>
    <n v="96.24"/>
    <n v="181.17"/>
    <n v="84.41"/>
    <n v="75.968999999999994"/>
    <n v="92.850999999999999"/>
    <n v="1199.6799999999998"/>
    <n v="99.973333333333315"/>
    <n v="60.328257986593421"/>
    <n v="0.60344349813210285"/>
    <n v="137.77618981889671"/>
    <m/>
    <n v="5.440534834623505"/>
    <n v="17.881920083290755"/>
    <n v="25.750415488010088"/>
    <n v="1.2815515655446006"/>
    <n v="4.7343175378026764E-2"/>
    <n v="1.2191064365059183"/>
    <n v="0.99115154484887114"/>
    <n v="50.882405365374012"/>
    <m/>
    <n v="33.000485282083261"/>
    <n v="68.888094909448355"/>
    <n v="41.91810256393147"/>
    <x v="2"/>
    <n v="1.7995199999999998"/>
    <x v="5"/>
  </r>
  <r>
    <s v="SPD00134"/>
    <x v="1"/>
    <n v="0"/>
    <n v="0"/>
    <n v="35.58"/>
    <n v="189.47"/>
    <n v="143.08000000000001"/>
    <n v="107.16"/>
    <n v="215.16"/>
    <n v="142.4"/>
    <n v="0"/>
    <n v="177.53"/>
    <n v="159.77700000000002"/>
    <n v="195.28300000000002"/>
    <n v="1365.44"/>
    <n v="113.78666666666668"/>
    <n v="82.849112292751641"/>
    <n v="0.72810914248375591"/>
    <n v="146.98660922389917"/>
    <m/>
    <n v="5.440534834623505"/>
    <n v="20.3526681769543"/>
    <n v="35.26202188938634"/>
    <n v="1.2815515655446006"/>
    <n v="4.7343175378026764E-2"/>
    <n v="1.6694160864930361"/>
    <n v="0.98864239337646009"/>
    <n v="65.542767533565339"/>
    <m/>
    <n v="45.190099356611036"/>
    <n v="73.493304611949583"/>
    <n v="39.291446249357861"/>
    <x v="2"/>
    <n v="2.0481600000000002"/>
    <x v="5"/>
  </r>
  <r>
    <s v="SPD00489"/>
    <x v="1"/>
    <n v="0"/>
    <n v="0"/>
    <n v="100.32"/>
    <n v="265.94"/>
    <n v="262.81"/>
    <n v="54.93"/>
    <n v="0"/>
    <n v="131.85"/>
    <n v="164.2"/>
    <n v="0"/>
    <n v="0"/>
    <n v="0"/>
    <n v="980.05"/>
    <n v="81.670833333333334"/>
    <n v="103.21167538416407"/>
    <n v="1.2637519561348591"/>
    <n v="124.52758832148223"/>
    <m/>
    <n v="5.440534834623505"/>
    <n v="14.608208670336346"/>
    <n v="43.74334592887358"/>
    <n v="1.2815515655446006"/>
    <n v="4.7343175378026764E-2"/>
    <n v="2.0709488979323551"/>
    <n v="0.98336955749447297"/>
    <n v="70.667562127643322"/>
    <m/>
    <n v="56.059353457306969"/>
    <n v="62.263794160741114"/>
    <n v="46.377806986726199"/>
    <x v="3"/>
    <n v="1.470075"/>
    <x v="6"/>
  </r>
  <r>
    <s v="SPD00688"/>
    <x v="1"/>
    <n v="0"/>
    <n v="260.97000000000003"/>
    <n v="0"/>
    <n v="0"/>
    <n v="296.20999999999998"/>
    <n v="0"/>
    <n v="0"/>
    <n v="0"/>
    <n v="186.28"/>
    <n v="223.42"/>
    <n v="201.078"/>
    <n v="245.762"/>
    <n v="1413.72"/>
    <n v="117.81"/>
    <n v="126.03874199770337"/>
    <n v="1.0698475680986619"/>
    <n v="149.56265356623007"/>
    <m/>
    <n v="5.440534834623505"/>
    <n v="21.072309332613539"/>
    <n v="53.462486911572114"/>
    <n v="1.2815515655446006"/>
    <n v="4.7343175378026764E-2"/>
    <n v="2.5310838940000191"/>
    <n v="0.98307676526426968"/>
    <n v="89.58724313204651"/>
    <m/>
    <n v="68.514933799432967"/>
    <n v="74.781326783115034"/>
    <n v="38.614696369630458"/>
    <x v="2"/>
    <n v="2.1205799999999999"/>
    <x v="5"/>
  </r>
  <r>
    <s v="SPD00634"/>
    <x v="1"/>
    <n v="0"/>
    <n v="148.74"/>
    <n v="161.78"/>
    <n v="53.85"/>
    <n v="27.03"/>
    <n v="175.57"/>
    <n v="27.06"/>
    <n v="217.24"/>
    <n v="107.51"/>
    <n v="0"/>
    <n v="0"/>
    <n v="0"/>
    <n v="918.78"/>
    <n v="76.564999999999998"/>
    <n v="80.84164931293995"/>
    <n v="1.0558564528562653"/>
    <n v="120.57221167353653"/>
    <m/>
    <n v="5.440534834623505"/>
    <n v="13.694944096864065"/>
    <n v="34.293697244286179"/>
    <n v="1.2815515655446006"/>
    <n v="4.7343175378026764E-2"/>
    <n v="1.6235725229971938"/>
    <n v="0.98653443857036305"/>
    <n v="57.644085488591571"/>
    <m/>
    <n v="43.949141391727508"/>
    <n v="60.286105836768265"/>
    <n v="47.899232962015752"/>
    <x v="3"/>
    <n v="1.3781699999999999"/>
    <x v="6"/>
  </r>
  <r>
    <s v="SPD00999"/>
    <x v="1"/>
    <n v="0"/>
    <n v="0"/>
    <n v="0"/>
    <n v="0"/>
    <n v="66.599999999999994"/>
    <n v="365.41"/>
    <n v="332.84"/>
    <n v="133.09"/>
    <n v="0"/>
    <n v="0"/>
    <n v="0"/>
    <n v="0"/>
    <n v="897.93999999999994"/>
    <n v="74.828333333333333"/>
    <n v="134.59166804100693"/>
    <n v="1.7986725354612592"/>
    <n v="119.19694372090696"/>
    <m/>
    <n v="5.440534834623505"/>
    <n v="13.384311916169395"/>
    <n v="56.981897944232685"/>
    <n v="1.2815515655446006"/>
    <n v="4.7343175378026764E-2"/>
    <n v="2.6977039877466309"/>
    <n v="0.97736767484522791"/>
    <n v="86.40955243430345"/>
    <m/>
    <n v="73.025240518134055"/>
    <n v="59.598471860453479"/>
    <n v="48.451883709525184"/>
    <x v="3"/>
    <n v="1.3469100000000001"/>
    <x v="6"/>
  </r>
  <r>
    <s v="SPD00053"/>
    <x v="1"/>
    <n v="0"/>
    <n v="64.75"/>
    <n v="97.07"/>
    <n v="194.61"/>
    <n v="43.31"/>
    <n v="162.58000000000001"/>
    <n v="130.02000000000001"/>
    <n v="129.79"/>
    <n v="64.97"/>
    <n v="0"/>
    <n v="0"/>
    <n v="0"/>
    <n v="887.1"/>
    <n v="73.924999999999997"/>
    <n v="68.880060381665004"/>
    <n v="0.93175597405025368"/>
    <n v="118.47528183154193"/>
    <m/>
    <n v="5.440534834623505"/>
    <n v="13.222735484368524"/>
    <n v="29.244526500384822"/>
    <n v="1.2815515655446006"/>
    <n v="4.7343175378026764E-2"/>
    <n v="1.38452874695507"/>
    <n v="0.98831377545129029"/>
    <n v="50.701104204547249"/>
    <m/>
    <n v="37.478368720178729"/>
    <n v="59.237640915770967"/>
    <n v="48.747015971719989"/>
    <x v="3"/>
    <n v="1.3306500000000001"/>
    <x v="6"/>
  </r>
  <r>
    <s v="SPD00042"/>
    <x v="1"/>
    <n v="0"/>
    <n v="0"/>
    <n v="34.520000000000003"/>
    <n v="0"/>
    <n v="173.74"/>
    <n v="104.32"/>
    <n v="139.11000000000001"/>
    <n v="69.39"/>
    <n v="173.74"/>
    <n v="171.85"/>
    <n v="154.66499999999999"/>
    <n v="189.035"/>
    <n v="1210.3700000000001"/>
    <n v="100.86416666666668"/>
    <n v="76.108168682156034"/>
    <n v="0.75456102198986452"/>
    <n v="138.3886702394127"/>
    <m/>
    <n v="5.440534834623505"/>
    <n v="18.041260678858226"/>
    <n v="32.378894054641748"/>
    <n v="1.2815515655446006"/>
    <n v="4.7343175378026764E-2"/>
    <n v="1.5329196597754524"/>
    <n v="0.98892308411430285"/>
    <n v="59.536483045187111"/>
    <m/>
    <n v="41.495222366328889"/>
    <n v="69.194335119706352"/>
    <n v="41.732581472926157"/>
    <x v="2"/>
    <n v="1.8155550000000003"/>
    <x v="5"/>
  </r>
  <r>
    <s v="SPD00542"/>
    <x v="1"/>
    <n v="0"/>
    <n v="0"/>
    <n v="132.59"/>
    <n v="165.08"/>
    <n v="99.06"/>
    <n v="65.91"/>
    <n v="66.11"/>
    <n v="99.01"/>
    <n v="166.43"/>
    <n v="65.83"/>
    <n v="59.247"/>
    <n v="72.413000000000011"/>
    <n v="991.68000000000006"/>
    <n v="82.64"/>
    <n v="53.932606580300337"/>
    <n v="0.65262108640247263"/>
    <n v="125.26427759144397"/>
    <m/>
    <n v="5.440534834623505"/>
    <n v="14.781560506299829"/>
    <n v="22.990028756500624"/>
    <n v="1.2815515655446006"/>
    <n v="4.7343175378026764E-2"/>
    <n v="1.0884209633648876"/>
    <n v="0.99131100275120065"/>
    <n v="44.244467851108595"/>
    <m/>
    <n v="29.462907344808762"/>
    <n v="62.632138795721986"/>
    <n v="46.105055381652399"/>
    <x v="3"/>
    <n v="1.48752"/>
    <x v="6"/>
  </r>
  <r>
    <s v="SPD00964"/>
    <x v="1"/>
    <n v="0"/>
    <n v="0"/>
    <n v="0"/>
    <n v="0"/>
    <n v="0"/>
    <n v="852.2"/>
    <n v="0"/>
    <n v="0"/>
    <n v="0"/>
    <n v="0"/>
    <n v="0"/>
    <n v="0"/>
    <n v="852.2"/>
    <n v="71.016666666666666"/>
    <n v="246.00894970169955"/>
    <n v="3.4641016151377548"/>
    <n v="116.12138999852642"/>
    <m/>
    <n v="5.440534834623505"/>
    <n v="12.702530920729181"/>
    <n v="104.07305893882921"/>
    <n v="1.2815515655446006"/>
    <n v="4.7343175378026764E-2"/>
    <n v="4.9271490814687073"/>
    <n v="0.95756897948318365"/>
    <n v="146.07752253480123"/>
    <m/>
    <n v="133.37499161407206"/>
    <n v="58.060694999263212"/>
    <n v="49.735164690755859"/>
    <x v="3"/>
    <n v="1.2783"/>
    <x v="6"/>
  </r>
  <r>
    <s v="SPD00496"/>
    <x v="1"/>
    <n v="69.11"/>
    <n v="68.87"/>
    <n v="103.32"/>
    <n v="306.63"/>
    <n v="101.44"/>
    <n v="202.01"/>
    <n v="0"/>
    <n v="0"/>
    <n v="0"/>
    <n v="0"/>
    <n v="0"/>
    <n v="0"/>
    <n v="851.38000000000011"/>
    <n v="70.948333333333338"/>
    <n v="97.659133523731711"/>
    <n v="1.3764824194657854"/>
    <n v="116.06550965573524"/>
    <m/>
    <n v="5.440534834623505"/>
    <n v="12.69030834931989"/>
    <n v="41.376338819924094"/>
    <n v="1.2815515655446006"/>
    <n v="4.7343175378026764E-2"/>
    <n v="1.9588872652523233"/>
    <n v="0.98312257214858556"/>
    <n v="65.716220140497441"/>
    <m/>
    <n v="53.025911791177556"/>
    <n v="58.03275482786762"/>
    <n v="49.759109944259158"/>
    <x v="3"/>
    <n v="1.2770700000000001"/>
    <x v="6"/>
  </r>
  <r>
    <s v="SPD00445"/>
    <x v="1"/>
    <n v="0"/>
    <n v="0"/>
    <n v="0"/>
    <n v="0"/>
    <n v="0"/>
    <n v="157.47999999999999"/>
    <n v="0"/>
    <n v="0"/>
    <n v="409.23"/>
    <n v="280.93"/>
    <n v="252.83700000000002"/>
    <n v="309.02300000000002"/>
    <n v="1409.5"/>
    <n v="117.45833333333333"/>
    <n v="155.22858524964423"/>
    <n v="1.3215629819054493"/>
    <n v="149.33926205078629"/>
    <m/>
    <n v="5.440534834623505"/>
    <n v="21.009407806580356"/>
    <n v="65.777361477261252"/>
    <n v="1.2815515655446006"/>
    <n v="4.7343175378026764E-2"/>
    <n v="3.1141091603218412"/>
    <n v="0.9791474183174762"/>
    <n v="105.30648838515762"/>
    <m/>
    <n v="84.297080578577265"/>
    <n v="74.669631025393144"/>
    <n v="38.672458778671157"/>
    <x v="2"/>
    <n v="2.1142500000000002"/>
    <x v="5"/>
  </r>
  <r>
    <s v="SPD00889"/>
    <x v="1"/>
    <n v="0"/>
    <n v="0"/>
    <n v="824.83"/>
    <n v="0"/>
    <n v="0"/>
    <n v="0"/>
    <n v="0"/>
    <n v="0"/>
    <n v="0"/>
    <n v="0"/>
    <n v="0"/>
    <n v="0"/>
    <n v="824.83"/>
    <n v="68.735833333333332"/>
    <n v="238.10791126783951"/>
    <n v="3.4641016151377548"/>
    <n v="114.24144429644046"/>
    <m/>
    <n v="5.440534834623505"/>
    <n v="12.294565336006865"/>
    <n v="100.73055762088065"/>
    <n v="1.2815515655446006"/>
    <n v="4.7343175378026764E-2"/>
    <n v="4.768904455371783"/>
    <n v="0.95825591592664794"/>
    <n v="141.38596915322705"/>
    <m/>
    <n v="129.0914038172202"/>
    <n v="57.120722148220231"/>
    <n v="50.553601552078327"/>
    <x v="3"/>
    <n v="1.2372449999999999"/>
    <x v="6"/>
  </r>
  <r>
    <s v="SPD00429"/>
    <x v="1"/>
    <n v="0"/>
    <n v="0"/>
    <n v="539.73"/>
    <n v="85.3"/>
    <n v="0"/>
    <n v="113.8"/>
    <n v="0"/>
    <n v="28.53"/>
    <n v="28.55"/>
    <n v="28.43"/>
    <n v="25.587"/>
    <n v="31.273000000000003"/>
    <n v="881.19999999999982"/>
    <n v="73.433333333333323"/>
    <n v="151.02545630235102"/>
    <n v="2.0566335402045079"/>
    <n v="118.08064182872458"/>
    <m/>
    <n v="5.440534834623505"/>
    <n v="13.134792592521181"/>
    <n v="63.923756659561676"/>
    <n v="1.2815515655446006"/>
    <n v="4.7343175378026764E-2"/>
    <n v="3.0263536223559346"/>
    <n v="0.97437045077426288"/>
    <n v="95.05638301507453"/>
    <m/>
    <n v="81.921590422553351"/>
    <n v="59.04032091436229"/>
    <n v="48.909934484208449"/>
    <x v="3"/>
    <n v="1.3217999999999996"/>
    <x v="6"/>
  </r>
  <r>
    <s v="SPD00916"/>
    <x v="1"/>
    <n v="226.97"/>
    <n v="188.42"/>
    <n v="0"/>
    <n v="339.81"/>
    <n v="0"/>
    <n v="37.85"/>
    <n v="0"/>
    <n v="25.15"/>
    <n v="0"/>
    <n v="0"/>
    <n v="0"/>
    <n v="0"/>
    <n v="818.2"/>
    <n v="68.183333333333337"/>
    <n v="116.29345915581082"/>
    <n v="1.7055994987408087"/>
    <n v="113.78138042599751"/>
    <m/>
    <n v="5.440534834623505"/>
    <n v="12.195741374490281"/>
    <n v="49.240770168040527"/>
    <n v="1.2815515655446006"/>
    <n v="4.7343175378026764E-2"/>
    <n v="2.331214417814651"/>
    <n v="0.97951145952803009"/>
    <n v="75.300327471964479"/>
    <m/>
    <n v="63.104586097474204"/>
    <n v="56.890690212998756"/>
    <n v="50.758010089818001"/>
    <x v="3"/>
    <n v="1.2273000000000001"/>
    <x v="6"/>
  </r>
  <r>
    <s v="SPD00263"/>
    <x v="1"/>
    <n v="0"/>
    <n v="0"/>
    <n v="148.72"/>
    <n v="119.52"/>
    <n v="0"/>
    <n v="239.58"/>
    <n v="0"/>
    <n v="300.39"/>
    <n v="0"/>
    <n v="0"/>
    <n v="0"/>
    <n v="0"/>
    <n v="808.21"/>
    <n v="67.350833333333341"/>
    <n v="108.54482957062098"/>
    <n v="1.6116330592883676"/>
    <n v="113.08462721074162"/>
    <m/>
    <n v="5.440534834623505"/>
    <n v="12.046834681345377"/>
    <n v="45.966259303120225"/>
    <n v="1.2815515655446006"/>
    <n v="4.7343175378026764E-2"/>
    <n v="2.1761886756594753"/>
    <n v="0.98075610514589229"/>
    <n v="70.954966253488166"/>
    <m/>
    <n v="58.908131572142786"/>
    <n v="56.542313605370808"/>
    <n v="51.070747617476513"/>
    <x v="3"/>
    <n v="1.212315"/>
    <x v="6"/>
  </r>
  <r>
    <s v="SPD00350"/>
    <x v="1"/>
    <n v="0"/>
    <n v="0"/>
    <n v="124.97"/>
    <n v="63.17"/>
    <n v="0"/>
    <n v="0"/>
    <n v="62.24"/>
    <n v="248.66"/>
    <n v="216.01"/>
    <n v="61.6"/>
    <n v="55.440000000000005"/>
    <n v="67.760000000000005"/>
    <n v="899.85"/>
    <n v="74.987499999999997"/>
    <n v="83.096850626789148"/>
    <n v="1.1081426988069898"/>
    <n v="119.32364774592001"/>
    <m/>
    <n v="5.440534834623505"/>
    <n v="13.412781564208114"/>
    <n v="35.240572317171001"/>
    <n v="1.2815515655446006"/>
    <n v="4.7343175378026764E-2"/>
    <n v="1.6684005956338617"/>
    <n v="0.98601785457324898"/>
    <n v="58.57539218796633"/>
    <m/>
    <n v="45.162610623758212"/>
    <n v="59.661823872960007"/>
    <n v="48.40043499167728"/>
    <x v="3"/>
    <n v="1.3497749999999999"/>
    <x v="6"/>
  </r>
  <r>
    <s v="SPD00090"/>
    <x v="1"/>
    <n v="0"/>
    <n v="0"/>
    <n v="64.430000000000007"/>
    <n v="100.47"/>
    <n v="64.180000000000007"/>
    <n v="0"/>
    <n v="129.19999999999999"/>
    <n v="0"/>
    <n v="193.71"/>
    <n v="194.56"/>
    <n v="175.10400000000001"/>
    <n v="214.01600000000002"/>
    <n v="1135.67"/>
    <n v="94.639166666666668"/>
    <n v="84.970429382369502"/>
    <n v="0.89783577323380381"/>
    <n v="134.05022202636016"/>
    <m/>
    <n v="5.440534834623505"/>
    <n v="16.927814234621579"/>
    <n v="36.086781815107123"/>
    <n v="1.2815515655446006"/>
    <n v="4.7343175378026764E-2"/>
    <n v="1.7084628403012034"/>
    <n v="0.98725505400531721"/>
    <n v="63.174885965238538"/>
    <m/>
    <n v="46.247071730616959"/>
    <n v="67.02511101318008"/>
    <n v="43.083229318042619"/>
    <x v="2"/>
    <n v="1.703505"/>
    <x v="5"/>
  </r>
  <r>
    <s v="SPD00282"/>
    <x v="1"/>
    <n v="0"/>
    <n v="57.19"/>
    <n v="56.95"/>
    <n v="0"/>
    <n v="113.59"/>
    <n v="344.41"/>
    <n v="86.5"/>
    <n v="0"/>
    <n v="85.07"/>
    <n v="0"/>
    <n v="0"/>
    <n v="0"/>
    <n v="743.71"/>
    <n v="61.975833333333334"/>
    <n v="98.471058365420546"/>
    <n v="1.5888621914254837"/>
    <n v="108.47840011329095"/>
    <m/>
    <n v="5.440534834623505"/>
    <n v="11.085425100980403"/>
    <n v="41.701811144719763"/>
    <n v="1.2815515655446006"/>
    <n v="4.7343175378026764E-2"/>
    <n v="1.9742961586058188"/>
    <n v="0.98180009885337605"/>
    <n v="64.528446459541286"/>
    <m/>
    <n v="53.443021358560884"/>
    <n v="54.239200056645473"/>
    <n v="53.239321834251513"/>
    <x v="3"/>
    <n v="1.1155649999999999"/>
    <x v="7"/>
  </r>
  <r>
    <s v="SPD01026"/>
    <x v="1"/>
    <n v="0"/>
    <n v="0"/>
    <n v="33.03"/>
    <n v="198.77"/>
    <n v="0"/>
    <n v="0"/>
    <n v="0"/>
    <n v="265.47000000000003"/>
    <n v="66.39"/>
    <n v="165.61"/>
    <n v="149.04900000000001"/>
    <n v="182.17100000000002"/>
    <n v="1060.49"/>
    <n v="88.374166666666667"/>
    <n v="97.510408084874669"/>
    <n v="1.1033813586346839"/>
    <n v="129.53727287267992"/>
    <m/>
    <n v="5.440534834623505"/>
    <n v="15.807213114438028"/>
    <n v="41.35420304626161"/>
    <n v="1.2815515655446006"/>
    <n v="4.7343175378026764E-2"/>
    <n v="1.957839287437692"/>
    <n v="0.98488590006552001"/>
    <n v="68.804756770223889"/>
    <m/>
    <n v="52.997543655785854"/>
    <n v="64.76863643633996"/>
    <n v="44.584205978866535"/>
    <x v="2"/>
    <n v="1.590735"/>
    <x v="6"/>
  </r>
  <r>
    <s v="SPD00404"/>
    <x v="1"/>
    <n v="0"/>
    <n v="155.44"/>
    <n v="141.15"/>
    <n v="62.83"/>
    <n v="0"/>
    <n v="62.5"/>
    <n v="15.76"/>
    <n v="62.99"/>
    <n v="31.47"/>
    <n v="196.85"/>
    <n v="177.16499999999999"/>
    <n v="216.53500000000003"/>
    <n v="1122.69"/>
    <n v="93.557500000000005"/>
    <n v="79.277389803719629"/>
    <n v="0.84736541489158668"/>
    <n v="133.28196531594591"/>
    <m/>
    <n v="5.440534834623505"/>
    <n v="16.734339872557435"/>
    <n v="33.686146456187856"/>
    <n v="1.2815515655446006"/>
    <n v="4.7343175378026764E-2"/>
    <n v="1.5948091394851964"/>
    <n v="0.98803432155502291"/>
    <n v="59.90487360064968"/>
    <m/>
    <n v="43.170533728092245"/>
    <n v="66.640982657972955"/>
    <n v="43.331567343006753"/>
    <x v="2"/>
    <n v="1.6840349999999999"/>
    <x v="5"/>
  </r>
  <r>
    <s v="SPD00379"/>
    <x v="1"/>
    <n v="452.82"/>
    <n v="133.54"/>
    <n v="0"/>
    <n v="0"/>
    <n v="0"/>
    <n v="0"/>
    <n v="0"/>
    <n v="0"/>
    <n v="0"/>
    <n v="133.28"/>
    <n v="119.952"/>
    <n v="146.608"/>
    <n v="986.2"/>
    <n v="82.183333333333337"/>
    <n v="133.30608218909614"/>
    <n v="1.6220573780867509"/>
    <n v="124.91769442215477"/>
    <m/>
    <n v="5.440534834623505"/>
    <n v="14.699877955906029"/>
    <n v="56.451145186347816"/>
    <n v="1.2815515655446006"/>
    <n v="4.7343175378026764E-2"/>
    <n v="2.6725764668477159"/>
    <n v="0.97860530104073296"/>
    <n v="87.044931446255617"/>
    <m/>
    <n v="72.345053490349585"/>
    <n v="62.458847211077384"/>
    <n v="46.232973498363911"/>
    <x v="3"/>
    <n v="1.4793000000000001"/>
    <x v="6"/>
  </r>
  <r>
    <s v="SPD00122"/>
    <x v="1"/>
    <n v="0"/>
    <n v="0"/>
    <n v="0"/>
    <n v="98.38"/>
    <n v="0"/>
    <n v="164.53"/>
    <n v="0"/>
    <n v="65.59"/>
    <n v="359.41"/>
    <n v="0"/>
    <n v="0"/>
    <n v="0"/>
    <n v="687.91000000000008"/>
    <n v="57.325833333333343"/>
    <n v="109.04182996016073"/>
    <n v="1.9021412096377848"/>
    <n v="104.32953512181571"/>
    <m/>
    <n v="5.440534834623505"/>
    <n v="10.253694022153029"/>
    <n v="46.159796961887665"/>
    <n v="1.2815515655446006"/>
    <n v="4.7343175378026764E-2"/>
    <n v="2.1853513629807546"/>
    <n v="0.9790533777378656"/>
    <n v="69.409854083881072"/>
    <m/>
    <n v="59.156160061728038"/>
    <n v="52.164767560907855"/>
    <n v="55.356486051173455"/>
    <x v="3"/>
    <n v="1.0318650000000003"/>
    <x v="7"/>
  </r>
  <r>
    <s v="SPD00254"/>
    <x v="1"/>
    <n v="0"/>
    <n v="65.86"/>
    <n v="65.69"/>
    <n v="245.72"/>
    <n v="0"/>
    <n v="98.71"/>
    <n v="98.76"/>
    <n v="0"/>
    <n v="97.63"/>
    <n v="0"/>
    <n v="0"/>
    <n v="0"/>
    <n v="672.37"/>
    <n v="56.030833333333334"/>
    <n v="74.09232648997444"/>
    <n v="1.3223491795881632"/>
    <n v="103.14439307487737"/>
    <m/>
    <n v="5.440534834623505"/>
    <n v="10.022061388372071"/>
    <n v="31.396192612962203"/>
    <n v="1.2815515655446006"/>
    <n v="4.7343175378026764E-2"/>
    <n v="1.4863954530777779"/>
    <n v="0.98558917834730253"/>
    <n v="50.257901183653608"/>
    <m/>
    <n v="40.235839795281535"/>
    <n v="51.572196537438685"/>
    <n v="55.992539037033538"/>
    <x v="3"/>
    <n v="1.0085550000000001"/>
    <x v="7"/>
  </r>
  <r>
    <s v="SPD00536"/>
    <x v="1"/>
    <n v="0"/>
    <n v="60.1"/>
    <n v="119.94"/>
    <n v="70.040000000000006"/>
    <n v="0"/>
    <n v="0"/>
    <n v="30.13"/>
    <n v="120.05"/>
    <n v="210.91"/>
    <n v="60.27"/>
    <n v="54.243000000000002"/>
    <n v="66.297000000000011"/>
    <n v="791.98"/>
    <n v="65.998333333333335"/>
    <n v="61.353499436882274"/>
    <n v="0.9296219516182066"/>
    <n v="111.94341925242435"/>
    <m/>
    <n v="5.440534834623505"/>
    <n v="11.804917200890749"/>
    <n v="26.049424527334658"/>
    <n v="1.2815515655446006"/>
    <n v="4.7343175378026764E-2"/>
    <n v="1.2332624738942766"/>
    <n v="0.98898316236782657"/>
    <n v="45.188597985432395"/>
    <m/>
    <n v="33.383680784541646"/>
    <n v="55.971709626212174"/>
    <n v="51.591388705693184"/>
    <x v="3"/>
    <n v="1.18797"/>
    <x v="7"/>
  </r>
  <r>
    <s v="SPD01051"/>
    <x v="1"/>
    <n v="0"/>
    <n v="0"/>
    <n v="0"/>
    <n v="0"/>
    <n v="371.8"/>
    <n v="0"/>
    <n v="0"/>
    <n v="286.86"/>
    <n v="0"/>
    <n v="0"/>
    <n v="0"/>
    <n v="0"/>
    <n v="658.66000000000008"/>
    <n v="54.888333333333343"/>
    <n v="129.46433344104213"/>
    <n v="2.3586858186203887"/>
    <n v="102.08739120497681"/>
    <m/>
    <n v="5.440534834623505"/>
    <n v="9.8177059566386813"/>
    <n v="54.787200027117471"/>
    <n v="1.2815515655446006"/>
    <n v="4.7343175378026764E-2"/>
    <n v="2.5938000193548549"/>
    <n v="0.97459235671771771"/>
    <n v="80.030327923196253"/>
    <m/>
    <n v="70.212621966557577"/>
    <n v="51.043695602488405"/>
    <n v="56.572279764698827"/>
    <x v="3"/>
    <n v="0.98799000000000015"/>
    <x v="7"/>
  </r>
  <r>
    <s v="SPD00843"/>
    <x v="1"/>
    <n v="0"/>
    <n v="0"/>
    <n v="170.37"/>
    <n v="68.069999999999993"/>
    <n v="68.2"/>
    <n v="0"/>
    <n v="0"/>
    <n v="238.78"/>
    <n v="0"/>
    <n v="102.95"/>
    <n v="92.655000000000001"/>
    <n v="113.24500000000002"/>
    <n v="854.27"/>
    <n v="71.189166666666665"/>
    <n v="77.7641552981991"/>
    <n v="1.0923593987596301"/>
    <n v="116.26233431230784"/>
    <m/>
    <n v="5.440534834623505"/>
    <n v="12.733385460750196"/>
    <n v="32.981658074947937"/>
    <n v="1.2815515655446006"/>
    <n v="4.7343175378026764E-2"/>
    <n v="1.5614564225003729"/>
    <n v="0.98656954178895173"/>
    <n v="55.001081000956447"/>
    <m/>
    <n v="42.267695540206248"/>
    <n v="58.131167156153921"/>
    <n v="49.674870970527309"/>
    <x v="3"/>
    <n v="1.2814049999999999"/>
    <x v="6"/>
  </r>
  <r>
    <s v="SPD00245"/>
    <x v="1"/>
    <n v="0"/>
    <n v="63.99"/>
    <n v="96.43"/>
    <n v="0"/>
    <n v="127.98"/>
    <n v="63.82"/>
    <n v="0"/>
    <n v="0"/>
    <n v="223.55"/>
    <n v="63.71"/>
    <n v="57.338999999999999"/>
    <n v="70.081000000000003"/>
    <n v="766.9"/>
    <n v="63.908333333333331"/>
    <n v="65.41247521318202"/>
    <n v="1.0235359271850102"/>
    <n v="110.15667783155988"/>
    <m/>
    <n v="5.440534834623505"/>
    <n v="11.431085382665112"/>
    <n v="27.753883558838883"/>
    <n v="1.2815515655446006"/>
    <n v="4.7343175378026764E-2"/>
    <n v="1.3139569767474428"/>
    <n v="0.98807192625437912"/>
    <n v="46.999118307437634"/>
    <m/>
    <n v="35.568032924772524"/>
    <n v="55.078338915779938"/>
    <n v="52.428201080348622"/>
    <x v="3"/>
    <n v="1.15035"/>
    <x v="7"/>
  </r>
  <r>
    <s v="SPD01061"/>
    <x v="1"/>
    <n v="0"/>
    <n v="0"/>
    <n v="351.88"/>
    <n v="0"/>
    <n v="0"/>
    <n v="0"/>
    <n v="257.99"/>
    <n v="0"/>
    <n v="0"/>
    <n v="0"/>
    <n v="0"/>
    <n v="0"/>
    <n v="609.87"/>
    <n v="50.822499999999998"/>
    <n v="120.37186942025644"/>
    <n v="2.3684759588815281"/>
    <n v="98.233608160099152"/>
    <m/>
    <n v="5.440534834623505"/>
    <n v="9.0904629577858547"/>
    <n v="50.939161867760909"/>
    <n v="1.2815515655446006"/>
    <n v="4.7343175378026764E-2"/>
    <n v="2.4116216739150982"/>
    <n v="0.9754501364748337"/>
    <n v="74.371625596944668"/>
    <m/>
    <n v="65.281162639158808"/>
    <n v="49.116804080049576"/>
    <n v="58.791655563376111"/>
    <x v="3"/>
    <n v="0.91480499999999998"/>
    <x v="7"/>
  </r>
  <r>
    <s v="SPD00297"/>
    <x v="1"/>
    <n v="106.39"/>
    <n v="71.34"/>
    <n v="0"/>
    <n v="0"/>
    <n v="0"/>
    <n v="141.6"/>
    <n v="35.380000000000003"/>
    <n v="0"/>
    <n v="175.9"/>
    <n v="70.25"/>
    <n v="63.225000000000001"/>
    <n v="77.275000000000006"/>
    <n v="741.36"/>
    <n v="61.78"/>
    <n v="58.58483363310151"/>
    <n v="0.94828154148756083"/>
    <n v="108.30687765250849"/>
    <m/>
    <n v="5.440534834623505"/>
    <n v="11.050396999990362"/>
    <n v="24.870140536139921"/>
    <n v="1.2815515655446006"/>
    <n v="4.7343175378026764E-2"/>
    <n v="1.1774314250786448"/>
    <n v="0.98912874740183798"/>
    <n v="42.922764539394706"/>
    <m/>
    <n v="31.872367539404348"/>
    <n v="54.153438826254245"/>
    <n v="53.323635404075745"/>
    <x v="3"/>
    <n v="1.1120399999999999"/>
    <x v="7"/>
  </r>
  <r>
    <s v="SPD00375"/>
    <x v="2"/>
    <n v="91.65"/>
    <n v="0"/>
    <n v="122.16"/>
    <n v="122.1"/>
    <n v="0"/>
    <n v="121.84"/>
    <n v="60.97"/>
    <n v="0"/>
    <n v="0"/>
    <n v="60.98"/>
    <n v="54.881999999999998"/>
    <n v="67.078000000000003"/>
    <n v="701.66"/>
    <n v="58.471666666666664"/>
    <n v="49.540018143890208"/>
    <n v="0.84724826515218554"/>
    <m/>
    <n v="68.129330608388841"/>
    <n v="35.440534834623506"/>
    <n v="68.129330608388841"/>
    <n v="21.050320468207236"/>
    <n v="0.84162123357291474"/>
    <n v="0.11163767369322539"/>
    <n v="2.3500088075675429"/>
    <n v="0.96550665056324236"/>
    <m/>
    <n v="85.845727287946588"/>
    <n v="17.71639667955775"/>
    <n v="34.064665304194421"/>
    <n v="35.440534834623506"/>
    <x v="2"/>
    <n v="1.0524899999999999"/>
    <x v="7"/>
  </r>
  <r>
    <s v="SPD00814"/>
    <x v="2"/>
    <n v="0"/>
    <n v="0"/>
    <n v="0"/>
    <n v="179.95"/>
    <n v="0"/>
    <n v="0"/>
    <n v="0"/>
    <n v="92.11"/>
    <n v="302.62"/>
    <n v="0"/>
    <n v="0"/>
    <n v="0"/>
    <n v="574.68000000000006"/>
    <n v="47.890000000000008"/>
    <n v="97.665334782520546"/>
    <n v="2.0393680263629261"/>
    <m/>
    <n v="55.799908380168326"/>
    <n v="35.440534834623506"/>
    <n v="55.799908380168326"/>
    <n v="41.33885792604611"/>
    <n v="0.84162123357291474"/>
    <n v="0.11163767369322539"/>
    <n v="4.6149739319985397"/>
    <n v="0.91729423818124523"/>
    <m/>
    <n v="90.591568982382711"/>
    <n v="34.791660602214392"/>
    <n v="27.899954190084163"/>
    <n v="35.440534834623506"/>
    <x v="2"/>
    <n v="0.86202000000000012"/>
    <x v="7"/>
  </r>
  <r>
    <s v="SPD00551"/>
    <x v="2"/>
    <n v="134.81"/>
    <n v="0"/>
    <n v="270.18"/>
    <n v="0"/>
    <n v="0"/>
    <n v="0"/>
    <n v="0"/>
    <n v="101.49"/>
    <n v="67.61"/>
    <n v="0"/>
    <n v="0"/>
    <n v="0"/>
    <n v="574.09"/>
    <n v="47.840833333333336"/>
    <n v="84.518613706560458"/>
    <n v="1.7666626565150507"/>
    <m/>
    <n v="55.742620940298657"/>
    <n v="35.440534834623506"/>
    <n v="55.742620940298657"/>
    <n v="35.783900189632462"/>
    <n v="0.84162123357291474"/>
    <n v="0.11163767369322539"/>
    <n v="3.9948313728411349"/>
    <n v="0.9283343462245941"/>
    <m/>
    <n v="85.85911115994719"/>
    <n v="30.116490219648529"/>
    <n v="27.871310470149329"/>
    <n v="35.440534834623506"/>
    <x v="2"/>
    <n v="0.86113499999999998"/>
    <x v="7"/>
  </r>
  <r>
    <s v="SPD00040"/>
    <x v="2"/>
    <n v="0"/>
    <n v="62.27"/>
    <n v="0"/>
    <n v="0"/>
    <n v="93.29"/>
    <n v="0"/>
    <n v="0"/>
    <n v="0"/>
    <n v="0"/>
    <n v="405.5"/>
    <n v="364.95"/>
    <n v="446.05"/>
    <n v="1372.06"/>
    <n v="114.33833333333332"/>
    <n v="178.95679477731406"/>
    <n v="1.5651513325421402"/>
    <m/>
    <n v="133.22339787724255"/>
    <n v="35.440534834623506"/>
    <n v="133.22339787724255"/>
    <n v="75.790055705513353"/>
    <n v="0.84162123357291474"/>
    <n v="0.11163767369322539"/>
    <n v="8.4610255080434751"/>
    <n v="0.93648994363707938"/>
    <m/>
    <n v="197.00991805267662"/>
    <n v="63.78652017543407"/>
    <n v="66.611698938621274"/>
    <n v="35.440534834623506"/>
    <x v="2"/>
    <n v="2.05809"/>
    <x v="5"/>
  </r>
  <r>
    <s v="SPD00464"/>
    <x v="2"/>
    <n v="0"/>
    <n v="0"/>
    <n v="114.32"/>
    <n v="152.54"/>
    <n v="0"/>
    <n v="190.28"/>
    <n v="76.91"/>
    <n v="0"/>
    <n v="0"/>
    <n v="0"/>
    <n v="0"/>
    <n v="0"/>
    <n v="534.04999999999995"/>
    <n v="44.504166666666663"/>
    <n v="70.51221060707833"/>
    <n v="1.5843957069280781"/>
    <m/>
    <n v="51.854842817618305"/>
    <n v="35.440534834623506"/>
    <n v="51.854842817618305"/>
    <n v="29.861658154325394"/>
    <n v="0.84162123357291474"/>
    <n v="0.11163767369322539"/>
    <n v="3.3336860489712214"/>
    <n v="0.93571119170688988"/>
    <m/>
    <n v="76.987048389994328"/>
    <n v="25.132205572376026"/>
    <n v="25.927421408809153"/>
    <n v="35.440534834623506"/>
    <x v="2"/>
    <n v="0.80107499999999998"/>
    <x v="7"/>
  </r>
  <r>
    <s v="SPD00411"/>
    <x v="2"/>
    <n v="106.55"/>
    <n v="0"/>
    <n v="79.73"/>
    <n v="132.86000000000001"/>
    <n v="0"/>
    <n v="0"/>
    <n v="26.46"/>
    <n v="133.86000000000001"/>
    <n v="0"/>
    <n v="53.99"/>
    <n v="48.591000000000001"/>
    <n v="59.38900000000001"/>
    <n v="641.42999999999995"/>
    <n v="53.452499999999993"/>
    <n v="50.898479908539528"/>
    <n v="0.95221888421569678"/>
    <m/>
    <n v="62.281156873897402"/>
    <n v="35.440534834623506"/>
    <n v="62.281156873897402"/>
    <n v="21.606502123728681"/>
    <n v="0.84162123357291474"/>
    <n v="0.11163767369322539"/>
    <n v="2.4120996337408038"/>
    <n v="0.96127079593873543"/>
    <m/>
    <n v="80.465647844465735"/>
    <n v="18.184490970568334"/>
    <n v="31.140578436948701"/>
    <n v="35.440534834623506"/>
    <x v="2"/>
    <n v="0.96214499999999981"/>
    <x v="7"/>
  </r>
  <r>
    <s v="SPD00716"/>
    <x v="2"/>
    <n v="0"/>
    <n v="0"/>
    <n v="0"/>
    <n v="0"/>
    <n v="0"/>
    <n v="421.2"/>
    <n v="0"/>
    <n v="0"/>
    <n v="105.49"/>
    <n v="0"/>
    <n v="0"/>
    <n v="0"/>
    <n v="526.68999999999994"/>
    <n v="43.890833333333326"/>
    <n v="122.63053049030381"/>
    <n v="2.7939895685956557"/>
    <m/>
    <n v="51.140206279583161"/>
    <n v="35.440534834623506"/>
    <n v="51.140206279583161"/>
    <n v="51.886187199751909"/>
    <n v="0.84162123357291474"/>
    <n v="0.11163767369322539"/>
    <n v="5.7924532357915117"/>
    <n v="0.88673387033043616"/>
    <m/>
    <n v="94.808723156033551"/>
    <n v="43.668516876450383"/>
    <n v="25.570103139791581"/>
    <n v="35.440534834623506"/>
    <x v="2"/>
    <n v="0.79003499999999982"/>
    <x v="7"/>
  </r>
  <r>
    <s v="SPD00036"/>
    <x v="2"/>
    <n v="0"/>
    <n v="0"/>
    <n v="0"/>
    <n v="0"/>
    <n v="0"/>
    <n v="0"/>
    <n v="0"/>
    <n v="147.66"/>
    <n v="183.01"/>
    <n v="183.76"/>
    <n v="165.38399999999999"/>
    <n v="202.136"/>
    <n v="881.94999999999993"/>
    <n v="73.495833333333323"/>
    <n v="91.678813376654873"/>
    <n v="1.2474015086114389"/>
    <m/>
    <n v="85.635012869578617"/>
    <n v="35.440534834623506"/>
    <n v="85.635012869578617"/>
    <n v="38.85763195196072"/>
    <n v="0.84162123357291474"/>
    <n v="0.11163767369322539"/>
    <n v="4.3379756363444395"/>
    <n v="0.94934343452541847"/>
    <m/>
    <n v="118.33842100671011"/>
    <n v="32.70340813713149"/>
    <n v="42.817506434789308"/>
    <n v="35.440534834623506"/>
    <x v="2"/>
    <n v="1.3229249999999999"/>
    <x v="6"/>
  </r>
  <r>
    <s v="SPD00636"/>
    <x v="2"/>
    <n v="0"/>
    <n v="0"/>
    <n v="0"/>
    <n v="33.39"/>
    <n v="268.36"/>
    <n v="0"/>
    <n v="0"/>
    <n v="66.25"/>
    <n v="0"/>
    <n v="132.43"/>
    <n v="119.18700000000001"/>
    <n v="145.67300000000003"/>
    <n v="765.29"/>
    <n v="63.774166666666666"/>
    <n v="86.170645175545133"/>
    <n v="1.3511841812993004"/>
    <m/>
    <n v="74.307635352298689"/>
    <n v="35.440534834623506"/>
    <n v="74.307635352298689"/>
    <n v="36.511337762560935"/>
    <n v="0.84162123357291474"/>
    <n v="0.11163767369322539"/>
    <n v="4.0760408112399151"/>
    <n v="0.94514640666581484"/>
    <m/>
    <n v="105.03635247942256"/>
    <n v="30.728717127123879"/>
    <n v="37.153817676149345"/>
    <n v="35.440534834623506"/>
    <x v="2"/>
    <n v="1.1479349999999999"/>
    <x v="7"/>
  </r>
  <r>
    <s v="SPD00488"/>
    <x v="2"/>
    <n v="0"/>
    <n v="0"/>
    <n v="0"/>
    <n v="162.71"/>
    <n v="0"/>
    <n v="0"/>
    <n v="0"/>
    <n v="0"/>
    <n v="173.45"/>
    <n v="163.55000000000001"/>
    <n v="147.19500000000002"/>
    <n v="179.90500000000003"/>
    <n v="826.81"/>
    <n v="68.900833333333324"/>
    <n v="85.478507740870526"/>
    <n v="1.2406019434821138"/>
    <m/>
    <n v="80.281064675657703"/>
    <n v="35.440534834623506"/>
    <n v="80.281064675657703"/>
    <n v="36.2305239150799"/>
    <n v="0.84162123357291474"/>
    <n v="0.11163767369322539"/>
    <n v="4.0446914065662884"/>
    <n v="0.9496183636464316"/>
    <m/>
    <n v="110.77344290606024"/>
    <n v="30.492378230402533"/>
    <n v="40.140532337828851"/>
    <n v="35.440534834623506"/>
    <x v="2"/>
    <n v="1.2402149999999998"/>
    <x v="6"/>
  </r>
  <r>
    <s v="SPD00407"/>
    <x v="2"/>
    <n v="100.05"/>
    <n v="99.59"/>
    <n v="99.62"/>
    <n v="0"/>
    <n v="0"/>
    <n v="99.5"/>
    <n v="0"/>
    <n v="0"/>
    <n v="32.979999999999997"/>
    <n v="66.7"/>
    <n v="60.03"/>
    <n v="73.37"/>
    <n v="631.84"/>
    <n v="52.653333333333336"/>
    <n v="43.700854023968937"/>
    <n v="0.82997317087811351"/>
    <m/>
    <n v="61.349993232626076"/>
    <n v="35.440534834623506"/>
    <n v="61.349993232626076"/>
    <n v="18.572816151504522"/>
    <n v="0.84162123357291474"/>
    <n v="0.11163767369322539"/>
    <n v="2.0734259890859281"/>
    <n v="0.96620332163324063"/>
    <m/>
    <n v="76.981269672978272"/>
    <n v="15.631276440352192"/>
    <n v="30.674996616313038"/>
    <n v="35.440534834623506"/>
    <x v="2"/>
    <n v="0.94776000000000005"/>
    <x v="7"/>
  </r>
  <r>
    <s v="SPD01115"/>
    <x v="2"/>
    <n v="0"/>
    <n v="0"/>
    <n v="0"/>
    <n v="0"/>
    <n v="0"/>
    <n v="188.66"/>
    <n v="0"/>
    <n v="0"/>
    <n v="302.52999999999997"/>
    <n v="0"/>
    <n v="0"/>
    <n v="0"/>
    <n v="491.18999999999994"/>
    <n v="40.932499999999997"/>
    <n v="98.632173353599711"/>
    <n v="2.4096298382361137"/>
    <m/>
    <n v="47.69325015183211"/>
    <n v="35.440534834623506"/>
    <n v="47.69325015183211"/>
    <n v="41.738470608037666"/>
    <n v="0.84162123357291474"/>
    <n v="0.11163767369322539"/>
    <n v="4.6595857621943875"/>
    <n v="0.90230093886743856"/>
    <m/>
    <n v="82.821233272415611"/>
    <n v="35.127983120583508"/>
    <n v="23.846625075916055"/>
    <n v="35.440534834623506"/>
    <x v="2"/>
    <n v="0.7367849999999998"/>
    <x v="7"/>
  </r>
  <r>
    <s v="SPD00966"/>
    <x v="2"/>
    <n v="0"/>
    <n v="0"/>
    <n v="0"/>
    <n v="0"/>
    <n v="0"/>
    <n v="485.95"/>
    <n v="0"/>
    <n v="0"/>
    <n v="0"/>
    <n v="0"/>
    <n v="0"/>
    <n v="0"/>
    <n v="485.95"/>
    <n v="40.49583333333333"/>
    <n v="140.28168165634932"/>
    <n v="3.4641016151377548"/>
    <m/>
    <n v="47.18446000790491"/>
    <n v="35.440534834623506"/>
    <n v="47.18446000790491"/>
    <n v="59.345579665951718"/>
    <n v="0.84162123357291474"/>
    <n v="0.11163767369322539"/>
    <n v="6.6252024578828292"/>
    <n v="0.85958931273616579"/>
    <m/>
    <n v="97.130959973462879"/>
    <n v="49.946499965557969"/>
    <n v="23.592230003952455"/>
    <n v="35.440534834623506"/>
    <x v="2"/>
    <n v="0.72892500000000005"/>
    <x v="7"/>
  </r>
  <r>
    <s v="SPD00473"/>
    <x v="2"/>
    <n v="0"/>
    <n v="0"/>
    <n v="74.47"/>
    <n v="223.63"/>
    <n v="0"/>
    <n v="0"/>
    <n v="186.95"/>
    <n v="0"/>
    <n v="0"/>
    <n v="0"/>
    <n v="0"/>
    <n v="0"/>
    <n v="485.05"/>
    <n v="40.420833333333334"/>
    <n v="80.283777989911087"/>
    <n v="1.9861979917099948"/>
    <m/>
    <n v="47.09707238776474"/>
    <n v="35.440534834623506"/>
    <n v="47.09707238776474"/>
    <n v="33.983254713916743"/>
    <n v="0.84162123357291474"/>
    <n v="0.11163767369322539"/>
    <n v="3.7938115007860009"/>
    <n v="0.91944697815714793"/>
    <m/>
    <n v="75.69810114091392"/>
    <n v="28.60102875314918"/>
    <n v="23.54853619388237"/>
    <n v="35.440534834623506"/>
    <x v="2"/>
    <n v="0.72757499999999997"/>
    <x v="7"/>
  </r>
  <r>
    <s v="SPD00962"/>
    <x v="2"/>
    <n v="0"/>
    <n v="0"/>
    <n v="0"/>
    <n v="0"/>
    <n v="0"/>
    <n v="483.98"/>
    <n v="0"/>
    <n v="0"/>
    <n v="0"/>
    <n v="0"/>
    <n v="0"/>
    <n v="0"/>
    <n v="483.98"/>
    <n v="40.331666666666671"/>
    <n v="139.71299164119753"/>
    <n v="3.4641016151377539"/>
    <m/>
    <n v="46.993178217153655"/>
    <n v="35.440534834623506"/>
    <n v="46.993178217153655"/>
    <n v="59.10499772965801"/>
    <n v="0.84162123357291474"/>
    <n v="0.11163767369322539"/>
    <n v="6.5983444501823882"/>
    <n v="0.85958931273616579"/>
    <m/>
    <n v="96.737199316712747"/>
    <n v="49.744021099559099"/>
    <n v="23.496589108576828"/>
    <n v="35.440534834623506"/>
    <x v="2"/>
    <n v="0.72597"/>
    <x v="7"/>
  </r>
  <r>
    <s v="SPD00126"/>
    <x v="2"/>
    <n v="0"/>
    <n v="0"/>
    <n v="72.14"/>
    <n v="117.23"/>
    <n v="180.73"/>
    <n v="0"/>
    <n v="0"/>
    <n v="0"/>
    <n v="108.37"/>
    <n v="0"/>
    <n v="0"/>
    <n v="0"/>
    <n v="478.47"/>
    <n v="39.872500000000002"/>
    <n v="63.444067868692599"/>
    <n v="1.5911735624476167"/>
    <m/>
    <n v="46.458171787184412"/>
    <n v="35.440534834623506"/>
    <n v="46.458171787184412"/>
    <n v="26.868019019159703"/>
    <n v="0.84162123357291474"/>
    <n v="0.11163767369322539"/>
    <n v="2.9994831400443247"/>
    <n v="0.93543690970483395"/>
    <m/>
    <n v="69.070867097750138"/>
    <n v="22.612695310565723"/>
    <n v="23.229085893592206"/>
    <n v="35.440534834623506"/>
    <x v="2"/>
    <n v="0.71770500000000004"/>
    <x v="7"/>
  </r>
  <r>
    <s v="SPD00447"/>
    <x v="2"/>
    <n v="0"/>
    <n v="66.5"/>
    <n v="133.18"/>
    <n v="0"/>
    <n v="0"/>
    <n v="0"/>
    <n v="0"/>
    <n v="0"/>
    <n v="266.54000000000002"/>
    <n v="0"/>
    <n v="0"/>
    <n v="0"/>
    <n v="466.22"/>
    <n v="38.851666666666667"/>
    <n v="82.621431275793128"/>
    <n v="2.1265865370630124"/>
    <m/>
    <n v="45.268729179721014"/>
    <n v="35.440534834623506"/>
    <n v="45.268729179721014"/>
    <n v="34.968934634387381"/>
    <n v="0.84162123357291474"/>
    <n v="0.11163767369322539"/>
    <n v="3.9038505141134663"/>
    <n v="0.9137627544476713"/>
    <m/>
    <n v="74.699327083444743"/>
    <n v="29.430597903723729"/>
    <n v="22.634364589860507"/>
    <n v="35.440534834623506"/>
    <x v="2"/>
    <n v="0.69933000000000001"/>
    <x v="7"/>
  </r>
  <r>
    <s v="SPD00364"/>
    <x v="2"/>
    <n v="89.38"/>
    <n v="72.61"/>
    <n v="0"/>
    <n v="0"/>
    <n v="109.21"/>
    <n v="0"/>
    <n v="27.08"/>
    <n v="108.36"/>
    <n v="54.26"/>
    <n v="0"/>
    <n v="0"/>
    <n v="0"/>
    <n v="460.9"/>
    <n v="38.408333333333331"/>
    <n v="45.631710830663948"/>
    <n v="1.1880679756302179"/>
    <m/>
    <n v="44.752171247336911"/>
    <n v="35.440534834623506"/>
    <n v="44.752171247336911"/>
    <n v="19.345071699118023"/>
    <n v="0.84162123357291474"/>
    <n v="0.11163767369322539"/>
    <n v="2.1596388019181871"/>
    <n v="0.95174225648221034"/>
    <m/>
    <n v="61.033394354305102"/>
    <n v="16.281223106968191"/>
    <n v="22.376085623668455"/>
    <n v="35.440534834623506"/>
    <x v="2"/>
    <n v="0.69135000000000002"/>
    <x v="7"/>
  </r>
  <r>
    <s v="SPD00094"/>
    <x v="2"/>
    <n v="0"/>
    <n v="29.57"/>
    <n v="59.19"/>
    <n v="0"/>
    <n v="59.46"/>
    <n v="59.14"/>
    <n v="88.7"/>
    <n v="0"/>
    <n v="59.85"/>
    <n v="89.52"/>
    <n v="80.567999999999998"/>
    <n v="98.472000000000008"/>
    <n v="624.47"/>
    <n v="52.039166666666667"/>
    <n v="36.388627218937337"/>
    <n v="0.69925461051331217"/>
    <m/>
    <n v="60.634385721033809"/>
    <n v="35.440534834623506"/>
    <n v="60.634385721033809"/>
    <n v="15.495851351236585"/>
    <n v="0.84162123357291474"/>
    <n v="0.11163767369322539"/>
    <n v="1.7299207967480756"/>
    <n v="0.97146964092772237"/>
    <m/>
    <n v="73.676023250524054"/>
    <n v="13.041637529490252"/>
    <n v="30.317192860516904"/>
    <n v="35.440534834623506"/>
    <x v="2"/>
    <n v="0.93670500000000001"/>
    <x v="7"/>
  </r>
  <r>
    <s v="SPD00638"/>
    <x v="2"/>
    <n v="0"/>
    <n v="0"/>
    <n v="0"/>
    <n v="34.1"/>
    <n v="0"/>
    <n v="0"/>
    <n v="0"/>
    <n v="169.68"/>
    <n v="67.77"/>
    <n v="169.7"/>
    <n v="152.72999999999999"/>
    <n v="186.67000000000002"/>
    <n v="780.65000000000009"/>
    <n v="65.054166666666674"/>
    <n v="80.188744331260366"/>
    <n v="1.2326457848909553"/>
    <m/>
    <n v="75.799050736024213"/>
    <n v="35.440534834623506"/>
    <n v="75.799050736024213"/>
    <n v="33.98939279117878"/>
    <n v="0.84162123357291474"/>
    <n v="0.11163767369322539"/>
    <n v="3.7944967414524839"/>
    <n v="0.94994004931978504"/>
    <m/>
    <n v="104.40524542533043"/>
    <n v="28.606194689306221"/>
    <n v="37.899525368012107"/>
    <n v="35.440534834623506"/>
    <x v="2"/>
    <n v="1.1709750000000001"/>
    <x v="7"/>
  </r>
  <r>
    <s v="SPD00380"/>
    <x v="2"/>
    <n v="0"/>
    <n v="0"/>
    <n v="142.31"/>
    <n v="0"/>
    <n v="0"/>
    <n v="0"/>
    <n v="0"/>
    <n v="177.61"/>
    <n v="0"/>
    <n v="106.82"/>
    <n v="96.137999999999991"/>
    <n v="117.502"/>
    <n v="640.38"/>
    <n v="53.365000000000002"/>
    <n v="68.81022449660172"/>
    <n v="1.2894261125569515"/>
    <m/>
    <n v="62.17920465040055"/>
    <n v="35.440534834623506"/>
    <n v="62.17920465040055"/>
    <n v="29.160839269353179"/>
    <n v="0.84162123357291474"/>
    <n v="0.11163767369322539"/>
    <n v="3.2554482589726432"/>
    <n v="0.94764409938537753"/>
    <m/>
    <n v="86.721586168295062"/>
    <n v="24.542381517894515"/>
    <n v="31.089602325200275"/>
    <n v="35.440534834623506"/>
    <x v="2"/>
    <n v="0.96057000000000003"/>
    <x v="7"/>
  </r>
  <r>
    <s v="SPD00844"/>
    <x v="2"/>
    <n v="0"/>
    <n v="143.46"/>
    <n v="35.82"/>
    <n v="0"/>
    <n v="0"/>
    <n v="0"/>
    <n v="0"/>
    <n v="239.2"/>
    <n v="0"/>
    <n v="0"/>
    <n v="0"/>
    <n v="0"/>
    <n v="418.48"/>
    <n v="34.873333333333335"/>
    <n v="76.566484162260565"/>
    <n v="2.1955596681971103"/>
    <m/>
    <n v="40.633301418063688"/>
    <n v="35.440534834623506"/>
    <n v="40.633301418063688"/>
    <n v="32.404723959315113"/>
    <n v="0.84162123357291474"/>
    <n v="0.11163767369322539"/>
    <n v="3.6175879994890634"/>
    <n v="0.91096987266014151"/>
    <m/>
    <n v="67.905805170292268"/>
    <n v="27.272503752228573"/>
    <n v="20.316650709031844"/>
    <n v="35.440534834623506"/>
    <x v="2"/>
    <n v="0.62771999999999994"/>
    <x v="7"/>
  </r>
  <r>
    <s v="SPD00383"/>
    <x v="2"/>
    <n v="0"/>
    <n v="0"/>
    <n v="170.84"/>
    <n v="240.19"/>
    <n v="0"/>
    <n v="0"/>
    <n v="0"/>
    <n v="0"/>
    <n v="0"/>
    <n v="0"/>
    <n v="0"/>
    <n v="0"/>
    <n v="411.03"/>
    <n v="34.252499999999998"/>
    <n v="81.351502542418302"/>
    <n v="2.3750529900713322"/>
    <m/>
    <n v="39.909926118014518"/>
    <n v="35.440534834623506"/>
    <n v="39.909926118014518"/>
    <n v="34.426345359808906"/>
    <n v="0.84162123357291474"/>
    <n v="0.11163767369322539"/>
    <n v="3.8432771097286307"/>
    <n v="0.90370122213797199"/>
    <m/>
    <n v="68.883869367144086"/>
    <n v="28.973943249129562"/>
    <n v="19.954963059007259"/>
    <n v="35.440534834623506"/>
    <x v="2"/>
    <n v="0.6165449999999999"/>
    <x v="7"/>
  </r>
  <r>
    <s v="SPD00602"/>
    <x v="2"/>
    <n v="0"/>
    <n v="0"/>
    <n v="113.57"/>
    <n v="0"/>
    <n v="0"/>
    <n v="0"/>
    <n v="0"/>
    <n v="0"/>
    <n v="285.10000000000002"/>
    <n v="0"/>
    <n v="0"/>
    <n v="0"/>
    <n v="398.67"/>
    <n v="33.222500000000004"/>
    <n v="85.777376136241088"/>
    <n v="2.581906121942692"/>
    <m/>
    <n v="38.709802801422882"/>
    <n v="35.440534834623506"/>
    <n v="38.709802801422882"/>
    <n v="36.295942150716719"/>
    <n v="0.84162123357291474"/>
    <n v="0.11163767369322539"/>
    <n v="4.0519945462098983"/>
    <n v="0.89532381327292743"/>
    <m/>
    <n v="69.257238408000234"/>
    <n v="30.547435606577356"/>
    <n v="19.354901400711441"/>
    <n v="35.440534834623506"/>
    <x v="2"/>
    <n v="0.59800500000000001"/>
    <x v="7"/>
  </r>
  <r>
    <s v="SPD00089"/>
    <x v="2"/>
    <n v="0"/>
    <n v="0"/>
    <n v="0"/>
    <n v="0"/>
    <n v="98.3"/>
    <n v="0"/>
    <n v="0"/>
    <n v="197.65"/>
    <n v="98.23"/>
    <n v="0"/>
    <n v="0"/>
    <n v="0"/>
    <n v="394.18"/>
    <n v="32.848333333333336"/>
    <n v="64.264644151187738"/>
    <n v="1.9564050175408514"/>
    <m/>
    <n v="38.273835674279162"/>
    <n v="35.440534834623506"/>
    <n v="38.273835674279162"/>
    <n v="27.203243448313284"/>
    <n v="0.84162123357291474"/>
    <n v="0.11163767369322539"/>
    <n v="3.0369068154801697"/>
    <n v="0.92065318873903623"/>
    <m/>
    <n v="61.168662982432899"/>
    <n v="22.894827308153737"/>
    <n v="19.136917837139581"/>
    <n v="35.440534834623506"/>
    <x v="2"/>
    <n v="0.59126999999999996"/>
    <x v="7"/>
  </r>
  <r>
    <s v="SPD00471"/>
    <x v="2"/>
    <n v="0"/>
    <n v="193.53"/>
    <n v="110.78"/>
    <n v="0"/>
    <n v="0"/>
    <n v="0"/>
    <n v="0"/>
    <n v="0"/>
    <n v="83.11"/>
    <n v="0"/>
    <n v="0"/>
    <n v="0"/>
    <n v="387.42"/>
    <n v="32.285000000000004"/>
    <n v="63.33567621663309"/>
    <n v="1.9617678865303727"/>
    <m/>
    <n v="37.617457549670789"/>
    <n v="35.440534834623506"/>
    <n v="37.617457549670789"/>
    <n v="26.80988186137262"/>
    <n v="0.84162123357291474"/>
    <n v="0.11163767369322539"/>
    <n v="2.9929928429938388"/>
    <n v="0.92043606777406906"/>
    <m/>
    <n v="60.181223393783327"/>
    <n v="22.563765844112535"/>
    <n v="18.808728774835394"/>
    <n v="35.440534834623506"/>
    <x v="2"/>
    <n v="0.58113000000000004"/>
    <x v="7"/>
  </r>
  <r>
    <s v="SPD00426"/>
    <x v="2"/>
    <n v="0"/>
    <n v="0"/>
    <n v="0"/>
    <n v="0"/>
    <n v="0"/>
    <n v="35.96"/>
    <n v="0"/>
    <n v="108.1"/>
    <n v="108.25"/>
    <n v="131.02000000000001"/>
    <n v="117.91800000000001"/>
    <n v="144.12200000000001"/>
    <n v="645.37000000000012"/>
    <n v="53.780833333333341"/>
    <n v="61.666481023225884"/>
    <n v="1.1466256136459869"/>
    <m/>
    <n v="62.66372045539994"/>
    <n v="35.440534834623506"/>
    <n v="62.66372045539994"/>
    <n v="26.147429178974786"/>
    <n v="0.84162123357291474"/>
    <n v="0.11163767369322539"/>
    <n v="2.9190381665991074"/>
    <n v="0.95341741369032351"/>
    <m/>
    <n v="84.66995205576913"/>
    <n v="22.006231600369183"/>
    <n v="31.33186022769997"/>
    <n v="35.440534834623506"/>
    <x v="2"/>
    <n v="0.96805500000000011"/>
    <x v="7"/>
  </r>
  <r>
    <s v="SPD00462"/>
    <x v="2"/>
    <n v="0"/>
    <n v="0"/>
    <n v="0"/>
    <n v="241.2"/>
    <n v="26.68"/>
    <n v="0"/>
    <n v="53.53"/>
    <n v="0"/>
    <n v="53.69"/>
    <n v="0"/>
    <n v="0"/>
    <n v="0"/>
    <n v="375.09999999999997"/>
    <n v="31.258333333333329"/>
    <n v="69.355696211412194"/>
    <n v="2.2187906012715182"/>
    <m/>
    <n v="36.421218127307604"/>
    <n v="35.440534834623506"/>
    <n v="36.421218127307604"/>
    <n v="29.352521532362516"/>
    <n v="0.84162123357291474"/>
    <n v="0.11163767369322539"/>
    <n v="3.2768472209032584"/>
    <n v="0.91002917009943796"/>
    <m/>
    <n v="61.124923507850085"/>
    <n v="24.703705380542484"/>
    <n v="18.210609063653802"/>
    <n v="35.440534834623506"/>
    <x v="2"/>
    <n v="0.56264999999999987"/>
    <x v="7"/>
  </r>
  <r>
    <s v="SPD00246"/>
    <x v="2"/>
    <n v="0"/>
    <n v="60.93"/>
    <n v="61.01"/>
    <n v="30.45"/>
    <n v="30.6"/>
    <n v="30.45"/>
    <n v="0"/>
    <n v="0"/>
    <n v="152.38"/>
    <n v="0"/>
    <n v="0"/>
    <n v="0"/>
    <n v="365.81999999999994"/>
    <n v="30.484999999999996"/>
    <n v="45.018270735335896"/>
    <n v="1.4767351397518749"/>
    <m/>
    <n v="35.520154666306766"/>
    <n v="35.440534834623506"/>
    <n v="35.520154666306766"/>
    <n v="19.068942459528124"/>
    <n v="0.84162123357291474"/>
    <n v="0.11163767369322539"/>
    <n v="2.1288123759716915"/>
    <n v="0.94006748011176278"/>
    <m/>
    <n v="51.568981542025753"/>
    <n v="16.048826875718991"/>
    <n v="17.760077333153383"/>
    <n v="35.440534834623506"/>
    <x v="2"/>
    <n v="0.54872999999999994"/>
    <x v="7"/>
  </r>
  <r>
    <s v="SPD00032"/>
    <x v="2"/>
    <n v="0"/>
    <n v="0"/>
    <n v="0"/>
    <n v="140.21"/>
    <n v="0"/>
    <n v="0"/>
    <n v="0"/>
    <n v="35.090000000000003"/>
    <n v="175.42"/>
    <n v="0"/>
    <n v="0"/>
    <n v="0"/>
    <n v="350.72"/>
    <n v="29.22666666666667"/>
    <n v="61.357337907959426"/>
    <n v="2.0993614703909471"/>
    <m/>
    <n v="34.053984595066183"/>
    <n v="35.440534834623506"/>
    <n v="34.053984595066183"/>
    <n v="25.969564429896032"/>
    <n v="0.84162123357291474"/>
    <n v="0.11163767369322539"/>
    <n v="2.8991817597799261"/>
    <n v="0.91486512388333063"/>
    <m/>
    <n v="55.910521445906568"/>
    <n v="21.856536850840385"/>
    <n v="17.026992297533091"/>
    <n v="35.440534834623506"/>
    <x v="2"/>
    <n v="0.5260800000000001"/>
    <x v="7"/>
  </r>
  <r>
    <s v="SPD00495"/>
    <x v="2"/>
    <n v="0"/>
    <n v="0"/>
    <n v="0"/>
    <n v="0"/>
    <n v="0"/>
    <n v="68.64"/>
    <n v="0"/>
    <n v="68.16"/>
    <n v="0"/>
    <n v="204.91"/>
    <n v="184.41900000000001"/>
    <n v="225.40100000000001"/>
    <n v="751.53"/>
    <n v="62.627499999999998"/>
    <n v="89.997412380478025"/>
    <n v="1.4370270628793744"/>
    <m/>
    <n v="72.971575737711234"/>
    <n v="35.440534834623506"/>
    <n v="72.971575737711234"/>
    <n v="38.124614135654625"/>
    <n v="0.84162123357291474"/>
    <n v="0.11163767369322539"/>
    <n v="4.2561432325563393"/>
    <n v="0.9416739574344043"/>
    <m/>
    <n v="105.05806051605227"/>
    <n v="32.086484778341031"/>
    <n v="36.485787868855617"/>
    <n v="35.440534834623506"/>
    <x v="2"/>
    <n v="1.1272949999999999"/>
    <x v="7"/>
  </r>
  <r>
    <s v="SPD00972"/>
    <x v="2"/>
    <n v="0"/>
    <n v="0"/>
    <n v="0"/>
    <n v="0"/>
    <n v="0"/>
    <n v="341.38"/>
    <n v="0"/>
    <n v="0"/>
    <n v="0"/>
    <n v="0"/>
    <n v="0"/>
    <n v="0"/>
    <n v="341.38"/>
    <n v="28.448333333333334"/>
    <n v="98.547917447977213"/>
    <n v="3.4641016151377544"/>
    <m/>
    <n v="33.147095292722661"/>
    <n v="35.440534834623506"/>
    <n v="33.147095292722661"/>
    <n v="41.690284980682364"/>
    <n v="0.84162123357291474"/>
    <n v="0.11163767369322539"/>
    <n v="4.6542064308509934"/>
    <n v="0.85958931273616579"/>
    <m/>
    <n v="68.234524366170916"/>
    <n v="35.087429073448249"/>
    <n v="16.57354764636133"/>
    <n v="35.440534834623499"/>
    <x v="2"/>
    <n v="0.51207000000000003"/>
    <x v="7"/>
  </r>
  <r>
    <s v="SPD00457"/>
    <x v="2"/>
    <n v="70.8"/>
    <n v="0"/>
    <n v="0"/>
    <n v="0"/>
    <n v="0"/>
    <n v="106.54"/>
    <n v="0"/>
    <n v="0"/>
    <n v="0"/>
    <n v="140.44"/>
    <n v="126.396"/>
    <n v="154.48400000000001"/>
    <n v="598.66"/>
    <n v="49.888333333333328"/>
    <n v="64.710481544313751"/>
    <n v="1.2971065020742409"/>
    <m/>
    <n v="58.128302970125226"/>
    <n v="35.440534834623506"/>
    <n v="58.128302970125226"/>
    <n v="27.422767539975304"/>
    <n v="0.84162123357291474"/>
    <n v="0.11163767369322539"/>
    <n v="3.0614139743929361"/>
    <n v="0.94733350505748748"/>
    <m/>
    <n v="81.207886415102521"/>
    <n v="23.079583444977299"/>
    <n v="29.064151485062613"/>
    <n v="35.440534834623506"/>
    <x v="2"/>
    <n v="0.89798999999999995"/>
    <x v="7"/>
  </r>
  <r>
    <s v="SPD00247"/>
    <x v="2"/>
    <n v="0"/>
    <n v="0"/>
    <n v="0"/>
    <n v="86.62"/>
    <n v="0"/>
    <n v="86.83"/>
    <n v="0"/>
    <n v="0"/>
    <n v="144.16999999999999"/>
    <n v="0"/>
    <n v="0"/>
    <n v="0"/>
    <n v="317.62"/>
    <n v="26.468333333333334"/>
    <n v="49.927757051988863"/>
    <n v="1.8863203974052842"/>
    <m/>
    <n v="30.840062121022243"/>
    <n v="35.440534834623506"/>
    <n v="30.840062121022243"/>
    <n v="21.135846364769602"/>
    <n v="0.84162123357291474"/>
    <n v="0.11163767369322539"/>
    <n v="2.3595567197002927"/>
    <n v="0.9234905328516867"/>
    <m/>
    <n v="48.628439211147239"/>
    <n v="17.788377090125"/>
    <n v="15.420031060511121"/>
    <n v="35.440534834623506"/>
    <x v="2"/>
    <n v="0.47643000000000002"/>
    <x v="7"/>
  </r>
  <r>
    <s v="SPD00938"/>
    <x v="2"/>
    <n v="0"/>
    <n v="0"/>
    <n v="64.209999999999994"/>
    <n v="21.14"/>
    <n v="32.03"/>
    <n v="0"/>
    <n v="0"/>
    <n v="0"/>
    <n v="192.87"/>
    <n v="0"/>
    <n v="0"/>
    <n v="0"/>
    <n v="310.25"/>
    <n v="25.854166666666668"/>
    <n v="56.224651898082975"/>
    <n v="2.1746843602804051"/>
    <m/>
    <n v="30.124454609429979"/>
    <n v="35.440534834623506"/>
    <n v="30.124454609429979"/>
    <n v="23.795907310362299"/>
    <n v="0.84162123357291474"/>
    <n v="0.11163767369322539"/>
    <n v="2.6565197355484629"/>
    <n v="0.91181517574373339"/>
    <m/>
    <n v="50.151595473963837"/>
    <n v="20.027140864533859"/>
    <n v="15.062227304714989"/>
    <n v="35.440534834623506"/>
    <x v="2"/>
    <n v="0.46537499999999998"/>
    <x v="7"/>
  </r>
  <r>
    <s v="SPD01079"/>
    <x v="2"/>
    <n v="0"/>
    <n v="0"/>
    <n v="0"/>
    <n v="0"/>
    <n v="102.09"/>
    <n v="34.07"/>
    <n v="136.16"/>
    <n v="34.049999999999997"/>
    <n v="0"/>
    <n v="0"/>
    <n v="0"/>
    <n v="0"/>
    <n v="306.37"/>
    <n v="25.530833333333334"/>
    <n v="46.181656818645557"/>
    <n v="1.8088581839727997"/>
    <m/>
    <n v="29.747716869270146"/>
    <n v="35.440534834623506"/>
    <n v="29.747716869270146"/>
    <n v="19.551638298272966"/>
    <n v="0.84162123357291474"/>
    <n v="0.11163767369322539"/>
    <n v="2.182699416510566"/>
    <n v="0.9266263214046746"/>
    <m/>
    <n v="46.202790812234085"/>
    <n v="16.455073942963939"/>
    <n v="14.873858434635073"/>
    <n v="35.440534834623506"/>
    <x v="2"/>
    <n v="0.45955499999999999"/>
    <x v="7"/>
  </r>
  <r>
    <s v="SPD00037"/>
    <x v="2"/>
    <n v="0"/>
    <n v="50.99"/>
    <n v="0"/>
    <n v="0"/>
    <n v="0"/>
    <n v="0"/>
    <n v="127.35"/>
    <n v="0"/>
    <n v="127.21"/>
    <n v="0"/>
    <n v="0"/>
    <n v="0"/>
    <n v="305.55"/>
    <n v="25.462500000000002"/>
    <n v="49.745095532579441"/>
    <n v="1.9536610911175036"/>
    <m/>
    <n v="29.668097037586882"/>
    <n v="35.440534834623506"/>
    <n v="29.668097037586882"/>
    <n v="21.057166329134649"/>
    <n v="0.84162123357291474"/>
    <n v="0.11163767369322539"/>
    <n v="2.3507730635559065"/>
    <n v="0.9207642788623186"/>
    <m/>
    <n v="47.390255339063231"/>
    <n v="17.722158301476348"/>
    <n v="14.834048518793441"/>
    <n v="35.440534834623506"/>
    <x v="2"/>
    <n v="0.45832499999999998"/>
    <x v="7"/>
  </r>
  <r>
    <s v="SPD00106"/>
    <x v="2"/>
    <n v="0"/>
    <n v="0"/>
    <n v="0"/>
    <n v="0"/>
    <n v="0"/>
    <n v="301.69"/>
    <n v="0"/>
    <n v="0"/>
    <n v="0"/>
    <n v="0"/>
    <n v="0"/>
    <n v="0"/>
    <n v="301.69"/>
    <n v="25.140833333333333"/>
    <n v="87.090401355909094"/>
    <n v="3.4641016151377544"/>
    <m/>
    <n v="29.293301244541276"/>
    <n v="35.440534834623506"/>
    <n v="29.293301244541276"/>
    <n v="36.843230639820909"/>
    <n v="0.84162123357291474"/>
    <n v="0.11163767369322539"/>
    <n v="4.1130925599725705"/>
    <n v="0.85958931273616579"/>
    <m/>
    <n v="60.301346464438758"/>
    <n v="31.008045219897483"/>
    <n v="14.646650622270638"/>
    <n v="35.440534834623506"/>
    <x v="2"/>
    <n v="0.45253500000000002"/>
    <x v="7"/>
  </r>
  <r>
    <s v="SPD00336"/>
    <x v="2"/>
    <n v="0"/>
    <n v="119.82"/>
    <n v="0"/>
    <n v="180.07"/>
    <n v="0"/>
    <n v="0"/>
    <n v="0"/>
    <n v="0"/>
    <n v="0"/>
    <n v="0"/>
    <n v="0"/>
    <n v="0"/>
    <n v="299.89"/>
    <n v="24.990833333333331"/>
    <n v="59.7628162684234"/>
    <n v="2.3913894935512383"/>
    <m/>
    <n v="29.118526004260939"/>
    <n v="35.440534834623506"/>
    <n v="29.118526004260939"/>
    <n v="25.290234405015035"/>
    <n v="0.84162123357291474"/>
    <n v="0.11163767369322539"/>
    <n v="2.8233429361322506"/>
    <n v="0.90303963409002541"/>
    <m/>
    <n v="50.403324281557857"/>
    <n v="21.284798277296922"/>
    <n v="14.55926300213047"/>
    <n v="35.440534834623506"/>
    <x v="2"/>
    <n v="0.44983499999999998"/>
    <x v="7"/>
  </r>
  <r>
    <s v="SPD00428"/>
    <x v="2"/>
    <n v="0"/>
    <n v="29.61"/>
    <n v="0"/>
    <n v="0"/>
    <n v="0"/>
    <n v="59.86"/>
    <n v="0"/>
    <n v="60.08"/>
    <n v="0"/>
    <n v="149.87"/>
    <n v="134.88300000000001"/>
    <n v="164.85700000000003"/>
    <n v="599.16000000000008"/>
    <n v="49.930000000000007"/>
    <n v="64.656990297752316"/>
    <n v="1.2949527397907532"/>
    <m/>
    <n v="58.176851647980882"/>
    <n v="35.440534834623506"/>
    <n v="58.176851647980882"/>
    <n v="27.400281934775006"/>
    <n v="0.84162123357291474"/>
    <n v="0.11163767369322539"/>
    <n v="3.0589037337367904"/>
    <n v="0.94742060377818749"/>
    <m/>
    <n v="81.237510730171877"/>
    <n v="23.060659082190991"/>
    <n v="29.088425823990441"/>
    <n v="35.440534834623506"/>
    <x v="2"/>
    <n v="0.89874000000000009"/>
    <x v="7"/>
  </r>
  <r>
    <s v="SPD00537"/>
    <x v="2"/>
    <n v="0"/>
    <n v="0"/>
    <n v="59.42"/>
    <n v="0"/>
    <n v="59.8"/>
    <n v="0"/>
    <n v="119.63"/>
    <n v="0"/>
    <n v="59.69"/>
    <n v="0"/>
    <n v="0"/>
    <n v="0"/>
    <n v="298.53999999999996"/>
    <n v="24.87833333333333"/>
    <n v="39.947501647522181"/>
    <n v="1.6057145433451672"/>
    <m/>
    <n v="28.987444574050688"/>
    <n v="35.440534834623506"/>
    <n v="28.987444574050688"/>
    <n v="16.91701804038718"/>
    <n v="0.84162123357291474"/>
    <n v="0.11163767369322539"/>
    <n v="1.8885765398551513"/>
    <n v="0.93484846396064214"/>
    <m/>
    <n v="43.225166165576596"/>
    <n v="14.237721591525911"/>
    <n v="14.493722287025344"/>
    <n v="35.440534834623506"/>
    <x v="2"/>
    <n v="0.44780999999999993"/>
    <x v="7"/>
  </r>
  <r>
    <s v="SPD00395"/>
    <x v="2"/>
    <n v="0"/>
    <n v="0"/>
    <n v="33.14"/>
    <n v="0"/>
    <n v="0"/>
    <n v="99.19"/>
    <n v="0"/>
    <n v="0"/>
    <n v="0"/>
    <n v="165.49"/>
    <n v="148.941"/>
    <n v="182.03900000000002"/>
    <n v="628.79999999999995"/>
    <n v="52.4"/>
    <n v="74.282234999665008"/>
    <n v="1.4175999045737597"/>
    <m/>
    <n v="61.054817271263722"/>
    <n v="35.440534834623506"/>
    <n v="61.054817271263722"/>
    <n v="31.468784558633022"/>
    <n v="0.84162123357291474"/>
    <n v="0.11163767369322539"/>
    <n v="3.5131019020790828"/>
    <n v="0.94245987361700656"/>
    <m/>
    <n v="87.539614550540733"/>
    <n v="26.484797279277014"/>
    <n v="30.527408635631861"/>
    <n v="35.440534834623506"/>
    <x v="2"/>
    <n v="0.94320000000000004"/>
    <x v="7"/>
  </r>
  <r>
    <s v="SPD00388"/>
    <x v="2"/>
    <n v="0"/>
    <n v="0"/>
    <n v="68.44"/>
    <n v="68.39"/>
    <n v="57.1"/>
    <n v="0"/>
    <n v="68.44"/>
    <n v="0"/>
    <n v="0"/>
    <n v="34.159999999999997"/>
    <n v="30.743999999999996"/>
    <n v="37.576000000000001"/>
    <n v="364.84999999999997"/>
    <n v="30.404166666666665"/>
    <n v="29.75164472713562"/>
    <n v="0.97853840407188564"/>
    <m/>
    <n v="35.42597023126681"/>
    <n v="35.440534834623506"/>
    <n v="35.42597023126681"/>
    <n v="12.627147174652944"/>
    <n v="0.84162123357291474"/>
    <n v="0.11163767369322539"/>
    <n v="1.4096653359602382"/>
    <n v="0.9602081375116136"/>
    <m/>
    <n v="46.053245412904964"/>
    <n v="10.627275181638156"/>
    <n v="17.712985115633405"/>
    <n v="35.440534834623506"/>
    <x v="2"/>
    <n v="0.54727499999999996"/>
    <x v="7"/>
  </r>
  <r>
    <s v="SPD00632"/>
    <x v="2"/>
    <n v="0"/>
    <n v="0"/>
    <n v="32.28"/>
    <n v="0"/>
    <n v="162.24"/>
    <n v="0"/>
    <n v="0"/>
    <n v="0"/>
    <n v="96.86"/>
    <n v="0"/>
    <n v="0"/>
    <n v="0"/>
    <n v="291.38"/>
    <n v="24.281666666666666"/>
    <n v="51.935697625802511"/>
    <n v="2.1388852066361115"/>
    <m/>
    <n v="28.292227507157801"/>
    <n v="35.440534834623506"/>
    <n v="28.292227507157801"/>
    <n v="21.981227252662269"/>
    <n v="0.84162123357291474"/>
    <n v="0.11163767369322539"/>
    <n v="2.4539330754093434"/>
    <n v="0.91326476238788512"/>
    <m/>
    <n v="46.79209510298999"/>
    <n v="18.499867595832189"/>
    <n v="14.1461137535789"/>
    <n v="35.440534834623506"/>
    <x v="2"/>
    <n v="0.43707000000000001"/>
    <x v="7"/>
  </r>
  <r>
    <s v="SPD00513"/>
    <x v="2"/>
    <n v="0"/>
    <n v="0"/>
    <n v="0"/>
    <n v="142.44999999999999"/>
    <n v="0"/>
    <n v="0"/>
    <n v="0"/>
    <n v="0"/>
    <n v="148.75"/>
    <n v="0"/>
    <n v="0"/>
    <n v="0"/>
    <n v="291.2"/>
    <n v="24.266666666666666"/>
    <n v="56.690637087029927"/>
    <n v="2.3361526272127717"/>
    <m/>
    <n v="28.274749983129766"/>
    <n v="35.440534834623506"/>
    <n v="28.274749983129766"/>
    <n v="23.990837963763376"/>
    <n v="0.84162123357291474"/>
    <n v="0.11163767369322539"/>
    <n v="2.6782813402256593"/>
    <n v="0.90527656860542827"/>
    <m/>
    <n v="48.465948624640212"/>
    <n v="20.191198641510447"/>
    <n v="14.137374991564883"/>
    <n v="35.440534834623506"/>
    <x v="2"/>
    <n v="0.43680000000000002"/>
    <x v="7"/>
  </r>
  <r>
    <s v="SPD00569"/>
    <x v="2"/>
    <n v="0"/>
    <n v="0"/>
    <n v="0"/>
    <n v="0"/>
    <n v="0"/>
    <n v="282.99"/>
    <n v="0"/>
    <n v="0"/>
    <n v="0"/>
    <n v="0"/>
    <n v="0"/>
    <n v="0"/>
    <n v="282.99"/>
    <n v="23.5825"/>
    <n v="81.692176338986101"/>
    <n v="3.4641016151377548"/>
    <m/>
    <n v="27.477580692740016"/>
    <n v="35.440534834623506"/>
    <n v="27.477580692740016"/>
    <n v="34.559534087185256"/>
    <n v="0.84162123357291474"/>
    <n v="0.11163767369322539"/>
    <n v="3.8581459894150876"/>
    <n v="0.85958931273616579"/>
    <m/>
    <n v="56.563618402902065"/>
    <n v="29.086037710162049"/>
    <n v="13.738790346370008"/>
    <n v="35.440534834623506"/>
    <x v="2"/>
    <n v="0.424485"/>
    <x v="7"/>
  </r>
  <r>
    <s v="SPD01022"/>
    <x v="2"/>
    <n v="125.14"/>
    <n v="156.80000000000001"/>
    <n v="0"/>
    <n v="0"/>
    <n v="0"/>
    <n v="0"/>
    <n v="0"/>
    <n v="0"/>
    <n v="0"/>
    <n v="0"/>
    <n v="0"/>
    <n v="0"/>
    <n v="281.94"/>
    <n v="23.495000000000001"/>
    <n v="55.286098285521689"/>
    <n v="2.3531005867427832"/>
    <m/>
    <n v="27.375628469243157"/>
    <n v="35.440534834623506"/>
    <n v="27.375628469243157"/>
    <n v="23.396245050411004"/>
    <n v="0.84162123357291474"/>
    <n v="0.11163767369322539"/>
    <n v="2.6119023705845232"/>
    <n v="0.90459023165371244"/>
    <m/>
    <n v="47.066405089544268"/>
    <n v="19.690776620301111"/>
    <n v="13.687814234621579"/>
    <n v="35.440534834623506"/>
    <x v="2"/>
    <n v="0.42291000000000001"/>
    <x v="7"/>
  </r>
  <r>
    <s v="SPD00960"/>
    <x v="2"/>
    <n v="0"/>
    <n v="0"/>
    <n v="0"/>
    <n v="0"/>
    <n v="0"/>
    <n v="279.62"/>
    <n v="0"/>
    <n v="0"/>
    <n v="0"/>
    <n v="0"/>
    <n v="0"/>
    <n v="0"/>
    <n v="279.62"/>
    <n v="23.301666666666666"/>
    <n v="80.719341135401578"/>
    <n v="3.4641016151377548"/>
    <m/>
    <n v="27.150362603992946"/>
    <n v="35.440534834623506"/>
    <n v="27.150362603992946"/>
    <n v="34.147980216469641"/>
    <n v="0.84162123357291474"/>
    <n v="0.11163767369322539"/>
    <n v="3.8122010726889539"/>
    <n v="0.85958931273616579"/>
    <m/>
    <n v="55.890027837801611"/>
    <n v="28.739665233808669"/>
    <n v="13.575181301996473"/>
    <n v="35.440534834623506"/>
    <x v="2"/>
    <n v="0.41943000000000003"/>
    <x v="7"/>
  </r>
  <r>
    <s v="SPD00124"/>
    <x v="2"/>
    <n v="0"/>
    <n v="0"/>
    <n v="0"/>
    <n v="0"/>
    <n v="0"/>
    <n v="69.8"/>
    <n v="104.76"/>
    <n v="104.88"/>
    <n v="0"/>
    <n v="0"/>
    <n v="0"/>
    <n v="0"/>
    <n v="279.44"/>
    <n v="23.286666666666665"/>
    <n v="43.000302183575265"/>
    <n v="1.8465632200218409"/>
    <m/>
    <n v="27.132885079964911"/>
    <n v="35.440534834623506"/>
    <n v="27.132885079964911"/>
    <n v="18.204008724240722"/>
    <n v="0.84162123357291474"/>
    <n v="0.11163767369322539"/>
    <n v="2.032253185865414"/>
    <n v="0.92509999655856567"/>
    <m/>
    <n v="42.453765358432491"/>
    <n v="15.320880278467579"/>
    <n v="13.566442539982456"/>
    <n v="35.440534834623506"/>
    <x v="2"/>
    <n v="0.41915999999999998"/>
    <x v="7"/>
  </r>
  <r>
    <s v="SPD00849"/>
    <x v="2"/>
    <n v="0"/>
    <n v="0"/>
    <n v="0"/>
    <n v="172.02"/>
    <n v="0"/>
    <n v="0"/>
    <n v="69.88"/>
    <n v="34.9"/>
    <n v="0"/>
    <n v="0"/>
    <n v="0"/>
    <n v="0"/>
    <n v="276.8"/>
    <n v="23.066666666666666"/>
    <n v="51.616814972243183"/>
    <n v="2.2377231924382883"/>
    <m/>
    <n v="26.876548060887089"/>
    <n v="35.440534834623506"/>
    <n v="26.876548060887089"/>
    <n v="21.844869757323547"/>
    <n v="0.84162123357291474"/>
    <n v="0.11163767369322539"/>
    <n v="2.4387104418390937"/>
    <n v="0.90926251256990476"/>
    <m/>
    <n v="45.261654293285389"/>
    <n v="18.385106232398304"/>
    <n v="13.438274030443544"/>
    <n v="35.440534834623506"/>
    <x v="2"/>
    <n v="0.41520000000000001"/>
    <x v="7"/>
  </r>
  <r>
    <s v="SPD00321"/>
    <x v="2"/>
    <n v="0"/>
    <n v="0"/>
    <n v="33.94"/>
    <n v="0"/>
    <n v="135.84"/>
    <n v="67.77"/>
    <n v="0"/>
    <n v="0"/>
    <n v="35.19"/>
    <n v="0"/>
    <n v="0"/>
    <n v="0"/>
    <n v="272.74"/>
    <n v="22.728333333333335"/>
    <n v="41.818452393722808"/>
    <n v="1.8399260421085051"/>
    <m/>
    <n v="26.482332796699218"/>
    <n v="35.440534834623506"/>
    <n v="26.482332796699218"/>
    <n v="17.703803989205102"/>
    <n v="0.84162123357291474"/>
    <n v="0.11163767369322539"/>
    <n v="1.9764114928757011"/>
    <n v="0.925368678505466"/>
    <m/>
    <n v="41.382230149027109"/>
    <n v="14.899897352327887"/>
    <n v="13.241166398349609"/>
    <n v="35.440534834623506"/>
    <x v="2"/>
    <n v="0.40910999999999997"/>
    <x v="7"/>
  </r>
  <r>
    <s v="SPD01014"/>
    <x v="2"/>
    <n v="0"/>
    <n v="0"/>
    <n v="0"/>
    <n v="0"/>
    <n v="0"/>
    <n v="0"/>
    <n v="0"/>
    <n v="0"/>
    <n v="101.32"/>
    <n v="168.89"/>
    <n v="152.001"/>
    <n v="185.779"/>
    <n v="607.99"/>
    <n v="50.665833333333332"/>
    <n v="77.22658240744137"/>
    <n v="1.5242339329418189"/>
    <m/>
    <n v="59.034221298911632"/>
    <n v="35.440534834623506"/>
    <n v="59.034221298911632"/>
    <n v="32.708708477164635"/>
    <n v="0.84162123357291474"/>
    <n v="0.11163767369322539"/>
    <n v="3.6515241239005407"/>
    <n v="0.93814563750385471"/>
    <m/>
    <n v="86.562564876039787"/>
    <n v="27.528343577128155"/>
    <n v="29.517110649455816"/>
    <n v="35.440534834623506"/>
    <x v="2"/>
    <n v="0.91198500000000005"/>
    <x v="7"/>
  </r>
  <r>
    <s v="SPD00571"/>
    <x v="2"/>
    <n v="0"/>
    <n v="0"/>
    <n v="0"/>
    <n v="31.19"/>
    <n v="0"/>
    <n v="92.69"/>
    <n v="61.67"/>
    <n v="0"/>
    <n v="0"/>
    <n v="82.11"/>
    <n v="73.899000000000001"/>
    <n v="90.321000000000012"/>
    <n v="431.88000000000005"/>
    <n v="35.99"/>
    <n v="40.659424985872811"/>
    <n v="1.129742289132337"/>
    <m/>
    <n v="41.934405984595074"/>
    <n v="35.440534834623506"/>
    <n v="41.934405984595074"/>
    <n v="17.241480019402459"/>
    <n v="0.84162123357291474"/>
    <n v="0.11163767369322539"/>
    <n v="1.9247987203943171"/>
    <n v="0.95409977379669075"/>
    <m/>
    <n v="56.44520166714733"/>
    <n v="14.51079568255226"/>
    <n v="20.967202992297537"/>
    <n v="35.440534834623506"/>
    <x v="2"/>
    <n v="0.64782000000000006"/>
    <x v="7"/>
  </r>
  <r>
    <s v="SPD01047"/>
    <x v="2"/>
    <n v="0"/>
    <n v="0"/>
    <n v="0"/>
    <n v="0"/>
    <n v="0"/>
    <n v="0"/>
    <n v="0"/>
    <n v="0"/>
    <n v="96.22"/>
    <n v="171.36"/>
    <n v="154.22400000000002"/>
    <n v="188.49600000000004"/>
    <n v="610.30000000000018"/>
    <n v="50.858333333333348"/>
    <n v="77.985710438554463"/>
    <n v="1.5333909966617292"/>
    <m/>
    <n v="59.258516190604745"/>
    <n v="35.440534834623506"/>
    <n v="59.258516190604745"/>
    <n v="33.029659976682304"/>
    <n v="0.84162123357291474"/>
    <n v="0.11163767369322539"/>
    <n v="3.6873544026750453"/>
    <n v="0.93777511419937198"/>
    <m/>
    <n v="87.056979364674035"/>
    <n v="27.79846317406929"/>
    <n v="29.629258095302372"/>
    <n v="35.440534834623506"/>
    <x v="2"/>
    <n v="0.91545000000000032"/>
    <x v="7"/>
  </r>
  <r>
    <s v="SPD00971"/>
    <x v="2"/>
    <n v="0"/>
    <n v="0"/>
    <n v="0"/>
    <n v="0"/>
    <n v="0"/>
    <n v="242.65"/>
    <n v="0"/>
    <n v="0"/>
    <n v="0"/>
    <n v="0"/>
    <n v="0"/>
    <n v="0"/>
    <n v="242.65"/>
    <n v="20.220833333333335"/>
    <n v="70.047021409431352"/>
    <n v="3.4641016151377544"/>
    <m/>
    <n v="23.560673363346282"/>
    <n v="35.440534834623506"/>
    <n v="23.560673363346282"/>
    <n v="29.633099919627917"/>
    <n v="0.84162123357291474"/>
    <n v="0.11163767369322539"/>
    <n v="3.3081703393461646"/>
    <n v="0.85958931273616579"/>
    <m/>
    <n v="48.500519472292972"/>
    <n v="24.939846108946689"/>
    <n v="11.780336681673141"/>
    <n v="35.440534834623506"/>
    <x v="2"/>
    <n v="0.36397499999999999"/>
    <x v="7"/>
  </r>
  <r>
    <s v="SPD00416"/>
    <x v="2"/>
    <n v="0"/>
    <n v="0"/>
    <n v="0"/>
    <n v="0"/>
    <n v="0"/>
    <n v="101.53"/>
    <n v="0"/>
    <n v="67.86"/>
    <n v="67.94"/>
    <n v="0"/>
    <n v="0"/>
    <n v="0"/>
    <n v="237.32999999999998"/>
    <n v="19.7775"/>
    <n v="36.724242705231205"/>
    <n v="1.8568698119191609"/>
    <m/>
    <n v="23.044115430962183"/>
    <n v="35.440534834623506"/>
    <n v="23.044115430962183"/>
    <n v="15.546893187069783"/>
    <n v="0.84162123357291474"/>
    <n v="0.11163767369322539"/>
    <n v="1.7356189885615252"/>
    <n v="0.92468276798207927"/>
    <m/>
    <n v="36.128710853290201"/>
    <n v="13.084595422328015"/>
    <n v="11.522057715481091"/>
    <n v="35.440534834623506"/>
    <x v="2"/>
    <n v="0.35599500000000001"/>
    <x v="7"/>
  </r>
  <r>
    <s v="SPD00476"/>
    <x v="2"/>
    <n v="0"/>
    <n v="0"/>
    <n v="0"/>
    <n v="0"/>
    <n v="0"/>
    <n v="66.86"/>
    <n v="66.56"/>
    <n v="0"/>
    <n v="0"/>
    <n v="100.47"/>
    <n v="90.423000000000002"/>
    <n v="110.51700000000001"/>
    <n v="434.83"/>
    <n v="36.235833333333332"/>
    <n v="46.347122014863089"/>
    <n v="1.2790411521246396"/>
    <m/>
    <n v="42.220843183943394"/>
    <n v="35.440534834623506"/>
    <n v="42.220843183943394"/>
    <n v="19.64193038669675"/>
    <n v="0.84162123357291474"/>
    <n v="0.11163767369322539"/>
    <n v="2.1927794152150999"/>
    <n v="0.94806405438987029"/>
    <m/>
    <n v="58.751908865748433"/>
    <n v="16.531065681805035"/>
    <n v="21.110421591971697"/>
    <n v="35.440534834623506"/>
    <x v="2"/>
    <n v="0.65224499999999996"/>
    <x v="7"/>
  </r>
  <r>
    <s v="SPD00705"/>
    <x v="2"/>
    <n v="0"/>
    <n v="0"/>
    <n v="0"/>
    <n v="0"/>
    <n v="0"/>
    <n v="0"/>
    <n v="69.12"/>
    <n v="161.66999999999999"/>
    <n v="0"/>
    <n v="0"/>
    <n v="0"/>
    <n v="0"/>
    <n v="230.79"/>
    <n v="19.232499999999998"/>
    <n v="49.060347462913647"/>
    <n v="2.5509084863077423"/>
    <m/>
    <n v="22.409098724610296"/>
    <n v="35.440534834623506"/>
    <n v="22.409098724610296"/>
    <n v="20.759711836807391"/>
    <n v="0.84162123357291474"/>
    <n v="0.11163767369322539"/>
    <n v="2.3175659360028922"/>
    <n v="0.89657924379360798"/>
    <m/>
    <n v="39.88091300932237"/>
    <n v="17.471814284712075"/>
    <n v="11.204549362305148"/>
    <n v="35.440534834623506"/>
    <x v="2"/>
    <n v="0.34618500000000002"/>
    <x v="7"/>
  </r>
  <r>
    <s v="SPD00516"/>
    <x v="2"/>
    <n v="0"/>
    <n v="0"/>
    <n v="0"/>
    <n v="0"/>
    <n v="0"/>
    <n v="65.02"/>
    <n v="0"/>
    <n v="161.29"/>
    <n v="0"/>
    <n v="0"/>
    <n v="0"/>
    <n v="0"/>
    <n v="226.31"/>
    <n v="18.859166666666667"/>
    <n v="48.592972267477926"/>
    <n v="2.5766235129235788"/>
    <m/>
    <n v="21.974102571023689"/>
    <n v="35.440534834623506"/>
    <n v="21.974102571023689"/>
    <n v="20.561731550531796"/>
    <n v="0.84162123357291474"/>
    <n v="0.11163767369322539"/>
    <n v="2.2954638774059659"/>
    <n v="0.89553776451226286"/>
    <m/>
    <n v="39.279292442977379"/>
    <n v="17.30518987195369"/>
    <n v="10.987051285511845"/>
    <n v="35.440534834623506"/>
    <x v="2"/>
    <n v="0.33946500000000002"/>
    <x v="7"/>
  </r>
  <r>
    <s v="SPD00478"/>
    <x v="2"/>
    <n v="0"/>
    <n v="0"/>
    <n v="159.97999999999999"/>
    <n v="0"/>
    <n v="0"/>
    <n v="0"/>
    <n v="0"/>
    <n v="0"/>
    <n v="0"/>
    <n v="63.94"/>
    <n v="57.545999999999999"/>
    <n v="70.334000000000003"/>
    <n v="351.8"/>
    <n v="29.316666666666666"/>
    <n v="50.11508059970722"/>
    <n v="1.7094399294954139"/>
    <m/>
    <n v="34.158849739234384"/>
    <n v="35.440534834623506"/>
    <n v="34.158849739234384"/>
    <n v="21.219528004565209"/>
    <n v="0.84162123357291474"/>
    <n v="0.11163767369322539"/>
    <n v="2.3688987432979087"/>
    <n v="0.93065051190593739"/>
    <m/>
    <n v="52.017655074271566"/>
    <n v="17.858805335037182"/>
    <n v="17.079424869617192"/>
    <n v="35.440534834623506"/>
    <x v="2"/>
    <n v="0.52769999999999995"/>
    <x v="7"/>
  </r>
  <r>
    <s v="SPD00423"/>
    <x v="2"/>
    <n v="0"/>
    <n v="0"/>
    <n v="60.3"/>
    <n v="0"/>
    <n v="60.62"/>
    <n v="60.68"/>
    <n v="0"/>
    <n v="0"/>
    <n v="0"/>
    <n v="29.95"/>
    <n v="26.954999999999998"/>
    <n v="32.945"/>
    <n v="271.45"/>
    <n v="22.620833333333334"/>
    <n v="26.21841674310544"/>
    <n v="1.159038500339898"/>
    <m/>
    <n v="26.357077207831644"/>
    <n v="35.440534834623506"/>
    <n v="26.357077207831644"/>
    <n v="11.116359921846502"/>
    <n v="0.84162123357291474"/>
    <n v="0.11163767369322539"/>
    <n v="1.2410045616115484"/>
    <n v="0.95291569881493532"/>
    <m/>
    <n v="35.712841758096609"/>
    <n v="9.3557645502649631"/>
    <n v="13.178538603915822"/>
    <n v="35.440534834623506"/>
    <x v="2"/>
    <n v="0.40717500000000001"/>
    <x v="7"/>
  </r>
  <r>
    <s v="SPD01015"/>
    <x v="2"/>
    <n v="0"/>
    <n v="0"/>
    <n v="0"/>
    <n v="0"/>
    <n v="0"/>
    <n v="34.72"/>
    <n v="0"/>
    <n v="173.3"/>
    <n v="0"/>
    <n v="0"/>
    <n v="0"/>
    <n v="0"/>
    <n v="208.02"/>
    <n v="17.335000000000001"/>
    <n v="50.120166237118212"/>
    <n v="2.8912700454063001"/>
    <m/>
    <n v="20.198191935064063"/>
    <n v="35.440534834623506"/>
    <n v="20.198191935064063"/>
    <n v="21.205729150448306"/>
    <n v="0.84162123357291474"/>
    <n v="0.11163767369322539"/>
    <n v="2.3673582713246657"/>
    <n v="0.88279355504019486"/>
    <m/>
    <n v="38.045383861477482"/>
    <n v="17.847191926413419"/>
    <n v="10.099095967532032"/>
    <n v="35.440534834623506"/>
    <x v="2"/>
    <n v="0.31202999999999997"/>
    <x v="7"/>
  </r>
  <r>
    <s v="SPD00038"/>
    <x v="2"/>
    <n v="0"/>
    <n v="0"/>
    <n v="0"/>
    <n v="0"/>
    <n v="67.75"/>
    <n v="0"/>
    <n v="0"/>
    <n v="135.22"/>
    <n v="0"/>
    <n v="0"/>
    <n v="0"/>
    <n v="0"/>
    <n v="202.97"/>
    <n v="16.914166666666667"/>
    <n v="42.040502647789403"/>
    <n v="2.4855201841329895"/>
    <m/>
    <n v="19.70785028872201"/>
    <n v="35.440534834623506"/>
    <n v="19.70785028872201"/>
    <n v="17.789782018918888"/>
    <n v="0.84162123357291474"/>
    <n v="0.11163767369322539"/>
    <n v="1.9860098801016752"/>
    <n v="0.89922747275799098"/>
    <m/>
    <n v="34.680108576477785"/>
    <n v="14.972258287755773"/>
    <n v="9.8539251443610052"/>
    <n v="35.440534834623506"/>
    <x v="2"/>
    <n v="0.30445499999999998"/>
    <x v="7"/>
  </r>
  <r>
    <s v="SPD00391"/>
    <x v="2"/>
    <n v="0"/>
    <n v="0"/>
    <n v="0"/>
    <n v="0"/>
    <n v="0"/>
    <n v="0"/>
    <n v="0"/>
    <n v="0"/>
    <n v="0"/>
    <n v="202.93"/>
    <n v="182.637"/>
    <n v="223.22300000000001"/>
    <n v="608.79"/>
    <n v="50.732499999999995"/>
    <n v="92.185547932121423"/>
    <n v="1.8170905816216711"/>
    <m/>
    <n v="59.111899183480659"/>
    <n v="35.440534834623506"/>
    <n v="59.111899183480659"/>
    <n v="39.027652917262394"/>
    <n v="0.84162123357291474"/>
    <n v="0.11163767369322539"/>
    <n v="4.3569563813897947"/>
    <n v="0.92629307395680183"/>
    <m/>
    <n v="91.958400575162599"/>
    <n v="32.84650139168194"/>
    <n v="29.55594959174033"/>
    <n v="35.440534834623506"/>
    <x v="2"/>
    <n v="0.91318500000000002"/>
    <x v="7"/>
  </r>
  <r>
    <s v="SPD00552"/>
    <x v="2"/>
    <n v="66.66"/>
    <n v="0"/>
    <n v="0"/>
    <n v="0"/>
    <n v="0"/>
    <n v="11.37"/>
    <n v="33.450000000000003"/>
    <n v="0"/>
    <n v="0"/>
    <n v="78.05"/>
    <n v="70.245000000000005"/>
    <n v="85.855000000000004"/>
    <n v="345.63"/>
    <n v="28.802499999999998"/>
    <n v="35.845591176854398"/>
    <n v="1.2445305503638364"/>
    <m/>
    <n v="33.559759054495679"/>
    <n v="35.440534834623506"/>
    <n v="33.559759054495679"/>
    <n v="15.193136426693526"/>
    <n v="0.84162123357291474"/>
    <n v="0.11163767369322539"/>
    <n v="1.6961264067798683"/>
    <n v="0.9494595177508387"/>
    <m/>
    <n v="46.346625275771068"/>
    <n v="12.786866221275391"/>
    <n v="16.779879527247839"/>
    <n v="35.440534834623506"/>
    <x v="2"/>
    <n v="0.51844500000000004"/>
    <x v="7"/>
  </r>
  <r>
    <s v="SPD00049"/>
    <x v="2"/>
    <n v="0"/>
    <n v="0"/>
    <n v="0"/>
    <n v="0"/>
    <n v="0"/>
    <n v="140.24"/>
    <n v="0"/>
    <n v="46.54"/>
    <n v="0"/>
    <n v="0"/>
    <n v="0"/>
    <n v="0"/>
    <n v="186.78"/>
    <n v="15.565"/>
    <n v="41.47945658011708"/>
    <n v="2.6649185081989772"/>
    <m/>
    <n v="18.135844099756106"/>
    <n v="35.440534834623506"/>
    <n v="18.135844099756106"/>
    <n v="17.551121331781285"/>
    <n v="0.84162123357291474"/>
    <n v="0.11163767369322539"/>
    <n v="1.9593663561876065"/>
    <n v="0.89196166743548722"/>
    <m/>
    <n v="32.907240485597768"/>
    <n v="14.771396385841664"/>
    <n v="9.0679220498780531"/>
    <n v="35.440534834623506"/>
    <x v="2"/>
    <n v="0.28016999999999997"/>
    <x v="7"/>
  </r>
  <r>
    <s v="SPD01144"/>
    <x v="2"/>
    <n v="0"/>
    <n v="0"/>
    <n v="0"/>
    <n v="0"/>
    <n v="0"/>
    <n v="0"/>
    <n v="0"/>
    <n v="0"/>
    <n v="184.67"/>
    <n v="0"/>
    <n v="0"/>
    <n v="0"/>
    <n v="184.67"/>
    <n v="15.389166666666666"/>
    <n v="53.309637105624091"/>
    <n v="3.4641016151377544"/>
    <m/>
    <n v="17.930968679205264"/>
    <n v="35.440534834623506"/>
    <n v="17.930968679205264"/>
    <n v="22.552419378354362"/>
    <n v="0.84162123357291474"/>
    <n v="0.11163767369322539"/>
    <n v="2.5176996355534973"/>
    <n v="0.85958931273616579"/>
    <m/>
    <n v="36.911563696469571"/>
    <n v="18.980595017264307"/>
    <n v="8.9654843396026322"/>
    <n v="35.440534834623506"/>
    <x v="2"/>
    <n v="0.27700499999999995"/>
    <x v="7"/>
  </r>
  <r>
    <s v="SPD00910"/>
    <x v="2"/>
    <n v="0"/>
    <n v="0"/>
    <n v="0"/>
    <n v="0"/>
    <n v="0"/>
    <n v="182.69"/>
    <n v="0"/>
    <n v="0"/>
    <n v="0"/>
    <n v="0"/>
    <n v="0"/>
    <n v="0"/>
    <n v="182.69"/>
    <n v="15.224166666666667"/>
    <n v="52.738060339126363"/>
    <n v="3.4641016151377544"/>
    <m/>
    <n v="17.7387159148969"/>
    <n v="35.440534834623506"/>
    <n v="17.7387159148969"/>
    <n v="22.310616213957648"/>
    <n v="0.84162123357291474"/>
    <n v="0.11163767369322539"/>
    <n v="2.4907052927885873"/>
    <n v="0.85958931273616579"/>
    <m/>
    <n v="36.515804254659812"/>
    <n v="18.777088339762908"/>
    <n v="8.8693579574484502"/>
    <n v="35.440534834623506"/>
    <x v="2"/>
    <n v="0.27403499999999997"/>
    <x v="7"/>
  </r>
  <r>
    <s v="SPD00986"/>
    <x v="2"/>
    <n v="0"/>
    <n v="0"/>
    <n v="0"/>
    <n v="0"/>
    <n v="71.680000000000007"/>
    <n v="107.91"/>
    <n v="0"/>
    <n v="0"/>
    <n v="0"/>
    <n v="0"/>
    <n v="0"/>
    <n v="0"/>
    <n v="179.59"/>
    <n v="14.965833333333334"/>
    <n v="35.79598313125836"/>
    <n v="2.3918469712962875"/>
    <m/>
    <n v="17.43771411219188"/>
    <n v="35.440534834623506"/>
    <n v="17.43771411219188"/>
    <n v="15.148024407751796"/>
    <n v="0.84162123357291474"/>
    <n v="0.11163767369322539"/>
    <n v="1.6910902059296087"/>
    <n v="0.90302110729368745"/>
    <m/>
    <n v="30.186613100436567"/>
    <n v="12.748898988244688"/>
    <n v="8.7188570560959402"/>
    <n v="35.440534834623506"/>
    <x v="2"/>
    <n v="0.26938499999999999"/>
    <x v="7"/>
  </r>
  <r>
    <s v="SPD00359"/>
    <x v="2"/>
    <n v="0"/>
    <n v="0"/>
    <n v="0"/>
    <n v="0"/>
    <n v="0"/>
    <n v="0"/>
    <n v="0"/>
    <n v="69.180000000000007"/>
    <n v="69.150000000000006"/>
    <n v="34.72"/>
    <n v="31.248000000000001"/>
    <n v="38.192"/>
    <n v="242.49"/>
    <n v="20.2075"/>
    <n v="27.482263690341355"/>
    <n v="1.3600031518169668"/>
    <m/>
    <n v="23.54513778643248"/>
    <n v="35.440534834623506"/>
    <n v="23.54513778643248"/>
    <n v="11.644223603686024"/>
    <n v="0.84162123357291474"/>
    <n v="0.11163767369322539"/>
    <n v="1.2999340350792534"/>
    <n v="0.94478970363773707"/>
    <m/>
    <n v="33.345163619765565"/>
    <n v="9.8000258333330823"/>
    <n v="11.77256889321624"/>
    <n v="35.440534834623506"/>
    <x v="2"/>
    <n v="0.36373499999999998"/>
    <x v="7"/>
  </r>
  <r>
    <s v="SPD00466"/>
    <x v="2"/>
    <n v="0"/>
    <n v="0"/>
    <n v="57.38"/>
    <n v="115.09"/>
    <n v="0"/>
    <n v="0"/>
    <n v="0"/>
    <n v="0"/>
    <n v="0"/>
    <n v="0"/>
    <n v="0"/>
    <n v="0"/>
    <n v="172.47"/>
    <n v="14.3725"/>
    <n v="35.75083905563362"/>
    <n v="2.4874474903902328"/>
    <m/>
    <n v="16.746380939527441"/>
    <n v="35.440534834623506"/>
    <n v="16.746380939527441"/>
    <n v="15.128246684316846"/>
    <n v="0.84162123357291474"/>
    <n v="0.11163767369322539"/>
    <n v="1.6888822668943828"/>
    <n v="0.89914941783582525"/>
    <m/>
    <n v="29.478634575777541"/>
    <n v="12.732253636250102"/>
    <n v="8.3731904697637205"/>
    <n v="35.440534834623506"/>
    <x v="2"/>
    <n v="0.25870500000000002"/>
    <x v="7"/>
  </r>
  <r>
    <s v="SPD00921"/>
    <x v="2"/>
    <n v="0"/>
    <n v="0"/>
    <n v="0"/>
    <n v="0"/>
    <n v="0"/>
    <n v="0"/>
    <n v="0"/>
    <n v="0"/>
    <n v="172.47"/>
    <n v="0"/>
    <n v="0"/>
    <n v="0"/>
    <n v="172.47"/>
    <n v="14.3725"/>
    <n v="49.787800463567379"/>
    <n v="3.4641016151377544"/>
    <m/>
    <n v="16.746380939527441"/>
    <n v="35.440534834623506"/>
    <n v="16.746380939527441"/>
    <n v="21.062521092677624"/>
    <n v="0.84162123357291474"/>
    <n v="0.11163767369322539"/>
    <n v="2.3513708569010214"/>
    <n v="0.85958931273616579"/>
    <m/>
    <n v="34.473045923702315"/>
    <n v="17.726664984174878"/>
    <n v="8.3731904697637205"/>
    <n v="35.440534834623506"/>
    <x v="2"/>
    <n v="0.25870500000000002"/>
    <x v="7"/>
  </r>
  <r>
    <s v="SPD00639"/>
    <x v="2"/>
    <n v="0"/>
    <n v="0"/>
    <n v="0"/>
    <n v="0"/>
    <n v="0"/>
    <n v="0"/>
    <n v="170.62"/>
    <n v="0"/>
    <n v="0"/>
    <n v="0"/>
    <n v="0"/>
    <n v="0"/>
    <n v="170.62"/>
    <n v="14.218333333333334"/>
    <n v="49.253751464566975"/>
    <n v="3.4641016151377544"/>
    <m/>
    <n v="16.56675083146154"/>
    <n v="35.440534834623506"/>
    <n v="16.56675083146154"/>
    <n v="20.836593893620087"/>
    <n v="0.84162123357291474"/>
    <n v="0.11163767369322539"/>
    <n v="2.3261488699742121"/>
    <n v="0.85958931273616579"/>
    <m/>
    <n v="34.103270687667944"/>
    <n v="17.5365198562064"/>
    <n v="8.2833754157307702"/>
    <n v="35.440534834623506"/>
    <x v="2"/>
    <n v="0.25592999999999999"/>
    <x v="7"/>
  </r>
  <r>
    <s v="SPD00520"/>
    <x v="2"/>
    <n v="0"/>
    <n v="0"/>
    <n v="0"/>
    <n v="0"/>
    <n v="0"/>
    <n v="0"/>
    <n v="0"/>
    <n v="0"/>
    <n v="166.86"/>
    <n v="0"/>
    <n v="0"/>
    <n v="0"/>
    <n v="166.86"/>
    <n v="13.905000000000001"/>
    <n v="48.168332958490481"/>
    <n v="3.4641016151377544"/>
    <m/>
    <n v="16.201664773987066"/>
    <n v="35.440534834623506"/>
    <n v="16.201664773987066"/>
    <n v="20.377412126886931"/>
    <n v="0.84162123357291474"/>
    <n v="0.11163767369322539"/>
    <n v="2.274886885733777"/>
    <n v="0.85958931273616579"/>
    <m/>
    <n v="33.351727505241314"/>
    <n v="17.150062731254252"/>
    <n v="8.1008323869935328"/>
    <n v="35.440534834623506"/>
    <x v="2"/>
    <n v="0.25029000000000001"/>
    <x v="7"/>
  </r>
  <r>
    <s v="SPD00718"/>
    <x v="2"/>
    <n v="0"/>
    <n v="0"/>
    <n v="0"/>
    <n v="0"/>
    <n v="0"/>
    <n v="0"/>
    <n v="0"/>
    <n v="0"/>
    <n v="166.35"/>
    <n v="0"/>
    <n v="0"/>
    <n v="0"/>
    <n v="166.35"/>
    <n v="13.862499999999999"/>
    <n v="48.021108639847121"/>
    <n v="3.4641016151377548"/>
    <m/>
    <n v="16.1521451225743"/>
    <n v="35.440534834623506"/>
    <n v="16.1521451225743"/>
    <n v="20.315129493633229"/>
    <n v="0.84162123357291474"/>
    <n v="0.11163767369322539"/>
    <n v="2.2679337974458456"/>
    <n v="0.85958931273616579"/>
    <m/>
    <n v="33.249789467199406"/>
    <n v="17.097644344625103"/>
    <n v="8.07607256128715"/>
    <n v="35.440534834623506"/>
    <x v="2"/>
    <n v="0.249525"/>
    <x v="7"/>
  </r>
  <r>
    <s v="SPD00012"/>
    <x v="2"/>
    <n v="0"/>
    <n v="0"/>
    <n v="160.78"/>
    <n v="0"/>
    <n v="0"/>
    <n v="0"/>
    <n v="0"/>
    <n v="0"/>
    <n v="0"/>
    <n v="0"/>
    <n v="0"/>
    <n v="0"/>
    <n v="160.78"/>
    <n v="13.398333333333333"/>
    <n v="46.413188140154013"/>
    <n v="3.4641016151377544"/>
    <m/>
    <n v="15.611312851262376"/>
    <n v="35.440534834623506"/>
    <n v="15.611312851262376"/>
    <n v="19.634905440254588"/>
    <n v="0.84162123357291474"/>
    <n v="0.11163767369322539"/>
    <n v="2.1919951665364779"/>
    <n v="0.85958931273616579"/>
    <m/>
    <n v="32.136466188976982"/>
    <n v="16.525153337714602"/>
    <n v="7.805656425631188"/>
    <n v="35.440534834623506"/>
    <x v="2"/>
    <n v="0.24117"/>
    <x v="7"/>
  </r>
  <r>
    <s v="SPD00051"/>
    <x v="2"/>
    <n v="0"/>
    <n v="0"/>
    <n v="0"/>
    <n v="31.08"/>
    <n v="0"/>
    <n v="124.52"/>
    <n v="0"/>
    <n v="0"/>
    <n v="0"/>
    <n v="0"/>
    <n v="0"/>
    <n v="0"/>
    <n v="155.6"/>
    <n v="12.966666666666667"/>
    <n v="36.248615605748768"/>
    <n v="2.7955230544279255"/>
    <m/>
    <n v="15.108348548677856"/>
    <n v="35.440534834623506"/>
    <n v="15.108348548677856"/>
    <n v="15.337139570060611"/>
    <n v="0.84162123357291474"/>
    <n v="0.11163767369322539"/>
    <n v="1.7122025827098815"/>
    <n v="0.88667175785670382"/>
    <m/>
    <n v="28.016410873112228"/>
    <n v="12.908062324434374"/>
    <n v="7.5541742743389282"/>
    <n v="35.440534834623506"/>
    <x v="2"/>
    <n v="0.2334"/>
    <x v="7"/>
  </r>
  <r>
    <s v="SPD00644"/>
    <x v="2"/>
    <n v="0"/>
    <n v="0"/>
    <n v="0"/>
    <n v="0"/>
    <n v="0"/>
    <n v="61"/>
    <n v="0"/>
    <n v="0"/>
    <n v="91.27"/>
    <n v="0"/>
    <n v="0"/>
    <n v="0"/>
    <n v="152.26999999999998"/>
    <n v="12.689166666666665"/>
    <n v="30.33005333998047"/>
    <n v="2.3902320882627284"/>
    <m/>
    <n v="14.785014354159234"/>
    <n v="35.440534834623506"/>
    <n v="14.785014354159234"/>
    <n v="12.834980770576289"/>
    <n v="0.84162123357291474"/>
    <n v="0.11163767369322539"/>
    <n v="1.4328673951244182"/>
    <n v="0.90308650632311815"/>
    <m/>
    <n v="25.587206703176292"/>
    <n v="10.802192349017057"/>
    <n v="7.3925071770796169"/>
    <n v="35.440534834623506"/>
    <x v="2"/>
    <n v="0.22840499999999997"/>
    <x v="7"/>
  </r>
  <r>
    <s v="SPD00607"/>
    <x v="2"/>
    <n v="0"/>
    <n v="0"/>
    <n v="0"/>
    <n v="0"/>
    <n v="134.85"/>
    <n v="0"/>
    <n v="0"/>
    <n v="0"/>
    <n v="16.97"/>
    <n v="0"/>
    <n v="0"/>
    <n v="0"/>
    <n v="151.82"/>
    <n v="12.651666666666666"/>
    <n v="38.790494813533741"/>
    <n v="3.0660383201317676"/>
    <m/>
    <n v="14.741320544089151"/>
    <n v="35.440534834623506"/>
    <n v="14.741320544089151"/>
    <n v="16.411435580023586"/>
    <n v="0.84162123357291474"/>
    <n v="0.11163767369322539"/>
    <n v="1.8321344901200622"/>
    <n v="0.87571435783921703"/>
    <m/>
    <n v="28.553533201651025"/>
    <n v="13.812212657561874"/>
    <n v="7.3706602720445753"/>
    <n v="35.440534834623506"/>
    <x v="2"/>
    <n v="0.22772999999999999"/>
    <x v="7"/>
  </r>
  <r>
    <s v="SPD00460"/>
    <x v="2"/>
    <n v="0"/>
    <n v="0"/>
    <n v="0"/>
    <n v="0"/>
    <n v="0"/>
    <n v="0"/>
    <n v="0"/>
    <n v="147.07"/>
    <n v="0"/>
    <n v="0"/>
    <n v="0"/>
    <n v="0"/>
    <n v="147.07"/>
    <n v="12.255833333333333"/>
    <n v="42.455452044859129"/>
    <n v="3.4641016151377544"/>
    <m/>
    <n v="14.28010810446049"/>
    <n v="35.440534834623506"/>
    <n v="14.28010810446049"/>
    <n v="17.960601711022779"/>
    <n v="0.84162123357291474"/>
    <n v="0.11163767369322539"/>
    <n v="2.0050797931491466"/>
    <n v="0.85958931273616579"/>
    <m/>
    <n v="29.396131872203284"/>
    <n v="15.116023767742794"/>
    <n v="7.1400540522302451"/>
    <n v="35.440534834623506"/>
    <x v="2"/>
    <n v="0.220605"/>
    <x v="7"/>
  </r>
  <r>
    <s v="SPD00412"/>
    <x v="2"/>
    <n v="0"/>
    <n v="0"/>
    <n v="0"/>
    <n v="0"/>
    <n v="0"/>
    <n v="0"/>
    <n v="0"/>
    <n v="141.71"/>
    <n v="0"/>
    <n v="0"/>
    <n v="0"/>
    <n v="0"/>
    <n v="141.71"/>
    <n v="11.809166666666668"/>
    <n v="40.908153323430938"/>
    <n v="3.4641016151377544"/>
    <m/>
    <n v="13.759666277847938"/>
    <n v="35.440534834623506"/>
    <n v="13.759666277847938"/>
    <n v="17.306023447807426"/>
    <n v="0.84162123357291474"/>
    <n v="0.11163767369322539"/>
    <n v="1.9320041985936329"/>
    <n v="0.85958931273616579"/>
    <m/>
    <n v="28.324783080233409"/>
    <n v="14.565116802385473"/>
    <n v="6.8798331389239689"/>
    <n v="35.440534834623506"/>
    <x v="2"/>
    <n v="0.212565"/>
    <x v="7"/>
  </r>
  <r>
    <s v="SPD00907"/>
    <x v="2"/>
    <n v="0"/>
    <n v="0"/>
    <n v="0"/>
    <n v="0"/>
    <n v="0"/>
    <n v="139.94999999999999"/>
    <n v="0"/>
    <n v="0"/>
    <n v="0"/>
    <n v="0"/>
    <n v="0"/>
    <n v="0"/>
    <n v="139.94999999999999"/>
    <n v="11.6625"/>
    <n v="40.40008508654406"/>
    <n v="3.4641016151377544"/>
    <m/>
    <n v="13.588774931796053"/>
    <n v="35.440534834623506"/>
    <n v="13.588774931796053"/>
    <n v="17.091087301677007"/>
    <n v="0.84162123357291474"/>
    <n v="0.11163767369322539"/>
    <n v="1.9080092272470457"/>
    <n v="0.85958931273616579"/>
    <m/>
    <n v="27.972996909735834"/>
    <n v="14.384221977939781"/>
    <n v="6.7943874658980263"/>
    <n v="35.440534834623506"/>
    <x v="2"/>
    <n v="0.209925"/>
    <x v="7"/>
  </r>
  <r>
    <s v="SPD00137"/>
    <x v="2"/>
    <n v="0"/>
    <n v="0"/>
    <n v="0"/>
    <n v="0"/>
    <n v="0"/>
    <n v="0"/>
    <n v="0"/>
    <n v="0"/>
    <n v="0"/>
    <n v="136.74"/>
    <n v="123.06600000000002"/>
    <n v="150.41400000000002"/>
    <n v="410.22"/>
    <n v="34.185000000000002"/>
    <n v="62.117241532736827"/>
    <n v="1.8170905816216709"/>
    <m/>
    <n v="39.831277259888367"/>
    <n v="35.440534834623506"/>
    <n v="39.831277259888367"/>
    <n v="26.29794145718455"/>
    <n v="0.84162123357291474"/>
    <n v="0.11163767369322539"/>
    <n v="2.9358410072007128"/>
    <n v="0.92629307395680183"/>
    <m/>
    <n v="61.964183189512326"/>
    <n v="22.132905929623956"/>
    <n v="19.915638629944183"/>
    <n v="35.440534834623506"/>
    <x v="2"/>
    <n v="0.61533000000000004"/>
    <x v="7"/>
  </r>
  <r>
    <s v="SPD00424"/>
    <x v="2"/>
    <n v="0"/>
    <n v="0"/>
    <n v="31.77"/>
    <n v="0"/>
    <n v="64.61"/>
    <n v="38.869999999999997"/>
    <n v="0"/>
    <n v="0"/>
    <n v="0"/>
    <n v="0"/>
    <n v="0"/>
    <n v="0"/>
    <n v="135.25"/>
    <n v="11.270833333333334"/>
    <n v="21.680073992801162"/>
    <n v="1.9235555483446503"/>
    <m/>
    <n v="13.132417359952957"/>
    <n v="35.440534834623506"/>
    <n v="13.132417359952957"/>
    <n v="9.1774608923028982"/>
    <n v="0.84162123357291474"/>
    <n v="0.11163767369322539"/>
    <n v="1.0245503844272481"/>
    <n v="0.9219831081860379"/>
    <m/>
    <n v="20.856363317200106"/>
    <n v="7.7239459572471478"/>
    <n v="6.5662086799764783"/>
    <n v="35.440534834623506"/>
    <x v="2"/>
    <n v="0.202875"/>
    <x v="7"/>
  </r>
  <r>
    <s v="SPD00704"/>
    <x v="2"/>
    <n v="0"/>
    <n v="0"/>
    <n v="0"/>
    <n v="0"/>
    <n v="0"/>
    <n v="0"/>
    <n v="0"/>
    <n v="0"/>
    <n v="67.260000000000005"/>
    <n v="67.3"/>
    <n v="60.57"/>
    <n v="74.03"/>
    <n v="269.15999999999997"/>
    <n v="22.429999999999996"/>
    <n v="33.255354456087218"/>
    <n v="1.4826283752156586"/>
    <m/>
    <n v="26.134724263252771"/>
    <n v="35.440534834623506"/>
    <n v="26.134724263252771"/>
    <n v="14.086206507218442"/>
    <n v="0.84162123357291474"/>
    <n v="0.11163767369322539"/>
    <n v="1.5725513256282406"/>
    <n v="0.93982904469210882"/>
    <m/>
    <n v="37.989974760220775"/>
    <n v="11.855250496968004"/>
    <n v="13.067362131626385"/>
    <n v="35.440534834623506"/>
    <x v="2"/>
    <n v="0.40373999999999993"/>
    <x v="7"/>
  </r>
  <r>
    <s v="SPD00846"/>
    <x v="2"/>
    <n v="0"/>
    <n v="0"/>
    <n v="0"/>
    <n v="0"/>
    <n v="0"/>
    <n v="134.07"/>
    <n v="0"/>
    <n v="0"/>
    <n v="0"/>
    <n v="0"/>
    <n v="0"/>
    <n v="0"/>
    <n v="134.07"/>
    <n v="11.172499999999999"/>
    <n v="38.702675295126561"/>
    <n v="3.4641016151377544"/>
    <m/>
    <n v="13.017842480213625"/>
    <n v="35.440534834623506"/>
    <n v="13.017842480213625"/>
    <n v="16.37300517710494"/>
    <n v="0.84162123357291474"/>
    <n v="0.11163767369322539"/>
    <n v="1.8278442093391312"/>
    <n v="0.85958931273616579"/>
    <m/>
    <n v="26.797711294664403"/>
    <n v="13.779868814450779"/>
    <n v="6.5089212401068126"/>
    <n v="35.440534834623506"/>
    <x v="2"/>
    <n v="0.20110500000000001"/>
    <x v="7"/>
  </r>
  <r>
    <s v="SPD00845"/>
    <x v="2"/>
    <n v="0"/>
    <n v="127.84"/>
    <n v="0"/>
    <n v="0"/>
    <n v="0"/>
    <n v="0"/>
    <n v="0"/>
    <n v="0"/>
    <n v="0"/>
    <n v="0"/>
    <n v="0"/>
    <n v="0"/>
    <n v="127.84"/>
    <n v="10.653333333333334"/>
    <n v="36.904229206600881"/>
    <n v="3.4641016151377544"/>
    <m/>
    <n v="12.412925954132245"/>
    <n v="35.440534834623506"/>
    <n v="12.412925954132245"/>
    <n v="15.612180068927398"/>
    <n v="0.84162123357291474"/>
    <n v="0.11163767369322539"/>
    <n v="1.7429074641747939"/>
    <n v="0.85958931273616579"/>
    <m/>
    <n v="25.552468202505395"/>
    <n v="13.13954224837315"/>
    <n v="6.2064629770661224"/>
    <n v="35.440534834623506"/>
    <x v="2"/>
    <n v="0.19176000000000001"/>
    <x v="7"/>
  </r>
  <r>
    <s v="SPD00056"/>
    <x v="2"/>
    <n v="0"/>
    <n v="0"/>
    <n v="0"/>
    <n v="0"/>
    <n v="105.72"/>
    <n v="0"/>
    <n v="19.690000000000001"/>
    <n v="0"/>
    <n v="0"/>
    <n v="0"/>
    <n v="0"/>
    <n v="0"/>
    <n v="125.41"/>
    <n v="10.450833333333334"/>
    <n v="30.531318483375941"/>
    <n v="2.9214243026912627"/>
    <m/>
    <n v="12.17697937975379"/>
    <n v="35.440534834623506"/>
    <n v="12.17697937975379"/>
    <n v="12.917624606665678"/>
    <n v="0.84162123357291474"/>
    <n v="0.11163767369322539"/>
    <n v="1.4420935607305219"/>
    <n v="0.88157214398110606"/>
    <m/>
    <n v="23.048726536047596"/>
    <n v="10.871747156293806"/>
    <n v="6.0884896898768952"/>
    <n v="35.440534834623506"/>
    <x v="2"/>
    <n v="0.188115"/>
    <x v="7"/>
  </r>
  <r>
    <s v="SPD00397"/>
    <x v="2"/>
    <n v="30.64"/>
    <n v="0"/>
    <n v="0"/>
    <n v="0"/>
    <n v="0"/>
    <n v="0"/>
    <n v="0"/>
    <n v="0"/>
    <n v="0"/>
    <n v="92.47"/>
    <n v="83.222999999999999"/>
    <n v="101.71700000000001"/>
    <n v="308.05"/>
    <n v="25.670833333333334"/>
    <n v="41.400511755364342"/>
    <n v="1.6127451422313652"/>
    <m/>
    <n v="29.910840426865128"/>
    <n v="35.440534834623506"/>
    <n v="29.910840426865128"/>
    <n v="17.532140933835631"/>
    <n v="0.84162123357291474"/>
    <n v="0.11163767369322539"/>
    <n v="1.957247428715182"/>
    <n v="0.93456394401552045"/>
    <m/>
    <n v="44.666262506774068"/>
    <n v="14.755422079908938"/>
    <n v="14.955420213432564"/>
    <n v="35.440534834623506"/>
    <x v="2"/>
    <n v="0.46207500000000001"/>
    <x v="7"/>
  </r>
  <r>
    <s v="SPD00130"/>
    <x v="2"/>
    <n v="0"/>
    <n v="0"/>
    <n v="0"/>
    <n v="0"/>
    <n v="0"/>
    <n v="0"/>
    <n v="112.36"/>
    <n v="0"/>
    <n v="0"/>
    <n v="0"/>
    <n v="0"/>
    <n v="0"/>
    <n v="112.36"/>
    <n v="9.3633333333333333"/>
    <n v="32.435538123073172"/>
    <n v="3.4641016151377544"/>
    <m/>
    <n v="10.909858887721361"/>
    <n v="35.440534834623506"/>
    <n v="10.909858887721361"/>
    <n v="13.721718965462154"/>
    <n v="0.84162123357291474"/>
    <n v="0.11163767369322539"/>
    <n v="1.5318607843764063"/>
    <n v="0.85958931273616579"/>
    <m/>
    <n v="22.458348930174481"/>
    <n v="11.548490042453118"/>
    <n v="5.4549294438606806"/>
    <n v="35.440534834623506"/>
    <x v="2"/>
    <n v="0.16854"/>
    <x v="7"/>
  </r>
  <r>
    <s v="SPD00461"/>
    <x v="2"/>
    <n v="0"/>
    <n v="0"/>
    <n v="102.4"/>
    <n v="0"/>
    <n v="0"/>
    <n v="0"/>
    <n v="0"/>
    <n v="0"/>
    <n v="0"/>
    <n v="0"/>
    <n v="0"/>
    <n v="0"/>
    <n v="102.4"/>
    <n v="8.5333333333333332"/>
    <n v="29.560333782508842"/>
    <n v="3.4641016151377548"/>
    <m/>
    <n v="9.9427692248368427"/>
    <n v="35.440534834623506"/>
    <n v="9.9427692248368427"/>
    <n v="12.505375774860493"/>
    <n v="0.84162123357291474"/>
    <n v="0.11163767369322539"/>
    <n v="1.3960710601650412"/>
    <n v="0.85958931273616579"/>
    <m/>
    <n v="20.467559010767776"/>
    <n v="10.524789785930933"/>
    <n v="4.9713846124184213"/>
    <n v="35.440534834623506"/>
    <x v="2"/>
    <n v="0.15359999999999999"/>
    <x v="7"/>
  </r>
  <r>
    <s v="SPD00905"/>
    <x v="2"/>
    <n v="0"/>
    <n v="0"/>
    <n v="0"/>
    <n v="0"/>
    <n v="0"/>
    <n v="99.93"/>
    <n v="0"/>
    <n v="0"/>
    <n v="0"/>
    <n v="0"/>
    <n v="0"/>
    <n v="0"/>
    <n v="99.93"/>
    <n v="8.3275000000000006"/>
    <n v="28.847306200059656"/>
    <n v="3.4641016151377548"/>
    <m/>
    <n v="9.702938756229937"/>
    <n v="35.440534834623506"/>
    <n v="9.702938756229937"/>
    <n v="12.203732433416103"/>
    <n v="0.84162123357291474"/>
    <n v="0.11163767369322539"/>
    <n v="1.3623962992411385"/>
    <n v="0.85958931273616579"/>
    <m/>
    <n v="19.973859101035387"/>
    <n v="10.27092034480545"/>
    <n v="4.8514693781149685"/>
    <n v="35.440534834623506"/>
    <x v="2"/>
    <n v="0.14989500000000003"/>
    <x v="7"/>
  </r>
  <r>
    <s v="SPD00127"/>
    <x v="2"/>
    <n v="0"/>
    <n v="0"/>
    <n v="0"/>
    <n v="0"/>
    <n v="64.53"/>
    <n v="32.15"/>
    <n v="0"/>
    <n v="0"/>
    <n v="0"/>
    <n v="0"/>
    <n v="0"/>
    <n v="0"/>
    <n v="96.68"/>
    <n v="8.0566666666666666"/>
    <n v="20.042738124197289"/>
    <n v="2.487720909085307"/>
    <m/>
    <n v="9.3873723501682207"/>
    <n v="35.440534834623506"/>
    <n v="9.3873723501682207"/>
    <n v="8.4812401100110684"/>
    <n v="0.84162123357291474"/>
    <n v="0.11163767369322539"/>
    <n v="0.94682591591531062"/>
    <n v="0.8991383445125255"/>
    <m/>
    <n v="16.525364113783819"/>
    <n v="7.1379917636155987"/>
    <n v="4.6936861750841103"/>
    <n v="35.440534834623506"/>
    <x v="2"/>
    <n v="0.14502000000000001"/>
    <x v="7"/>
  </r>
  <r>
    <s v="SPD00231"/>
    <x v="2"/>
    <n v="63.53"/>
    <n v="0"/>
    <n v="0"/>
    <n v="0"/>
    <n v="0"/>
    <n v="0"/>
    <n v="0"/>
    <n v="0"/>
    <n v="0"/>
    <n v="32.21"/>
    <n v="28.989000000000001"/>
    <n v="35.431000000000004"/>
    <n v="160.16000000000003"/>
    <n v="13.346666666666669"/>
    <n v="21.387466058985165"/>
    <n v="1.60245749692696"/>
    <m/>
    <n v="15.551112490721374"/>
    <n v="35.440534834623506"/>
    <n v="15.551112490721374"/>
    <n v="9.0572391596076969"/>
    <n v="0.84162123357291474"/>
    <n v="0.11163767369322539"/>
    <n v="1.0111291098617869"/>
    <n v="0.93498027163876019"/>
    <m/>
    <n v="23.173877284995314"/>
    <n v="7.6227647942739392"/>
    <n v="7.7755562453606872"/>
    <n v="35.440534834623506"/>
    <x v="2"/>
    <n v="0.24024000000000004"/>
    <x v="7"/>
  </r>
  <r>
    <s v="SPD01050"/>
    <x v="2"/>
    <n v="0"/>
    <n v="0"/>
    <n v="0"/>
    <n v="0"/>
    <n v="95.45"/>
    <n v="0"/>
    <n v="0"/>
    <n v="0"/>
    <n v="0"/>
    <n v="0"/>
    <n v="0"/>
    <n v="0"/>
    <n v="95.45"/>
    <n v="7.9541666666666666"/>
    <n v="27.554041597074892"/>
    <n v="3.4641016151377548"/>
    <m/>
    <n v="9.2679426026433251"/>
    <n v="35.440534834623506"/>
    <n v="9.2679426026433251"/>
    <n v="11.656622243265955"/>
    <n v="0.84162123357291474"/>
    <n v="0.11163767369322539"/>
    <n v="1.3013181903589177"/>
    <n v="0.85958931273616579"/>
    <m/>
    <n v="19.078403394314293"/>
    <n v="9.8104607916709696"/>
    <n v="4.6339713013216626"/>
    <n v="35.440534834623506"/>
    <x v="2"/>
    <n v="0.143175"/>
    <x v="7"/>
  </r>
  <r>
    <s v="SPD00402"/>
    <x v="2"/>
    <n v="0"/>
    <n v="0"/>
    <n v="0"/>
    <n v="0"/>
    <n v="0"/>
    <n v="0"/>
    <n v="0"/>
    <n v="0"/>
    <n v="0"/>
    <n v="85.39"/>
    <n v="76.850999999999999"/>
    <n v="93.929000000000002"/>
    <n v="256.16999999999996"/>
    <n v="21.347499999999997"/>
    <n v="38.790341191168615"/>
    <n v="1.8170905816216709"/>
    <m/>
    <n v="24.873429612563019"/>
    <n v="35.440534834623506"/>
    <n v="24.873429612563019"/>
    <n v="16.422270155250754"/>
    <n v="0.84162123357291474"/>
    <n v="0.11163767369322539"/>
    <n v="1.8333440368938774"/>
    <n v="0.92629307395680183"/>
    <m/>
    <n v="38.694760878692819"/>
    <n v="13.821331266129802"/>
    <n v="12.436714806281509"/>
    <n v="35.440534834623506"/>
    <x v="2"/>
    <n v="0.3842549999999999"/>
    <x v="7"/>
  </r>
  <r>
    <s v="SPD00218"/>
    <x v="2"/>
    <n v="0"/>
    <n v="56.91"/>
    <n v="28.47"/>
    <n v="0"/>
    <n v="0"/>
    <n v="0"/>
    <n v="0"/>
    <n v="0"/>
    <n v="0"/>
    <n v="0"/>
    <n v="0"/>
    <n v="0"/>
    <n v="85.38"/>
    <n v="7.1149999999999993"/>
    <n v="17.688749120685312"/>
    <n v="2.4861207478124125"/>
    <m/>
    <n v="8.2901722306305619"/>
    <n v="35.440534834623506"/>
    <n v="8.2901722306305619"/>
    <n v="7.4851366671829753"/>
    <n v="0.84162123357291474"/>
    <n v="0.11163767369322539"/>
    <n v="0.83562324480016958"/>
    <n v="0.89920315024183628"/>
    <m/>
    <n v="14.589822185926954"/>
    <n v="6.2996499552963918"/>
    <n v="4.1450861153152809"/>
    <n v="35.440534834623513"/>
    <x v="2"/>
    <n v="0.12806999999999999"/>
    <x v="7"/>
  </r>
  <r>
    <s v="SPD00860"/>
    <x v="2"/>
    <n v="0"/>
    <n v="83.59"/>
    <n v="0"/>
    <n v="0"/>
    <n v="0"/>
    <n v="0"/>
    <n v="0"/>
    <n v="0"/>
    <n v="0"/>
    <n v="0"/>
    <n v="0"/>
    <n v="0"/>
    <n v="83.59"/>
    <n v="6.9658333333333333"/>
    <n v="24.13035450078041"/>
    <n v="3.4641016151377548"/>
    <m/>
    <n v="8.1163679639073401"/>
    <n v="35.440534834623506"/>
    <n v="8.1163679639073401"/>
    <n v="10.208245713091683"/>
    <n v="0.84162123357291474"/>
    <n v="0.11163767369322539"/>
    <n v="1.1396248038983963"/>
    <n v="0.85958931273616579"/>
    <m/>
    <n v="16.707844313574981"/>
    <n v="8.5914763496676407"/>
    <n v="4.05818398195367"/>
    <n v="35.440534834623506"/>
    <x v="2"/>
    <n v="0.125385"/>
    <x v="7"/>
  </r>
  <r>
    <s v="SPD00474"/>
    <x v="2"/>
    <n v="0"/>
    <n v="0"/>
    <n v="0"/>
    <n v="0"/>
    <n v="0"/>
    <n v="0"/>
    <n v="0"/>
    <n v="0"/>
    <n v="0"/>
    <n v="76.83"/>
    <n v="69.147000000000006"/>
    <n v="84.513000000000005"/>
    <n v="230.49"/>
    <n v="19.2075"/>
    <n v="34.901767346498239"/>
    <n v="1.8170905816216707"/>
    <m/>
    <n v="22.379969517896907"/>
    <n v="35.440534834623506"/>
    <n v="22.379969517896907"/>
    <n v="14.776004403652832"/>
    <n v="0.84162123357291474"/>
    <n v="0.11163767369322539"/>
    <n v="1.6495587581046562"/>
    <n v="0.92629307395680183"/>
    <m/>
    <n v="34.815768571378023"/>
    <n v="12.435799053481118"/>
    <n v="11.189984758948453"/>
    <n v="35.440534834623506"/>
    <x v="2"/>
    <n v="0.34573500000000001"/>
    <x v="7"/>
  </r>
  <r>
    <s v="SPD00848"/>
    <x v="2"/>
    <n v="0"/>
    <n v="0"/>
    <n v="0"/>
    <n v="0"/>
    <n v="0"/>
    <n v="0"/>
    <n v="70.84"/>
    <n v="0"/>
    <n v="0"/>
    <n v="0"/>
    <n v="0"/>
    <n v="0"/>
    <n v="70.84"/>
    <n v="5.9033333333333333"/>
    <n v="20.449746534696548"/>
    <n v="3.4641016151377553"/>
    <m/>
    <n v="6.8783766785882996"/>
    <n v="35.440534834623506"/>
    <n v="6.8783766785882996"/>
    <n v="8.6511798817491936"/>
    <n v="0.84162123357291474"/>
    <n v="0.11163767369322539"/>
    <n v="0.96579759670011267"/>
    <n v="0.85958931273616579"/>
    <m/>
    <n v="14.15939336252724"/>
    <n v="7.2810166839389394"/>
    <n v="3.4391883392941498"/>
    <n v="35.440534834623506"/>
    <x v="2"/>
    <n v="0.10625999999999999"/>
    <x v="7"/>
  </r>
  <r>
    <s v="SPD00392"/>
    <x v="2"/>
    <n v="0"/>
    <n v="0"/>
    <n v="0"/>
    <n v="68.53"/>
    <n v="0"/>
    <n v="0"/>
    <n v="0"/>
    <n v="0"/>
    <n v="0"/>
    <n v="0"/>
    <n v="0"/>
    <n v="0"/>
    <n v="68.53"/>
    <n v="5.7108333333333334"/>
    <n v="19.782906973782527"/>
    <n v="3.4641016151377544"/>
    <m/>
    <n v="6.6540817868952029"/>
    <n v="35.440534834623506"/>
    <n v="6.6540817868952029"/>
    <n v="8.3690761899530219"/>
    <n v="0.84162123357291474"/>
    <n v="0.11163767369322539"/>
    <n v="0.93430419680771748"/>
    <n v="0.85958931273616579"/>
    <m/>
    <n v="13.697674013749175"/>
    <n v="7.0435922268539715"/>
    <n v="3.3270408934476015"/>
    <n v="35.440534834623506"/>
    <x v="2"/>
    <n v="0.102795"/>
    <x v="7"/>
  </r>
  <r>
    <s v="SPD00396"/>
    <x v="2"/>
    <n v="0"/>
    <n v="0"/>
    <n v="0"/>
    <n v="68.38"/>
    <n v="0"/>
    <n v="0"/>
    <n v="0"/>
    <n v="0"/>
    <n v="0"/>
    <n v="0"/>
    <n v="0"/>
    <n v="0"/>
    <n v="68.38"/>
    <n v="5.6983333333333333"/>
    <n v="19.739605703593302"/>
    <n v="3.4641016151377539"/>
    <m/>
    <n v="6.6395171835385076"/>
    <n v="35.440534834623506"/>
    <n v="6.6395171835385076"/>
    <n v="8.3507577684078154"/>
    <n v="0.84162123357291474"/>
    <n v="0.11163767369322539"/>
    <n v="0.93225917084067866"/>
    <n v="0.85958931273616579"/>
    <m/>
    <n v="13.667692237854494"/>
    <n v="7.0281750543159864"/>
    <n v="3.3197585917692538"/>
    <n v="35.440534834623506"/>
    <x v="2"/>
    <n v="0.10256999999999999"/>
    <x v="7"/>
  </r>
  <r>
    <s v="SPD00035"/>
    <x v="2"/>
    <n v="0"/>
    <n v="0"/>
    <n v="0"/>
    <n v="0"/>
    <n v="0"/>
    <n v="0"/>
    <n v="0"/>
    <n v="67.89"/>
    <n v="0"/>
    <n v="0"/>
    <n v="0"/>
    <n v="0"/>
    <n v="67.89"/>
    <n v="5.6574999999999998"/>
    <n v="19.598154887641847"/>
    <n v="3.4641016151377548"/>
    <m/>
    <n v="6.5919394792399721"/>
    <n v="35.440534834623506"/>
    <n v="6.5919394792399721"/>
    <n v="8.2909175913601434"/>
    <n v="0.84162123357291474"/>
    <n v="0.11163767369322539"/>
    <n v="0.92557875268168588"/>
    <n v="0.85958931273616579"/>
    <m/>
    <n v="13.569751769931875"/>
    <n v="6.9778122906919027"/>
    <n v="3.2959697396199861"/>
    <n v="35.440534834623506"/>
    <x v="2"/>
    <n v="0.10183499999999999"/>
    <x v="7"/>
  </r>
  <r>
    <s v="SPD00842"/>
    <x v="2"/>
    <n v="0"/>
    <n v="0"/>
    <n v="0"/>
    <n v="0"/>
    <n v="0"/>
    <n v="0"/>
    <n v="0"/>
    <n v="0"/>
    <n v="0"/>
    <n v="66.540000000000006"/>
    <n v="59.88600000000001"/>
    <n v="73.194000000000017"/>
    <n v="199.62000000000003"/>
    <n v="16.635000000000002"/>
    <n v="30.227301825276502"/>
    <n v="1.8170905816216711"/>
    <m/>
    <n v="19.382574147089166"/>
    <n v="35.440534834623506"/>
    <n v="19.382574147089166"/>
    <n v="12.797023727958607"/>
    <n v="0.84162123357291474"/>
    <n v="0.11163767369322539"/>
    <n v="1.4286299591863056"/>
    <n v="0.92629307395680183"/>
    <m/>
    <n v="30.152821043075548"/>
    <n v="10.770246895986382"/>
    <n v="9.6912870735445829"/>
    <n v="35.440534834623506"/>
    <x v="2"/>
    <n v="0.29943000000000003"/>
    <x v="7"/>
  </r>
  <r>
    <s v="SPD00140"/>
    <x v="2"/>
    <n v="0"/>
    <n v="0"/>
    <n v="0"/>
    <n v="30.44"/>
    <n v="0"/>
    <n v="0"/>
    <n v="30.41"/>
    <n v="0"/>
    <n v="0"/>
    <n v="0"/>
    <n v="0"/>
    <n v="0"/>
    <n v="60.85"/>
    <n v="5.0708333333333337"/>
    <n v="11.842916915211642"/>
    <n v="2.335497173090217"/>
    <m/>
    <n v="5.9083740950324399"/>
    <n v="35.440534834623506"/>
    <n v="5.9083740950324399"/>
    <n v="5.0117905547661623"/>
    <n v="0.84162123357291474"/>
    <n v="0.11163767369322539"/>
    <n v="0.5595046385717739"/>
    <n v="0.90530311223147053"/>
    <m/>
    <n v="10.12640344414382"/>
    <n v="4.2180293491113803"/>
    <n v="2.95418704751622"/>
    <n v="35.440534834623506"/>
    <x v="2"/>
    <n v="9.1274999999999995E-2"/>
    <x v="7"/>
  </r>
  <r>
    <s v="SPD00816"/>
    <x v="2"/>
    <n v="0"/>
    <n v="0"/>
    <n v="0"/>
    <n v="0"/>
    <n v="0"/>
    <n v="0"/>
    <n v="0"/>
    <n v="0"/>
    <n v="59.3"/>
    <n v="0"/>
    <n v="0"/>
    <n v="0"/>
    <n v="59.3"/>
    <n v="4.9416666666666664"/>
    <n v="17.118435481472403"/>
    <n v="3.4641016151377544"/>
    <m/>
    <n v="5.7578731936799281"/>
    <n v="35.440534834623506"/>
    <n v="5.7578731936799281"/>
    <n v="7.2418826508713581"/>
    <n v="0.84162123357291474"/>
    <n v="0.11163767369322539"/>
    <n v="0.80846693230260669"/>
    <n v="0.85958931273616579"/>
    <m/>
    <n v="11.85279540369657"/>
    <n v="6.0949222100166418"/>
    <n v="2.8789365968399641"/>
    <n v="35.440534834623506"/>
    <x v="2"/>
    <n v="8.8950000000000001E-2"/>
    <x v="7"/>
  </r>
  <r>
    <s v="SPD00274"/>
    <x v="2"/>
    <n v="0"/>
    <n v="54.98"/>
    <n v="0"/>
    <n v="0"/>
    <n v="0"/>
    <n v="0"/>
    <n v="0"/>
    <n v="0"/>
    <n v="0"/>
    <n v="0"/>
    <n v="0"/>
    <n v="0"/>
    <n v="54.98"/>
    <n v="4.5816666666666661"/>
    <n v="15.871358900022811"/>
    <n v="3.4641016151377548"/>
    <m/>
    <n v="5.3384126170071244"/>
    <n v="35.440534834623506"/>
    <n v="5.3384126170071244"/>
    <n v="6.7143121103694305"/>
    <n v="0.84162123357291474"/>
    <n v="0.11163767369322539"/>
    <n v="0.74957018445189405"/>
    <n v="0.85958931273616579"/>
    <m/>
    <n v="10.989320257929805"/>
    <n v="5.6509076409226804"/>
    <n v="2.6692063085035622"/>
    <n v="35.440534834623506"/>
    <x v="2"/>
    <n v="8.2470000000000002E-2"/>
    <x v="7"/>
  </r>
  <r>
    <s v="SPD00326"/>
    <x v="2"/>
    <n v="0"/>
    <n v="0"/>
    <n v="0"/>
    <n v="0"/>
    <n v="0"/>
    <n v="0"/>
    <n v="54.76"/>
    <n v="0"/>
    <n v="0"/>
    <n v="0"/>
    <n v="0"/>
    <n v="0"/>
    <n v="54.76"/>
    <n v="4.5633333333333335"/>
    <n v="15.807850370411954"/>
    <n v="3.4641016151377544"/>
    <m/>
    <n v="5.3170511987506393"/>
    <n v="35.440534834623506"/>
    <n v="5.3170511987506393"/>
    <n v="6.6874450921031299"/>
    <n v="0.84162123357291474"/>
    <n v="0.11163767369322539"/>
    <n v="0.74657081303357076"/>
    <n v="0.85958931273616579"/>
    <m/>
    <n v="10.94534698661761"/>
    <n v="5.6282957878669704"/>
    <n v="2.6585255993753196"/>
    <n v="35.440534834623506"/>
    <x v="2"/>
    <n v="8.2140000000000005E-2"/>
    <x v="7"/>
  </r>
  <r>
    <s v="SPD00947"/>
    <x v="2"/>
    <n v="0"/>
    <n v="0"/>
    <n v="0"/>
    <n v="0"/>
    <n v="0"/>
    <n v="46.65"/>
    <n v="0"/>
    <n v="0"/>
    <n v="0"/>
    <n v="0"/>
    <n v="0"/>
    <n v="0"/>
    <n v="46.65"/>
    <n v="3.8874999999999997"/>
    <n v="13.46669502884802"/>
    <n v="3.4641016151377548"/>
    <m/>
    <n v="4.5295916439320179"/>
    <n v="35.440534834623506"/>
    <n v="4.5295916439320179"/>
    <n v="5.6970291005590026"/>
    <n v="0.84162123357291474"/>
    <n v="0.11163767369322539"/>
    <n v="0.63600307574901527"/>
    <n v="0.85958931273616579"/>
    <m/>
    <n v="9.3243323032452778"/>
    <n v="4.7947406593132609"/>
    <n v="2.2647958219660089"/>
    <n v="35.440534834623506"/>
    <x v="2"/>
    <n v="6.9974999999999996E-2"/>
    <x v="7"/>
  </r>
  <r>
    <s v="SPD00459"/>
    <x v="2"/>
    <n v="0"/>
    <n v="0"/>
    <n v="0"/>
    <n v="0"/>
    <n v="0"/>
    <n v="0"/>
    <n v="37.53"/>
    <n v="0"/>
    <n v="0"/>
    <n v="0"/>
    <n v="0"/>
    <n v="0"/>
    <n v="37.53"/>
    <n v="3.1274999999999999"/>
    <n v="10.833977801343329"/>
    <n v="3.4641016151377548"/>
    <m/>
    <n v="3.644063759844987"/>
    <n v="35.440534834623506"/>
    <n v="3.644063759844987"/>
    <n v="4.5832690706104913"/>
    <n v="0.84162123357291474"/>
    <n v="0.11163767369322539"/>
    <n v="0.5116654969530664"/>
    <n v="0.85958931273616579"/>
    <m/>
    <n v="7.5014403288487745"/>
    <n v="3.857376569003788"/>
    <n v="1.8220318799224935"/>
    <n v="35.440534834623506"/>
    <x v="2"/>
    <n v="5.6294999999999998E-2"/>
    <x v="7"/>
  </r>
  <r>
    <s v="SPD00376"/>
    <x v="2"/>
    <n v="0"/>
    <n v="0"/>
    <n v="0"/>
    <n v="0"/>
    <n v="0"/>
    <n v="0"/>
    <n v="0"/>
    <n v="0"/>
    <n v="0"/>
    <n v="34.39"/>
    <n v="30.951000000000001"/>
    <n v="37.829000000000001"/>
    <n v="103.17000000000002"/>
    <n v="8.5975000000000019"/>
    <n v="15.622436275492314"/>
    <n v="1.8170905816216703"/>
    <m/>
    <n v="10.01753418873454"/>
    <n v="35.440534834623506"/>
    <n v="10.01753418873454"/>
    <n v="6.6139111211977211"/>
    <n v="0.84162123357291474"/>
    <n v="0.11163767369322539"/>
    <n v="0.7383616515842657"/>
    <n v="0.92629307395680183"/>
    <m/>
    <n v="15.583942225298586"/>
    <n v="5.566408036564046"/>
    <n v="5.0087670943672702"/>
    <n v="35.440534834623506"/>
    <x v="2"/>
    <n v="0.15475500000000003"/>
    <x v="7"/>
  </r>
  <r>
    <s v="SPD00135"/>
    <x v="2"/>
    <n v="0"/>
    <n v="0"/>
    <n v="0"/>
    <n v="0"/>
    <n v="32.619999999999997"/>
    <n v="0"/>
    <n v="0"/>
    <n v="0"/>
    <n v="0"/>
    <n v="0"/>
    <n v="0"/>
    <n v="0"/>
    <n v="32.619999999999997"/>
    <n v="2.7183333333333333"/>
    <n v="9.4165828904827951"/>
    <n v="3.4641016151377544"/>
    <m/>
    <n v="3.1673157433025168"/>
    <n v="35.440534834623506"/>
    <n v="3.1673157433025168"/>
    <n v="3.9836460720307536"/>
    <n v="0.84162123357291474"/>
    <n v="0.11163767369322539"/>
    <n v="0.4447249802986683"/>
    <n v="0.85958931273616579"/>
    <m/>
    <n v="6.5200368645629361"/>
    <n v="3.3527211212604193"/>
    <n v="1.5836578716512584"/>
    <n v="35.440534834623506"/>
    <x v="2"/>
    <n v="4.8930000000000001E-2"/>
    <x v="7"/>
  </r>
  <r>
    <s v="SPD00139"/>
    <x v="2"/>
    <n v="0"/>
    <n v="0"/>
    <n v="0"/>
    <n v="29.07"/>
    <n v="0"/>
    <n v="0"/>
    <n v="0"/>
    <n v="0"/>
    <n v="0"/>
    <n v="0"/>
    <n v="0"/>
    <n v="0"/>
    <n v="29.07"/>
    <n v="2.4224999999999999"/>
    <n v="8.3917861626712114"/>
    <n v="3.4641016151377553"/>
    <m/>
    <n v="2.8226201305274117"/>
    <n v="35.440534834623506"/>
    <n v="2.8226201305274117"/>
    <n v="3.5501100954608837"/>
    <n v="0.84162123357291474"/>
    <n v="0.11163767369322539"/>
    <n v="0.39632603241208736"/>
    <n v="0.85958931273616579"/>
    <m/>
    <n v="5.8104681683888586"/>
    <n v="2.9878480378614469"/>
    <n v="1.4113100652637058"/>
    <n v="35.440534834623506"/>
    <x v="2"/>
    <n v="4.3604999999999998E-2"/>
    <x v="7"/>
  </r>
  <r>
    <s v="SPD00794"/>
    <x v="2"/>
    <n v="0"/>
    <n v="0"/>
    <n v="0"/>
    <n v="0"/>
    <n v="0"/>
    <n v="0"/>
    <n v="0"/>
    <n v="0"/>
    <n v="0"/>
    <n v="28"/>
    <n v="25.2"/>
    <n v="30.800000000000004"/>
    <n v="84"/>
    <n v="7"/>
    <n v="12.719634071351697"/>
    <n v="1.8170905816216709"/>
    <m/>
    <n v="8.1561778797489719"/>
    <n v="35.440534834623506"/>
    <n v="8.1561778797489719"/>
    <n v="5.3849814304604893"/>
    <n v="0.84162123357291474"/>
    <n v="0.11163767369322539"/>
    <n v="0.60116679977782617"/>
    <n v="0.92629307395680183"/>
    <m/>
    <n v="12.688292594020368"/>
    <n v="4.5321147142713958"/>
    <n v="4.078088939874486"/>
    <n v="35.440534834623506"/>
    <x v="2"/>
    <n v="0.126"/>
    <x v="7"/>
  </r>
  <r>
    <s v="SPD00540"/>
    <x v="2"/>
    <n v="0"/>
    <n v="0"/>
    <n v="0"/>
    <n v="0"/>
    <n v="0"/>
    <n v="0"/>
    <n v="0"/>
    <n v="0"/>
    <n v="15.4"/>
    <n v="0"/>
    <n v="0"/>
    <n v="0"/>
    <n v="15.4"/>
    <n v="1.2833333333333334"/>
    <n v="4.4455970727601191"/>
    <n v="3.4641016151377548"/>
    <m/>
    <n v="1.4952992779539782"/>
    <n v="35.440534834623506"/>
    <n v="1.4952992779539782"/>
    <n v="1.8806912786411287"/>
    <n v="0.84162123357291474"/>
    <n v="0.11163767369322539"/>
    <n v="0.20995599928263314"/>
    <n v="0.85958931273616579"/>
    <m/>
    <n v="3.0781289918537471"/>
    <n v="1.5828297138997691"/>
    <n v="0.74764963897698911"/>
    <n v="35.440534834623506"/>
    <x v="2"/>
    <n v="2.3099999999999999E-2"/>
    <x v="7"/>
  </r>
  <r>
    <s v="SPD00917"/>
    <x v="2"/>
    <n v="0"/>
    <n v="0"/>
    <n v="0"/>
    <n v="0"/>
    <n v="0"/>
    <n v="0"/>
    <n v="0"/>
    <n v="10.82"/>
    <n v="0"/>
    <n v="0"/>
    <n v="0"/>
    <n v="0"/>
    <n v="10.82"/>
    <n v="0.90166666666666673"/>
    <n v="3.1234649563158752"/>
    <n v="3.4641016151377539"/>
    <m/>
    <n v="1.0505933887962364"/>
    <n v="35.440534834623506"/>
    <n v="1.0505933887962364"/>
    <n v="1.3213688074608447"/>
    <n v="0.84162123357291474"/>
    <n v="0.11163767369322539"/>
    <n v="0.14751453975572015"/>
    <n v="0.85958931273616579"/>
    <m/>
    <n v="2.1626854345362041"/>
    <n v="1.1120920457399674"/>
    <n v="0.52529669439811821"/>
    <n v="35.440534834623506"/>
    <x v="2"/>
    <n v="1.6230000000000001E-2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DDB4E-1F3B-46A7-8902-707458433DC0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-Order">
  <location ref="A21:D30" firstHeaderRow="0" firstDataRow="1" firstDataCol="1"/>
  <pivotFields count="35">
    <pivotField dataField="1" showAll="0"/>
    <pivotField showAll="0">
      <items count="4">
        <item x="0"/>
        <item x="1"/>
        <item x="2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4" showAll="0"/>
    <pivotField showAll="0"/>
    <pivotField showAll="0"/>
    <pivotField numFmtId="2" showAll="0"/>
    <pivotField numFmtId="165" showAll="0"/>
    <pivotField numFmtId="165" showAll="0"/>
    <pivotField numFmtId="2" showAll="0"/>
    <pivotField numFmtId="169" showAll="0"/>
    <pivotField numFmtId="164" showAll="0"/>
    <pivotField numFmtId="10" showAll="0"/>
    <pivotField showAll="0"/>
    <pivotField showAll="0"/>
    <pivotField numFmtId="165" showAll="0"/>
    <pivotField numFmtId="1" showAll="0"/>
    <pivotField numFmtId="164" showAll="0"/>
    <pivotField numFmtId="165" showAll="0">
      <items count="5">
        <item x="0"/>
        <item x="1"/>
        <item x="2"/>
        <item x="3"/>
        <item t="default"/>
      </items>
    </pivotField>
    <pivotField numFmtId="164" showAll="0"/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# SKUs" fld="0" subtotal="count" baseField="0" baseItem="0"/>
    <dataField name="Demand" fld="14" baseField="0" baseItem="0" numFmtId="165"/>
    <dataField name="Sum of D" fld="14" showDataAs="percentOfCol" baseField="1" baseItem="1" numFmtId="9"/>
  </dataFields>
  <formats count="3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field="32" type="button" dataOnly="0" labelOnly="1" outline="0"/>
    </format>
    <format dxfId="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F6DD0-C386-4978-9E9E-5E3EBF45006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-Order">
  <location ref="A11:D16" firstHeaderRow="0" firstDataRow="1" firstDataCol="1"/>
  <pivotFields count="35">
    <pivotField dataField="1" showAll="0"/>
    <pivotField showAll="0">
      <items count="4">
        <item x="0"/>
        <item x="1"/>
        <item x="2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4" showAll="0"/>
    <pivotField showAll="0"/>
    <pivotField showAll="0"/>
    <pivotField numFmtId="2" showAll="0"/>
    <pivotField numFmtId="165" showAll="0"/>
    <pivotField numFmtId="165" showAll="0"/>
    <pivotField numFmtId="2" showAll="0"/>
    <pivotField numFmtId="169" showAll="0"/>
    <pivotField numFmtId="164" showAll="0"/>
    <pivotField numFmtId="10" showAll="0"/>
    <pivotField showAll="0"/>
    <pivotField showAll="0"/>
    <pivotField numFmtId="165" showAll="0"/>
    <pivotField numFmtId="1" showAll="0"/>
    <pivotField numFmtId="164" showAll="0"/>
    <pivotField axis="axisRow" numFmtId="165" showAll="0">
      <items count="5">
        <item x="0"/>
        <item x="1"/>
        <item x="2"/>
        <item x="3"/>
        <item t="default"/>
      </items>
    </pivotField>
    <pivotField numFmtId="164" showAll="0"/>
    <pivotField numFmtId="1"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# SKUs" fld="0" subtotal="count" baseField="0" baseItem="0"/>
    <dataField name="Demand" fld="14" baseField="0" baseItem="0" numFmtId="165"/>
    <dataField name="Sum of D" fld="14" showDataAs="percentOfCol" baseField="1" baseItem="1" numFmtId="9"/>
  </dataFields>
  <formats count="5">
    <format dxfId="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">
      <pivotArea dataOnly="0" labelOnly="1" fieldPosition="0">
        <references count="1">
          <reference field="32" count="0"/>
        </references>
      </pivotArea>
    </format>
    <format dxfId="8">
      <pivotArea field="32" type="button" dataOnly="0" labelOnly="1" outline="0" axis="axisRow" fieldPosition="0"/>
    </format>
    <format dxfId="7">
      <pivotArea dataOnly="0" labelOnly="1" fieldPosition="0">
        <references count="1">
          <reference field="32" count="0"/>
        </references>
      </pivotArea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ABEB8-7092-494A-AAC0-6C51B44F972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35">
    <pivotField dataField="1" showAll="0"/>
    <pivotField axis="axisRow" showAll="0">
      <items count="4">
        <item x="0"/>
        <item x="1"/>
        <item x="2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4" showAll="0"/>
    <pivotField showAll="0"/>
    <pivotField showAll="0"/>
    <pivotField numFmtId="2" showAll="0"/>
    <pivotField numFmtId="165" showAll="0"/>
    <pivotField numFmtId="165" showAll="0"/>
    <pivotField numFmtId="2" showAll="0"/>
    <pivotField numFmtId="169" showAll="0"/>
    <pivotField numFmtId="164" showAll="0"/>
    <pivotField numFmtId="10" showAll="0"/>
    <pivotField showAll="0"/>
    <pivotField showAll="0"/>
    <pivotField numFmtId="165" showAll="0"/>
    <pivotField numFmtId="1" showAll="0"/>
    <pivotField numFmtId="164" showAll="0"/>
    <pivotField numFmtId="165" showAll="0"/>
    <pivotField numFmtId="164" showAll="0"/>
    <pivotField numFmtI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# SKUs" fld="0" subtotal="count" baseField="0" baseItem="0"/>
    <dataField name="Demand" fld="14" baseField="0" baseItem="0" numFmtId="165"/>
    <dataField name="Sum of D" fld="14" showDataAs="percentOfCol" baseField="1" baseItem="1" numFmtId="9"/>
  </dataFields>
  <formats count="4">
    <format dxfId="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EB8-E22B-44B2-B78D-80B593D7AD96}">
  <dimension ref="A6:B33"/>
  <sheetViews>
    <sheetView topLeftCell="A16" zoomScale="130" zoomScaleNormal="130" workbookViewId="0">
      <selection activeCell="B27" sqref="B27"/>
    </sheetView>
  </sheetViews>
  <sheetFormatPr defaultRowHeight="15.6" x14ac:dyDescent="0.3"/>
  <cols>
    <col min="1" max="1" width="26.21875" style="99" customWidth="1"/>
    <col min="2" max="2" width="17.6640625" style="99" customWidth="1"/>
    <col min="3" max="3" width="13.5546875" style="99" customWidth="1"/>
    <col min="4" max="9" width="11.5546875" style="99" customWidth="1"/>
    <col min="10" max="10" width="8.88671875" style="99"/>
    <col min="11" max="11" width="10" style="99" bestFit="1" customWidth="1"/>
    <col min="12" max="16384" width="8.88671875" style="99"/>
  </cols>
  <sheetData>
    <row r="6" spans="1:1" x14ac:dyDescent="0.3">
      <c r="A6" s="98" t="s">
        <v>301</v>
      </c>
    </row>
    <row r="7" spans="1:1" x14ac:dyDescent="0.3">
      <c r="A7" s="98"/>
    </row>
    <row r="8" spans="1:1" x14ac:dyDescent="0.3">
      <c r="A8" s="99" t="s">
        <v>302</v>
      </c>
    </row>
    <row r="9" spans="1:1" x14ac:dyDescent="0.3">
      <c r="A9" s="99" t="s">
        <v>303</v>
      </c>
    </row>
    <row r="10" spans="1:1" x14ac:dyDescent="0.3">
      <c r="A10" s="99" t="s">
        <v>304</v>
      </c>
    </row>
    <row r="11" spans="1:1" x14ac:dyDescent="0.3">
      <c r="A11" s="99" t="s">
        <v>305</v>
      </c>
    </row>
    <row r="13" spans="1:1" x14ac:dyDescent="0.3">
      <c r="A13" s="99" t="s">
        <v>306</v>
      </c>
    </row>
    <row r="14" spans="1:1" x14ac:dyDescent="0.3">
      <c r="A14" s="99" t="s">
        <v>307</v>
      </c>
    </row>
    <row r="15" spans="1:1" x14ac:dyDescent="0.3">
      <c r="A15" s="99" t="s">
        <v>317</v>
      </c>
    </row>
    <row r="17" spans="1:2" x14ac:dyDescent="0.3">
      <c r="A17" s="99" t="s">
        <v>321</v>
      </c>
    </row>
    <row r="18" spans="1:2" x14ac:dyDescent="0.3">
      <c r="A18" s="99" t="s">
        <v>308</v>
      </c>
    </row>
    <row r="19" spans="1:2" x14ac:dyDescent="0.3">
      <c r="A19" s="99" t="s">
        <v>309</v>
      </c>
    </row>
    <row r="21" spans="1:2" x14ac:dyDescent="0.3">
      <c r="A21" s="99" t="s">
        <v>316</v>
      </c>
    </row>
    <row r="23" spans="1:2" x14ac:dyDescent="0.3">
      <c r="A23" s="99" t="s">
        <v>315</v>
      </c>
    </row>
    <row r="25" spans="1:2" x14ac:dyDescent="0.3">
      <c r="A25" s="100" t="s">
        <v>297</v>
      </c>
      <c r="B25" s="100" t="s">
        <v>310</v>
      </c>
    </row>
    <row r="26" spans="1:2" x14ac:dyDescent="0.3">
      <c r="A26" s="100" t="s">
        <v>298</v>
      </c>
      <c r="B26" s="100" t="s">
        <v>299</v>
      </c>
    </row>
    <row r="27" spans="1:2" x14ac:dyDescent="0.3">
      <c r="A27" s="100" t="s">
        <v>311</v>
      </c>
      <c r="B27" s="100" t="s">
        <v>312</v>
      </c>
    </row>
    <row r="28" spans="1:2" x14ac:dyDescent="0.3">
      <c r="A28" s="100" t="s">
        <v>313</v>
      </c>
      <c r="B28" s="100" t="s">
        <v>314</v>
      </c>
    </row>
    <row r="30" spans="1:2" x14ac:dyDescent="0.3">
      <c r="A30" s="99" t="s">
        <v>300</v>
      </c>
    </row>
    <row r="31" spans="1:2" x14ac:dyDescent="0.3">
      <c r="A31" s="101" t="s">
        <v>318</v>
      </c>
    </row>
    <row r="32" spans="1:2" x14ac:dyDescent="0.3">
      <c r="A32" s="98" t="s">
        <v>320</v>
      </c>
    </row>
    <row r="33" spans="1:1" x14ac:dyDescent="0.3">
      <c r="A33" s="98" t="s">
        <v>319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4A3E-55D0-4F4D-9AD1-6DDE15DCD7BB}">
  <dimension ref="B1:X22"/>
  <sheetViews>
    <sheetView topLeftCell="A4" zoomScale="130" zoomScaleNormal="130" workbookViewId="0">
      <selection activeCell="F22" sqref="F22"/>
    </sheetView>
  </sheetViews>
  <sheetFormatPr defaultRowHeight="14.4" x14ac:dyDescent="0.3"/>
  <cols>
    <col min="2" max="2" width="10" customWidth="1"/>
    <col min="3" max="3" width="10.6640625" customWidth="1"/>
    <col min="4" max="4" width="9.5546875" bestFit="1" customWidth="1"/>
    <col min="20" max="21" width="0" hidden="1" customWidth="1"/>
  </cols>
  <sheetData>
    <row r="1" spans="2:24" ht="15" thickBot="1" x14ac:dyDescent="0.35"/>
    <row r="2" spans="2:24" x14ac:dyDescent="0.3">
      <c r="B2" s="123" t="s">
        <v>46</v>
      </c>
      <c r="C2" s="124">
        <v>5.440534834623505</v>
      </c>
    </row>
    <row r="3" spans="2:24" ht="15" thickBot="1" x14ac:dyDescent="0.35">
      <c r="B3" s="125" t="s">
        <v>45</v>
      </c>
      <c r="C3" s="126">
        <v>1.058242362055628</v>
      </c>
    </row>
    <row r="4" spans="2:24" ht="15" thickBot="1" x14ac:dyDescent="0.35">
      <c r="C4" s="5"/>
    </row>
    <row r="5" spans="2:24" ht="15" thickBot="1" x14ac:dyDescent="0.35">
      <c r="B5" s="120" t="s">
        <v>25</v>
      </c>
      <c r="C5" s="121" t="s">
        <v>26</v>
      </c>
      <c r="D5" s="121" t="s">
        <v>27</v>
      </c>
      <c r="E5" s="121" t="s">
        <v>53</v>
      </c>
      <c r="F5" s="121" t="s">
        <v>28</v>
      </c>
      <c r="G5" s="121" t="s">
        <v>29</v>
      </c>
      <c r="H5" s="121" t="s">
        <v>10</v>
      </c>
      <c r="I5" s="121" t="s">
        <v>30</v>
      </c>
      <c r="J5" s="121" t="s">
        <v>31</v>
      </c>
      <c r="K5" s="122" t="s">
        <v>21</v>
      </c>
    </row>
    <row r="6" spans="2:24" x14ac:dyDescent="0.3">
      <c r="B6" s="114" t="s">
        <v>2</v>
      </c>
      <c r="C6" s="115" t="s">
        <v>32</v>
      </c>
      <c r="D6" s="115" t="s">
        <v>33</v>
      </c>
      <c r="E6" s="116">
        <v>0.95</v>
      </c>
      <c r="F6" s="117">
        <f>_xlfn.NORM.S.INV(E6)</f>
        <v>1.6448536269514715</v>
      </c>
      <c r="G6" s="118">
        <f>_xlfn.NORM.DIST(F6,0,1,0)-F6*(1-_xlfn.NORM.DIST(F6,0,1,1))</f>
        <v>2.0892959027797683E-2</v>
      </c>
      <c r="H6" s="117">
        <f>+$C$2</f>
        <v>5.440534834623505</v>
      </c>
      <c r="I6" s="115">
        <v>0</v>
      </c>
      <c r="J6" s="117">
        <f>H6+I6</f>
        <v>5.440534834623505</v>
      </c>
      <c r="K6" s="119">
        <f>AVERAGE(Solution!$AA$6:$AA$38)</f>
        <v>0.98695063972235697</v>
      </c>
      <c r="M6" s="8"/>
      <c r="N6" s="5"/>
      <c r="O6" s="9"/>
      <c r="P6" s="2"/>
      <c r="Q6" s="12"/>
      <c r="R6" s="12"/>
      <c r="U6" s="9"/>
      <c r="V6" s="5"/>
      <c r="W6" s="10"/>
      <c r="X6" s="5"/>
    </row>
    <row r="7" spans="2:24" x14ac:dyDescent="0.3">
      <c r="B7" s="106" t="s">
        <v>3</v>
      </c>
      <c r="C7" s="102" t="s">
        <v>32</v>
      </c>
      <c r="D7" s="102" t="s">
        <v>33</v>
      </c>
      <c r="E7" s="103">
        <v>0.9</v>
      </c>
      <c r="F7" s="104">
        <f t="shared" ref="F7:F8" si="0">_xlfn.NORM.S.INV(E7)</f>
        <v>1.2815515655446006</v>
      </c>
      <c r="G7" s="105">
        <f t="shared" ref="G7:G8" si="1">_xlfn.NORM.DIST(F7,0,1,0)-F7*(1-_xlfn.NORM.DIST(F7,0,1,1))</f>
        <v>4.7343175378026764E-2</v>
      </c>
      <c r="H7" s="104">
        <f t="shared" ref="H7:H8" si="2">+$C$2</f>
        <v>5.440534834623505</v>
      </c>
      <c r="I7" s="102">
        <v>0</v>
      </c>
      <c r="J7" s="104">
        <f t="shared" ref="J7:J8" si="3">H7+I7</f>
        <v>5.440534834623505</v>
      </c>
      <c r="K7" s="107">
        <f>AVERAGE(Solution!$AA$39:$AA$129)</f>
        <v>0.98124683012385139</v>
      </c>
      <c r="M7" s="8"/>
      <c r="N7" s="5"/>
      <c r="O7" s="9"/>
      <c r="P7" s="2"/>
      <c r="Q7" s="12"/>
      <c r="R7" s="12"/>
      <c r="V7" s="5"/>
      <c r="W7" s="10"/>
      <c r="X7" s="5"/>
    </row>
    <row r="8" spans="2:24" ht="15" thickBot="1" x14ac:dyDescent="0.35">
      <c r="B8" s="108" t="s">
        <v>4</v>
      </c>
      <c r="C8" s="109" t="s">
        <v>34</v>
      </c>
      <c r="D8" s="109" t="s">
        <v>54</v>
      </c>
      <c r="E8" s="110">
        <v>0.8</v>
      </c>
      <c r="F8" s="111">
        <f t="shared" si="0"/>
        <v>0.84162123357291474</v>
      </c>
      <c r="G8" s="112">
        <f t="shared" si="1"/>
        <v>0.11163767369322539</v>
      </c>
      <c r="H8" s="111">
        <f t="shared" si="2"/>
        <v>5.440534834623505</v>
      </c>
      <c r="I8" s="109">
        <v>30</v>
      </c>
      <c r="J8" s="111">
        <f t="shared" si="3"/>
        <v>35.440534834623506</v>
      </c>
      <c r="K8" s="113">
        <f>AVERAGE(Solution!$AA$130:$AA$245)</f>
        <v>0.90400997945182315</v>
      </c>
      <c r="M8" s="8"/>
      <c r="N8" s="5"/>
      <c r="O8" s="9"/>
      <c r="P8" s="2"/>
      <c r="Q8" s="12"/>
      <c r="R8" s="12"/>
      <c r="V8" s="5"/>
      <c r="W8" s="10"/>
      <c r="X8" s="5"/>
    </row>
    <row r="9" spans="2:24" ht="15" thickBot="1" x14ac:dyDescent="0.35"/>
    <row r="10" spans="2:24" ht="15" thickBot="1" x14ac:dyDescent="0.35">
      <c r="B10" s="1" t="s">
        <v>15</v>
      </c>
      <c r="C10" s="134">
        <v>250</v>
      </c>
      <c r="E10" s="136" t="s">
        <v>16</v>
      </c>
      <c r="F10" s="135">
        <v>0.2</v>
      </c>
      <c r="I10" s="13"/>
    </row>
    <row r="11" spans="2:24" ht="15" thickBot="1" x14ac:dyDescent="0.35">
      <c r="G11" s="4"/>
      <c r="H11" s="3"/>
    </row>
    <row r="12" spans="2:24" ht="15" thickBot="1" x14ac:dyDescent="0.35">
      <c r="B12" s="130" t="s">
        <v>35</v>
      </c>
      <c r="C12" s="131"/>
      <c r="D12" s="131"/>
      <c r="E12" s="132"/>
    </row>
    <row r="13" spans="2:24" x14ac:dyDescent="0.3">
      <c r="B13" s="114" t="s">
        <v>36</v>
      </c>
      <c r="C13" s="115">
        <v>1</v>
      </c>
      <c r="D13" s="115" t="s">
        <v>38</v>
      </c>
      <c r="E13" s="129">
        <f>(52*52*2)*$C$10/($F$10*C13*C14)/10^5</f>
        <v>33.799999999999997</v>
      </c>
    </row>
    <row r="14" spans="2:24" x14ac:dyDescent="0.3">
      <c r="B14" s="106" t="s">
        <v>37</v>
      </c>
      <c r="C14" s="102">
        <v>2</v>
      </c>
      <c r="D14" s="102" t="s">
        <v>38</v>
      </c>
      <c r="E14" s="127">
        <f>(52*52*2)*$C$10/($F$10*C14*C15)/10^5</f>
        <v>11.266666666666666</v>
      </c>
    </row>
    <row r="15" spans="2:24" x14ac:dyDescent="0.3">
      <c r="B15" s="106" t="s">
        <v>39</v>
      </c>
      <c r="C15" s="102">
        <v>3</v>
      </c>
      <c r="D15" s="102" t="s">
        <v>38</v>
      </c>
      <c r="E15" s="127">
        <f>(52*52*2)*$C$10/($F$10*C15*C16)/10^5</f>
        <v>5.6333333333333329</v>
      </c>
    </row>
    <row r="16" spans="2:24" x14ac:dyDescent="0.3">
      <c r="B16" s="106" t="s">
        <v>40</v>
      </c>
      <c r="C16" s="102">
        <v>4</v>
      </c>
      <c r="D16" s="102" t="s">
        <v>38</v>
      </c>
      <c r="E16" s="127">
        <f>(52*52*2)*$C$10/($F$10*C16*C17)/10^5</f>
        <v>3.38</v>
      </c>
    </row>
    <row r="17" spans="2:5" x14ac:dyDescent="0.3">
      <c r="B17" s="106" t="s">
        <v>41</v>
      </c>
      <c r="C17" s="102">
        <v>5</v>
      </c>
      <c r="D17" s="102" t="s">
        <v>38</v>
      </c>
      <c r="E17" s="127">
        <f>(52*52*2)*$C$10/($F$10*C17*C18)/10^5</f>
        <v>2.2533333333333334</v>
      </c>
    </row>
    <row r="18" spans="2:5" x14ac:dyDescent="0.3">
      <c r="B18" s="106" t="s">
        <v>42</v>
      </c>
      <c r="C18" s="102">
        <v>6</v>
      </c>
      <c r="D18" s="102" t="s">
        <v>38</v>
      </c>
      <c r="E18" s="127">
        <f>(52*52*2)*$C$10/($F$10*C18*C19)/10^5</f>
        <v>1.6095238095238091</v>
      </c>
    </row>
    <row r="19" spans="2:5" x14ac:dyDescent="0.3">
      <c r="B19" s="106" t="s">
        <v>47</v>
      </c>
      <c r="C19" s="102">
        <v>7</v>
      </c>
      <c r="D19" s="102" t="s">
        <v>38</v>
      </c>
      <c r="E19" s="127">
        <f>(52*52*2)*$C$10/($F$10*C19*C20)/10^5</f>
        <v>1.2071428571428569</v>
      </c>
    </row>
    <row r="20" spans="2:5" x14ac:dyDescent="0.3">
      <c r="B20" s="106" t="s">
        <v>48</v>
      </c>
      <c r="C20" s="102">
        <v>8</v>
      </c>
      <c r="D20" s="102" t="s">
        <v>38</v>
      </c>
      <c r="E20" s="127">
        <f>(52*52*2)*$C$10/($F$10*C20*C21)/10^5</f>
        <v>0.93888888888888888</v>
      </c>
    </row>
    <row r="21" spans="2:5" x14ac:dyDescent="0.3">
      <c r="B21" s="106" t="s">
        <v>49</v>
      </c>
      <c r="C21" s="102">
        <v>9</v>
      </c>
      <c r="D21" s="102" t="s">
        <v>38</v>
      </c>
      <c r="E21" s="127">
        <f>(52*52*2)*$C$10/($F$10*C21*C22)/10^5</f>
        <v>0.75111111111111106</v>
      </c>
    </row>
    <row r="22" spans="2:5" ht="15" thickBot="1" x14ac:dyDescent="0.35">
      <c r="B22" s="108" t="s">
        <v>50</v>
      </c>
      <c r="C22" s="109">
        <v>10</v>
      </c>
      <c r="D22" s="109" t="s">
        <v>38</v>
      </c>
      <c r="E22" s="128"/>
    </row>
  </sheetData>
  <mergeCells count="1">
    <mergeCell ref="B12:E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385B-0354-49A2-8122-50DAD3E1B9BA}">
  <dimension ref="A1:N243"/>
  <sheetViews>
    <sheetView zoomScale="115" zoomScaleNormal="115" workbookViewId="0">
      <selection activeCell="C3" sqref="C3"/>
    </sheetView>
  </sheetViews>
  <sheetFormatPr defaultRowHeight="14.4" x14ac:dyDescent="0.3"/>
  <cols>
    <col min="1" max="1" width="12" bestFit="1" customWidth="1"/>
  </cols>
  <sheetData>
    <row r="1" spans="1:14" ht="15" thickBot="1" x14ac:dyDescent="0.35">
      <c r="A1" s="7" t="s">
        <v>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thickBot="1" x14ac:dyDescent="0.35">
      <c r="A2" s="22" t="s">
        <v>0</v>
      </c>
      <c r="B2" s="23" t="s">
        <v>55</v>
      </c>
      <c r="C2" s="24">
        <v>43556</v>
      </c>
      <c r="D2" s="24">
        <v>43586</v>
      </c>
      <c r="E2" s="24">
        <v>43617</v>
      </c>
      <c r="F2" s="24">
        <v>43647</v>
      </c>
      <c r="G2" s="24">
        <v>43678</v>
      </c>
      <c r="H2" s="24">
        <v>43709</v>
      </c>
      <c r="I2" s="24">
        <v>43739</v>
      </c>
      <c r="J2" s="24">
        <v>43770</v>
      </c>
      <c r="K2" s="24">
        <v>43800</v>
      </c>
      <c r="L2" s="24">
        <v>43831</v>
      </c>
      <c r="M2" s="24">
        <v>43862</v>
      </c>
      <c r="N2" s="25">
        <v>43891</v>
      </c>
    </row>
    <row r="3" spans="1:14" x14ac:dyDescent="0.3">
      <c r="A3" s="18" t="s">
        <v>56</v>
      </c>
      <c r="B3" s="19" t="s">
        <v>2</v>
      </c>
      <c r="C3" s="20">
        <v>2209.08</v>
      </c>
      <c r="D3" s="20">
        <v>1791.44</v>
      </c>
      <c r="E3" s="20">
        <v>6814.77</v>
      </c>
      <c r="F3" s="20">
        <v>7613.62</v>
      </c>
      <c r="G3" s="20">
        <v>3588.19</v>
      </c>
      <c r="H3" s="20">
        <v>6450.61</v>
      </c>
      <c r="I3" s="20">
        <v>2245.48</v>
      </c>
      <c r="J3" s="20">
        <v>2981.71</v>
      </c>
      <c r="K3" s="20">
        <v>4542.13</v>
      </c>
      <c r="L3" s="20">
        <v>3464.2</v>
      </c>
      <c r="M3" s="20">
        <v>3117.7799999999997</v>
      </c>
      <c r="N3" s="21">
        <v>3810.62</v>
      </c>
    </row>
    <row r="4" spans="1:14" x14ac:dyDescent="0.3">
      <c r="A4" s="16" t="s">
        <v>57</v>
      </c>
      <c r="B4" s="14" t="s">
        <v>2</v>
      </c>
      <c r="C4" s="15">
        <v>1112.67</v>
      </c>
      <c r="D4" s="15">
        <v>1919.88</v>
      </c>
      <c r="E4" s="15">
        <v>3929.51</v>
      </c>
      <c r="F4" s="15">
        <v>3278.98</v>
      </c>
      <c r="G4" s="15">
        <v>1075.58</v>
      </c>
      <c r="H4" s="15">
        <v>1887.73</v>
      </c>
      <c r="I4" s="15">
        <v>421.01</v>
      </c>
      <c r="J4" s="15">
        <v>2217.37</v>
      </c>
      <c r="K4" s="15">
        <v>2729.03</v>
      </c>
      <c r="L4" s="15">
        <v>2591.02</v>
      </c>
      <c r="M4" s="15">
        <v>2331.9180000000001</v>
      </c>
      <c r="N4" s="17">
        <v>2850.1220000000003</v>
      </c>
    </row>
    <row r="5" spans="1:14" x14ac:dyDescent="0.3">
      <c r="A5" s="16" t="s">
        <v>58</v>
      </c>
      <c r="B5" s="14" t="s">
        <v>2</v>
      </c>
      <c r="C5" s="15">
        <v>512.53</v>
      </c>
      <c r="D5" s="15">
        <v>1140.21</v>
      </c>
      <c r="E5" s="15">
        <v>2634.3</v>
      </c>
      <c r="F5" s="15">
        <v>3558.18</v>
      </c>
      <c r="G5" s="15">
        <v>960.91</v>
      </c>
      <c r="H5" s="15">
        <v>2880.78</v>
      </c>
      <c r="I5" s="15">
        <v>1460.83</v>
      </c>
      <c r="J5" s="15">
        <v>2507.7199999999998</v>
      </c>
      <c r="K5" s="15">
        <v>2849.28</v>
      </c>
      <c r="L5" s="15">
        <v>1546.54</v>
      </c>
      <c r="M5" s="15">
        <v>1391.886</v>
      </c>
      <c r="N5" s="17">
        <v>1701.1940000000002</v>
      </c>
    </row>
    <row r="6" spans="1:14" x14ac:dyDescent="0.3">
      <c r="A6" s="16" t="s">
        <v>59</v>
      </c>
      <c r="B6" s="14" t="s">
        <v>2</v>
      </c>
      <c r="C6" s="15">
        <v>607.47</v>
      </c>
      <c r="D6" s="15">
        <v>1212.45</v>
      </c>
      <c r="E6" s="15">
        <v>1247.07</v>
      </c>
      <c r="F6" s="15">
        <v>2999.88</v>
      </c>
      <c r="G6" s="15">
        <v>607.62</v>
      </c>
      <c r="H6" s="15">
        <v>5840.42</v>
      </c>
      <c r="I6" s="15">
        <v>303.48</v>
      </c>
      <c r="J6" s="15">
        <v>2694.75</v>
      </c>
      <c r="K6" s="15">
        <v>3000.64</v>
      </c>
      <c r="L6" s="15">
        <v>1392.98</v>
      </c>
      <c r="M6" s="15">
        <v>1253.682</v>
      </c>
      <c r="N6" s="17">
        <v>1532.2780000000002</v>
      </c>
    </row>
    <row r="7" spans="1:14" x14ac:dyDescent="0.3">
      <c r="A7" s="16" t="s">
        <v>60</v>
      </c>
      <c r="B7" s="14" t="s">
        <v>2</v>
      </c>
      <c r="C7" s="15">
        <v>560.99</v>
      </c>
      <c r="D7" s="15">
        <v>1123.9100000000001</v>
      </c>
      <c r="E7" s="15">
        <v>925.17</v>
      </c>
      <c r="F7" s="15">
        <v>2080.27</v>
      </c>
      <c r="G7" s="15">
        <v>1617.43</v>
      </c>
      <c r="H7" s="15">
        <v>3073.42</v>
      </c>
      <c r="I7" s="15">
        <v>164.58</v>
      </c>
      <c r="J7" s="15">
        <v>3170.78</v>
      </c>
      <c r="K7" s="15">
        <v>2542.1</v>
      </c>
      <c r="L7" s="15">
        <v>4055.79</v>
      </c>
      <c r="M7" s="15">
        <v>3650.2110000000002</v>
      </c>
      <c r="N7" s="17">
        <v>4461.3690000000006</v>
      </c>
    </row>
    <row r="8" spans="1:14" x14ac:dyDescent="0.3">
      <c r="A8" s="16" t="s">
        <v>61</v>
      </c>
      <c r="B8" s="14" t="s">
        <v>2</v>
      </c>
      <c r="C8" s="15">
        <v>632.16999999999996</v>
      </c>
      <c r="D8" s="15">
        <v>1046.06</v>
      </c>
      <c r="E8" s="15">
        <v>3484.49</v>
      </c>
      <c r="F8" s="15">
        <v>3732.53</v>
      </c>
      <c r="G8" s="15">
        <v>411.36</v>
      </c>
      <c r="H8" s="15">
        <v>2701.68</v>
      </c>
      <c r="I8" s="15">
        <v>1077.04</v>
      </c>
      <c r="J8" s="15">
        <v>1805.23</v>
      </c>
      <c r="K8" s="15">
        <v>2951.48</v>
      </c>
      <c r="L8" s="15">
        <v>1432.33</v>
      </c>
      <c r="M8" s="15">
        <v>1488</v>
      </c>
      <c r="N8" s="38">
        <v>1894</v>
      </c>
    </row>
    <row r="9" spans="1:14" x14ac:dyDescent="0.3">
      <c r="A9" s="16" t="s">
        <v>62</v>
      </c>
      <c r="B9" s="14" t="s">
        <v>2</v>
      </c>
      <c r="C9" s="15">
        <v>411.04</v>
      </c>
      <c r="D9" s="15">
        <v>724.62</v>
      </c>
      <c r="E9" s="15">
        <v>1729.99</v>
      </c>
      <c r="F9" s="15">
        <v>2236.4899999999998</v>
      </c>
      <c r="G9" s="15">
        <v>1903.84</v>
      </c>
      <c r="H9" s="15">
        <v>2771.61</v>
      </c>
      <c r="I9" s="15">
        <v>946.21</v>
      </c>
      <c r="J9" s="15">
        <v>2052.2399999999998</v>
      </c>
      <c r="K9" s="15">
        <v>3979.03</v>
      </c>
      <c r="L9" s="15">
        <v>2063.12</v>
      </c>
      <c r="M9" s="15">
        <v>1856.808</v>
      </c>
      <c r="N9" s="17">
        <v>2269.4320000000002</v>
      </c>
    </row>
    <row r="10" spans="1:14" x14ac:dyDescent="0.3">
      <c r="A10" s="16" t="s">
        <v>63</v>
      </c>
      <c r="B10" s="14" t="s">
        <v>2</v>
      </c>
      <c r="C10" s="15">
        <v>209.84</v>
      </c>
      <c r="D10" s="15">
        <v>384.51</v>
      </c>
      <c r="E10" s="15">
        <v>2224.41</v>
      </c>
      <c r="F10" s="15">
        <v>1913.14</v>
      </c>
      <c r="G10" s="15">
        <v>2995.95</v>
      </c>
      <c r="H10" s="15">
        <v>2106.33</v>
      </c>
      <c r="I10" s="15">
        <v>105.12</v>
      </c>
      <c r="J10" s="15">
        <v>4251.4399999999996</v>
      </c>
      <c r="K10" s="15">
        <v>2620.5700000000002</v>
      </c>
      <c r="L10" s="15">
        <v>418.83</v>
      </c>
      <c r="M10" s="15">
        <v>376.947</v>
      </c>
      <c r="N10" s="17">
        <v>460.71300000000002</v>
      </c>
    </row>
    <row r="11" spans="1:14" x14ac:dyDescent="0.3">
      <c r="A11" s="16" t="s">
        <v>64</v>
      </c>
      <c r="B11" s="14" t="s">
        <v>2</v>
      </c>
      <c r="C11" s="15">
        <v>568.69000000000005</v>
      </c>
      <c r="D11" s="15">
        <v>469.25</v>
      </c>
      <c r="E11" s="15">
        <v>1908.38</v>
      </c>
      <c r="F11" s="15">
        <v>2745.46</v>
      </c>
      <c r="G11" s="15">
        <v>616.08000000000004</v>
      </c>
      <c r="H11" s="15">
        <v>2503.1</v>
      </c>
      <c r="I11" s="15">
        <v>719.69</v>
      </c>
      <c r="J11" s="15">
        <v>1993.06</v>
      </c>
      <c r="K11" s="15">
        <v>2972.43</v>
      </c>
      <c r="L11" s="15">
        <v>1412.39</v>
      </c>
      <c r="M11" s="15">
        <v>1271.1510000000001</v>
      </c>
      <c r="N11" s="17">
        <v>1553.6290000000001</v>
      </c>
    </row>
    <row r="12" spans="1:14" x14ac:dyDescent="0.3">
      <c r="A12" s="16" t="s">
        <v>65</v>
      </c>
      <c r="B12" s="14" t="s">
        <v>2</v>
      </c>
      <c r="C12" s="15">
        <v>0</v>
      </c>
      <c r="D12" s="15">
        <v>0</v>
      </c>
      <c r="E12" s="15">
        <v>1461.37</v>
      </c>
      <c r="F12" s="15">
        <v>1573.79</v>
      </c>
      <c r="G12" s="15">
        <v>1931.99</v>
      </c>
      <c r="H12" s="15">
        <v>691.69</v>
      </c>
      <c r="I12" s="15">
        <v>5770.22</v>
      </c>
      <c r="J12" s="15">
        <v>2935.67</v>
      </c>
      <c r="K12" s="15">
        <v>609.08000000000004</v>
      </c>
      <c r="L12" s="15">
        <v>747.42</v>
      </c>
      <c r="M12" s="15">
        <v>672.678</v>
      </c>
      <c r="N12" s="17">
        <v>822.16200000000003</v>
      </c>
    </row>
    <row r="13" spans="1:14" x14ac:dyDescent="0.3">
      <c r="A13" s="16" t="s">
        <v>66</v>
      </c>
      <c r="B13" s="14" t="s">
        <v>2</v>
      </c>
      <c r="C13" s="15">
        <v>876.07</v>
      </c>
      <c r="D13" s="15">
        <v>505.19</v>
      </c>
      <c r="E13" s="15">
        <v>2959.8</v>
      </c>
      <c r="F13" s="15">
        <v>2941.82</v>
      </c>
      <c r="G13" s="15">
        <v>1080.8699999999999</v>
      </c>
      <c r="H13" s="15">
        <v>1964.77</v>
      </c>
      <c r="I13" s="15">
        <v>1324.01</v>
      </c>
      <c r="J13" s="15">
        <v>611.22</v>
      </c>
      <c r="K13" s="15">
        <v>2266.23</v>
      </c>
      <c r="L13" s="15">
        <v>1181.04</v>
      </c>
      <c r="M13" s="15">
        <v>1062.9359999999999</v>
      </c>
      <c r="N13" s="17">
        <v>1299.144</v>
      </c>
    </row>
    <row r="14" spans="1:14" x14ac:dyDescent="0.3">
      <c r="A14" s="16" t="s">
        <v>67</v>
      </c>
      <c r="B14" s="14" t="s">
        <v>2</v>
      </c>
      <c r="C14" s="15">
        <v>532.88</v>
      </c>
      <c r="D14" s="15">
        <v>1120.3499999999999</v>
      </c>
      <c r="E14" s="15">
        <v>2096.88</v>
      </c>
      <c r="F14" s="15">
        <v>1795.1</v>
      </c>
      <c r="G14" s="15">
        <v>1065.99</v>
      </c>
      <c r="H14" s="15">
        <v>1882.05</v>
      </c>
      <c r="I14" s="15">
        <v>965.25</v>
      </c>
      <c r="J14" s="15">
        <v>1442.14</v>
      </c>
      <c r="K14" s="15">
        <v>1380.93</v>
      </c>
      <c r="L14" s="15">
        <v>1717.4</v>
      </c>
      <c r="M14" s="15">
        <v>1545.66</v>
      </c>
      <c r="N14" s="17">
        <v>1889.1400000000003</v>
      </c>
    </row>
    <row r="15" spans="1:14" x14ac:dyDescent="0.3">
      <c r="A15" s="16" t="s">
        <v>68</v>
      </c>
      <c r="B15" s="14" t="s">
        <v>2</v>
      </c>
      <c r="C15" s="15">
        <v>155.19999999999999</v>
      </c>
      <c r="D15" s="15">
        <v>2080.27</v>
      </c>
      <c r="E15" s="15">
        <v>933.3</v>
      </c>
      <c r="F15" s="15">
        <v>2480.52</v>
      </c>
      <c r="G15" s="15">
        <v>557.4</v>
      </c>
      <c r="H15" s="15">
        <v>1209.06</v>
      </c>
      <c r="I15" s="15">
        <v>716.92</v>
      </c>
      <c r="J15" s="15">
        <v>1169.75</v>
      </c>
      <c r="K15" s="15">
        <v>1335.43</v>
      </c>
      <c r="L15" s="15">
        <v>1089.31</v>
      </c>
      <c r="M15" s="15">
        <v>980.37900000000002</v>
      </c>
      <c r="N15" s="17">
        <v>1198.241</v>
      </c>
    </row>
    <row r="16" spans="1:14" x14ac:dyDescent="0.3">
      <c r="A16" s="16" t="s">
        <v>69</v>
      </c>
      <c r="B16" s="14" t="s">
        <v>2</v>
      </c>
      <c r="C16" s="15">
        <v>641.22</v>
      </c>
      <c r="D16" s="15">
        <v>964.25</v>
      </c>
      <c r="E16" s="15">
        <v>1575.35</v>
      </c>
      <c r="F16" s="15">
        <v>1040.43</v>
      </c>
      <c r="G16" s="15">
        <v>1265.72</v>
      </c>
      <c r="H16" s="15">
        <v>929.1</v>
      </c>
      <c r="I16" s="15">
        <v>861.64</v>
      </c>
      <c r="J16" s="15">
        <v>1704.78</v>
      </c>
      <c r="K16" s="15">
        <v>1729.32</v>
      </c>
      <c r="L16" s="15">
        <v>969.76</v>
      </c>
      <c r="M16" s="15">
        <v>872.78399999999999</v>
      </c>
      <c r="N16" s="17">
        <v>1066.7360000000001</v>
      </c>
    </row>
    <row r="17" spans="1:14" x14ac:dyDescent="0.3">
      <c r="A17" s="16" t="s">
        <v>70</v>
      </c>
      <c r="B17" s="14" t="s">
        <v>2</v>
      </c>
      <c r="C17" s="15">
        <v>546.98</v>
      </c>
      <c r="D17" s="15">
        <v>582.12</v>
      </c>
      <c r="E17" s="15">
        <v>764.35</v>
      </c>
      <c r="F17" s="15">
        <v>1528.55</v>
      </c>
      <c r="G17" s="15">
        <v>872.29</v>
      </c>
      <c r="H17" s="15">
        <v>2261.9</v>
      </c>
      <c r="I17" s="15">
        <v>546.53</v>
      </c>
      <c r="J17" s="15">
        <v>1531.96</v>
      </c>
      <c r="K17" s="15">
        <v>1204.6400000000001</v>
      </c>
      <c r="L17" s="15">
        <v>1091.54</v>
      </c>
      <c r="M17" s="15">
        <v>982.38599999999997</v>
      </c>
      <c r="N17" s="17">
        <v>1200.694</v>
      </c>
    </row>
    <row r="18" spans="1:14" x14ac:dyDescent="0.3">
      <c r="A18" s="16" t="s">
        <v>71</v>
      </c>
      <c r="B18" s="14" t="s">
        <v>2</v>
      </c>
      <c r="C18" s="15">
        <v>590.14</v>
      </c>
      <c r="D18" s="15">
        <v>472.38</v>
      </c>
      <c r="E18" s="15">
        <v>1063.56</v>
      </c>
      <c r="F18" s="15">
        <v>1559.52</v>
      </c>
      <c r="G18" s="15">
        <v>738.91</v>
      </c>
      <c r="H18" s="15">
        <v>1104.44</v>
      </c>
      <c r="I18" s="15">
        <v>568.13</v>
      </c>
      <c r="J18" s="15">
        <v>1110.79</v>
      </c>
      <c r="K18" s="15">
        <v>1486.51</v>
      </c>
      <c r="L18" s="15">
        <v>742.3</v>
      </c>
      <c r="M18" s="15">
        <v>668.06999999999994</v>
      </c>
      <c r="N18" s="17">
        <v>816.53</v>
      </c>
    </row>
    <row r="19" spans="1:14" x14ac:dyDescent="0.3">
      <c r="A19" s="16" t="s">
        <v>72</v>
      </c>
      <c r="B19" s="14" t="s">
        <v>2</v>
      </c>
      <c r="C19" s="15">
        <v>492.55</v>
      </c>
      <c r="D19" s="15">
        <v>131.66</v>
      </c>
      <c r="E19" s="15">
        <v>1051.01</v>
      </c>
      <c r="F19" s="15">
        <v>1147.3499999999999</v>
      </c>
      <c r="G19" s="15">
        <v>950.38</v>
      </c>
      <c r="H19" s="15">
        <v>921.23</v>
      </c>
      <c r="I19" s="15">
        <v>728.68</v>
      </c>
      <c r="J19" s="15">
        <v>1265.0999999999999</v>
      </c>
      <c r="K19" s="15">
        <v>1963.93</v>
      </c>
      <c r="L19" s="15">
        <v>427.82</v>
      </c>
      <c r="M19" s="15">
        <v>385.03800000000001</v>
      </c>
      <c r="N19" s="17">
        <v>470.60200000000003</v>
      </c>
    </row>
    <row r="20" spans="1:14" x14ac:dyDescent="0.3">
      <c r="A20" s="16" t="s">
        <v>73</v>
      </c>
      <c r="B20" s="14" t="s">
        <v>2</v>
      </c>
      <c r="C20" s="15">
        <v>333.78</v>
      </c>
      <c r="D20" s="15">
        <v>834.7</v>
      </c>
      <c r="E20" s="15">
        <v>970.28</v>
      </c>
      <c r="F20" s="15">
        <v>1500.45</v>
      </c>
      <c r="G20" s="15">
        <v>697.48</v>
      </c>
      <c r="H20" s="15">
        <v>1262.1400000000001</v>
      </c>
      <c r="I20" s="15">
        <v>266.27</v>
      </c>
      <c r="J20" s="15">
        <v>799.35</v>
      </c>
      <c r="K20" s="15">
        <v>1495.26</v>
      </c>
      <c r="L20" s="15">
        <v>627.74</v>
      </c>
      <c r="M20" s="15">
        <v>564.96600000000001</v>
      </c>
      <c r="N20" s="17">
        <v>690.51400000000001</v>
      </c>
    </row>
    <row r="21" spans="1:14" x14ac:dyDescent="0.3">
      <c r="A21" s="16" t="s">
        <v>74</v>
      </c>
      <c r="B21" s="14" t="s">
        <v>2</v>
      </c>
      <c r="C21" s="15">
        <v>224.13</v>
      </c>
      <c r="D21" s="15">
        <v>486.34</v>
      </c>
      <c r="E21" s="15">
        <v>1227.72</v>
      </c>
      <c r="F21" s="15">
        <v>2320.13</v>
      </c>
      <c r="G21" s="15">
        <v>1156.0999999999999</v>
      </c>
      <c r="H21" s="15">
        <v>1270.6099999999999</v>
      </c>
      <c r="I21" s="15">
        <v>794.47</v>
      </c>
      <c r="J21" s="15">
        <v>186.6</v>
      </c>
      <c r="K21" s="15">
        <v>931.14</v>
      </c>
      <c r="L21" s="15">
        <v>111.8</v>
      </c>
      <c r="M21" s="15">
        <v>100.62</v>
      </c>
      <c r="N21" s="17">
        <v>122.98</v>
      </c>
    </row>
    <row r="22" spans="1:14" x14ac:dyDescent="0.3">
      <c r="A22" s="16" t="s">
        <v>75</v>
      </c>
      <c r="B22" s="14" t="s">
        <v>2</v>
      </c>
      <c r="C22" s="15">
        <v>0</v>
      </c>
      <c r="D22" s="15">
        <v>154.71</v>
      </c>
      <c r="E22" s="15">
        <v>248.3</v>
      </c>
      <c r="F22" s="15">
        <v>1243.75</v>
      </c>
      <c r="G22" s="15">
        <v>1337.61</v>
      </c>
      <c r="H22" s="15">
        <v>2005.19</v>
      </c>
      <c r="I22" s="15">
        <v>335.32</v>
      </c>
      <c r="J22" s="15">
        <v>533.91999999999996</v>
      </c>
      <c r="K22" s="15">
        <v>971.08</v>
      </c>
      <c r="L22" s="15">
        <v>1681.83</v>
      </c>
      <c r="M22" s="15">
        <v>1513.6469999999999</v>
      </c>
      <c r="N22" s="17">
        <v>1850.0130000000001</v>
      </c>
    </row>
    <row r="23" spans="1:14" x14ac:dyDescent="0.3">
      <c r="A23" s="16" t="s">
        <v>76</v>
      </c>
      <c r="B23" s="14" t="s">
        <v>2</v>
      </c>
      <c r="C23" s="15">
        <v>445.11</v>
      </c>
      <c r="D23" s="15">
        <v>501.93</v>
      </c>
      <c r="E23" s="15">
        <v>1267.08</v>
      </c>
      <c r="F23" s="15">
        <v>1610.26</v>
      </c>
      <c r="G23" s="15">
        <v>687.87</v>
      </c>
      <c r="H23" s="15">
        <v>1448.49</v>
      </c>
      <c r="I23" s="15">
        <v>719.42</v>
      </c>
      <c r="J23" s="15">
        <v>686.4</v>
      </c>
      <c r="K23" s="15">
        <v>515.05999999999995</v>
      </c>
      <c r="L23" s="15">
        <v>546.71</v>
      </c>
      <c r="M23" s="15">
        <v>492.03900000000004</v>
      </c>
      <c r="N23" s="17">
        <v>601.38100000000009</v>
      </c>
    </row>
    <row r="24" spans="1:14" x14ac:dyDescent="0.3">
      <c r="A24" s="16" t="s">
        <v>77</v>
      </c>
      <c r="B24" s="14" t="s">
        <v>2</v>
      </c>
      <c r="C24" s="15">
        <v>815.13</v>
      </c>
      <c r="D24" s="15">
        <v>465.82</v>
      </c>
      <c r="E24" s="15">
        <v>1690.15</v>
      </c>
      <c r="F24" s="15">
        <v>1407.9</v>
      </c>
      <c r="G24" s="15">
        <v>263.33999999999997</v>
      </c>
      <c r="H24" s="15">
        <v>701.58</v>
      </c>
      <c r="I24" s="15">
        <v>437.61</v>
      </c>
      <c r="J24" s="15">
        <v>817.12</v>
      </c>
      <c r="K24" s="15">
        <v>1076.8</v>
      </c>
      <c r="L24" s="15">
        <v>610.41</v>
      </c>
      <c r="M24" s="15">
        <v>549.36900000000003</v>
      </c>
      <c r="N24" s="17">
        <v>671.45100000000002</v>
      </c>
    </row>
    <row r="25" spans="1:14" x14ac:dyDescent="0.3">
      <c r="A25" s="16" t="s">
        <v>78</v>
      </c>
      <c r="B25" s="14" t="s">
        <v>2</v>
      </c>
      <c r="C25" s="15">
        <v>324.01</v>
      </c>
      <c r="D25" s="15">
        <v>193.17</v>
      </c>
      <c r="E25" s="15">
        <v>522.20000000000005</v>
      </c>
      <c r="F25" s="15">
        <v>813.42</v>
      </c>
      <c r="G25" s="15">
        <v>878.76</v>
      </c>
      <c r="H25" s="15">
        <v>1110.28</v>
      </c>
      <c r="I25" s="15">
        <v>739.56</v>
      </c>
      <c r="J25" s="15">
        <v>1050.3499999999999</v>
      </c>
      <c r="K25" s="15">
        <v>1542.19</v>
      </c>
      <c r="L25" s="15">
        <v>919.62</v>
      </c>
      <c r="M25" s="15">
        <v>827.65800000000002</v>
      </c>
      <c r="N25" s="17">
        <v>1011.5820000000001</v>
      </c>
    </row>
    <row r="26" spans="1:14" x14ac:dyDescent="0.3">
      <c r="A26" s="16" t="s">
        <v>79</v>
      </c>
      <c r="B26" s="14" t="s">
        <v>2</v>
      </c>
      <c r="C26" s="15">
        <v>0</v>
      </c>
      <c r="D26" s="15">
        <v>581.05999999999995</v>
      </c>
      <c r="E26" s="15">
        <v>833.23</v>
      </c>
      <c r="F26" s="15">
        <v>1195.23</v>
      </c>
      <c r="G26" s="15">
        <v>894.26</v>
      </c>
      <c r="H26" s="15">
        <v>1051.1500000000001</v>
      </c>
      <c r="I26" s="15">
        <v>108.86</v>
      </c>
      <c r="J26" s="15">
        <v>1083.81</v>
      </c>
      <c r="K26" s="15">
        <v>1127.43</v>
      </c>
      <c r="L26" s="15">
        <v>323.25</v>
      </c>
      <c r="M26" s="15">
        <v>290.92500000000001</v>
      </c>
      <c r="N26" s="17">
        <v>355.57500000000005</v>
      </c>
    </row>
    <row r="27" spans="1:14" x14ac:dyDescent="0.3">
      <c r="A27" s="16" t="s">
        <v>80</v>
      </c>
      <c r="B27" s="14" t="s">
        <v>2</v>
      </c>
      <c r="C27" s="15">
        <v>1008.02</v>
      </c>
      <c r="D27" s="15">
        <v>0</v>
      </c>
      <c r="E27" s="15">
        <v>1336.53</v>
      </c>
      <c r="F27" s="15">
        <v>1348.52</v>
      </c>
      <c r="G27" s="15">
        <v>674.2</v>
      </c>
      <c r="H27" s="15">
        <v>1992.39</v>
      </c>
      <c r="I27" s="15">
        <v>0</v>
      </c>
      <c r="J27" s="15">
        <v>336.94</v>
      </c>
      <c r="K27" s="15">
        <v>371.16</v>
      </c>
      <c r="L27" s="15">
        <v>0</v>
      </c>
      <c r="M27" s="15">
        <v>0</v>
      </c>
      <c r="N27" s="17">
        <v>0</v>
      </c>
    </row>
    <row r="28" spans="1:14" x14ac:dyDescent="0.3">
      <c r="A28" s="16" t="s">
        <v>81</v>
      </c>
      <c r="B28" s="14" t="s">
        <v>2</v>
      </c>
      <c r="C28" s="15">
        <v>294.12</v>
      </c>
      <c r="D28" s="15">
        <v>1121.47</v>
      </c>
      <c r="E28" s="15">
        <v>1154.1300000000001</v>
      </c>
      <c r="F28" s="15">
        <v>474.91</v>
      </c>
      <c r="G28" s="15">
        <v>385.31</v>
      </c>
      <c r="H28" s="15">
        <v>741.38</v>
      </c>
      <c r="I28" s="15">
        <v>118.6</v>
      </c>
      <c r="J28" s="15">
        <v>1216.55</v>
      </c>
      <c r="K28" s="15">
        <v>1181.23</v>
      </c>
      <c r="L28" s="15">
        <v>88.7</v>
      </c>
      <c r="M28" s="15">
        <v>79.83</v>
      </c>
      <c r="N28" s="17">
        <v>97.570000000000007</v>
      </c>
    </row>
    <row r="29" spans="1:14" x14ac:dyDescent="0.3">
      <c r="A29" s="16" t="s">
        <v>82</v>
      </c>
      <c r="B29" s="14" t="s">
        <v>2</v>
      </c>
      <c r="C29" s="15">
        <v>82.91</v>
      </c>
      <c r="D29" s="15">
        <v>166.8</v>
      </c>
      <c r="E29" s="15">
        <v>195.48</v>
      </c>
      <c r="F29" s="15">
        <v>961.69</v>
      </c>
      <c r="G29" s="15">
        <v>703.23</v>
      </c>
      <c r="H29" s="15">
        <v>980.52</v>
      </c>
      <c r="I29" s="15">
        <v>0</v>
      </c>
      <c r="J29" s="15">
        <v>1141.9000000000001</v>
      </c>
      <c r="K29" s="15">
        <v>1409.69</v>
      </c>
      <c r="L29" s="15">
        <v>610.44000000000005</v>
      </c>
      <c r="M29" s="15">
        <v>549.39600000000007</v>
      </c>
      <c r="N29" s="17">
        <v>671.48400000000015</v>
      </c>
    </row>
    <row r="30" spans="1:14" x14ac:dyDescent="0.3">
      <c r="A30" s="16" t="s">
        <v>83</v>
      </c>
      <c r="B30" s="14" t="s">
        <v>2</v>
      </c>
      <c r="C30" s="15">
        <v>0</v>
      </c>
      <c r="D30" s="15">
        <v>218.8</v>
      </c>
      <c r="E30" s="15">
        <v>875.57</v>
      </c>
      <c r="F30" s="15">
        <v>511.22</v>
      </c>
      <c r="G30" s="15">
        <v>856.56</v>
      </c>
      <c r="H30" s="15">
        <v>625.94000000000005</v>
      </c>
      <c r="I30" s="15">
        <v>938.26</v>
      </c>
      <c r="J30" s="15">
        <v>155.4</v>
      </c>
      <c r="K30" s="15">
        <v>652.91</v>
      </c>
      <c r="L30" s="15">
        <v>1179.02</v>
      </c>
      <c r="M30" s="15">
        <v>1061.1179999999999</v>
      </c>
      <c r="N30" s="17">
        <v>1296.922</v>
      </c>
    </row>
    <row r="31" spans="1:14" x14ac:dyDescent="0.3">
      <c r="A31" s="16" t="s">
        <v>84</v>
      </c>
      <c r="B31" s="14" t="s">
        <v>2</v>
      </c>
      <c r="C31" s="15">
        <v>0</v>
      </c>
      <c r="D31" s="15">
        <v>32.21</v>
      </c>
      <c r="E31" s="15">
        <v>840.86</v>
      </c>
      <c r="F31" s="15">
        <v>963.09</v>
      </c>
      <c r="G31" s="15">
        <v>311.36</v>
      </c>
      <c r="H31" s="15">
        <v>998.34</v>
      </c>
      <c r="I31" s="15">
        <v>96.93</v>
      </c>
      <c r="J31" s="15">
        <v>356.16</v>
      </c>
      <c r="K31" s="15">
        <v>878.3</v>
      </c>
      <c r="L31" s="15">
        <v>1223.3699999999999</v>
      </c>
      <c r="M31" s="15">
        <v>1101.0329999999999</v>
      </c>
      <c r="N31" s="17">
        <v>1345.7069999999999</v>
      </c>
    </row>
    <row r="32" spans="1:14" x14ac:dyDescent="0.3">
      <c r="A32" s="16" t="s">
        <v>85</v>
      </c>
      <c r="B32" s="14" t="s">
        <v>2</v>
      </c>
      <c r="C32" s="15">
        <v>93.39</v>
      </c>
      <c r="D32" s="15">
        <v>558.25</v>
      </c>
      <c r="E32" s="15">
        <v>710.99</v>
      </c>
      <c r="F32" s="15">
        <v>676.37</v>
      </c>
      <c r="G32" s="15">
        <v>586.79999999999995</v>
      </c>
      <c r="H32" s="15">
        <v>524.52</v>
      </c>
      <c r="I32" s="15">
        <v>123.02</v>
      </c>
      <c r="J32" s="15">
        <v>928.05</v>
      </c>
      <c r="K32" s="15">
        <v>683.21</v>
      </c>
      <c r="L32" s="15">
        <v>367.56</v>
      </c>
      <c r="M32" s="15">
        <v>330.80400000000003</v>
      </c>
      <c r="N32" s="17">
        <v>404.31600000000003</v>
      </c>
    </row>
    <row r="33" spans="1:14" x14ac:dyDescent="0.3">
      <c r="A33" s="16" t="s">
        <v>86</v>
      </c>
      <c r="B33" s="14" t="s">
        <v>2</v>
      </c>
      <c r="C33" s="15">
        <v>110.2</v>
      </c>
      <c r="D33" s="15">
        <v>233.93</v>
      </c>
      <c r="E33" s="15">
        <v>329.81</v>
      </c>
      <c r="F33" s="15">
        <v>839.56</v>
      </c>
      <c r="G33" s="15">
        <v>440.52</v>
      </c>
      <c r="H33" s="15">
        <v>523.33000000000004</v>
      </c>
      <c r="I33" s="15">
        <v>548.71</v>
      </c>
      <c r="J33" s="15">
        <v>714.77</v>
      </c>
      <c r="K33" s="15">
        <v>708.48</v>
      </c>
      <c r="L33" s="15">
        <v>679.4</v>
      </c>
      <c r="M33" s="15">
        <v>611.46</v>
      </c>
      <c r="N33" s="17">
        <v>747.34</v>
      </c>
    </row>
    <row r="34" spans="1:14" x14ac:dyDescent="0.3">
      <c r="A34" s="16" t="s">
        <v>87</v>
      </c>
      <c r="B34" s="14" t="s">
        <v>2</v>
      </c>
      <c r="C34" s="15">
        <v>80.66</v>
      </c>
      <c r="D34" s="15">
        <v>323.22000000000003</v>
      </c>
      <c r="E34" s="15">
        <v>161.29</v>
      </c>
      <c r="F34" s="15">
        <v>270.56</v>
      </c>
      <c r="G34" s="15">
        <v>539.42999999999995</v>
      </c>
      <c r="H34" s="15">
        <v>704.19</v>
      </c>
      <c r="I34" s="15">
        <v>0</v>
      </c>
      <c r="J34" s="15">
        <v>950.39</v>
      </c>
      <c r="K34" s="15">
        <v>1000.52</v>
      </c>
      <c r="L34" s="15">
        <v>1028.21</v>
      </c>
      <c r="M34" s="15">
        <v>925.38900000000001</v>
      </c>
      <c r="N34" s="17">
        <v>1131.0310000000002</v>
      </c>
    </row>
    <row r="35" spans="1:14" x14ac:dyDescent="0.3">
      <c r="A35" s="16" t="s">
        <v>88</v>
      </c>
      <c r="B35" s="14" t="s">
        <v>2</v>
      </c>
      <c r="C35" s="15">
        <v>0</v>
      </c>
      <c r="D35" s="15">
        <v>62.53</v>
      </c>
      <c r="E35" s="15">
        <v>372.58</v>
      </c>
      <c r="F35" s="15">
        <v>828.6</v>
      </c>
      <c r="G35" s="15">
        <v>218.41</v>
      </c>
      <c r="H35" s="15">
        <v>1031.0999999999999</v>
      </c>
      <c r="I35" s="15">
        <v>218.83</v>
      </c>
      <c r="J35" s="15">
        <v>437.11</v>
      </c>
      <c r="K35" s="15">
        <v>778.91</v>
      </c>
      <c r="L35" s="15">
        <v>839.27</v>
      </c>
      <c r="M35" s="15">
        <v>755.34299999999996</v>
      </c>
      <c r="N35" s="17">
        <v>923.197</v>
      </c>
    </row>
    <row r="36" spans="1:14" x14ac:dyDescent="0.3">
      <c r="A36" s="16" t="s">
        <v>89</v>
      </c>
      <c r="B36" s="14" t="s">
        <v>3</v>
      </c>
      <c r="C36" s="15">
        <v>0</v>
      </c>
      <c r="D36" s="15">
        <v>99.51</v>
      </c>
      <c r="E36" s="15">
        <v>299.10000000000002</v>
      </c>
      <c r="F36" s="15">
        <v>628.75</v>
      </c>
      <c r="G36" s="15">
        <v>66.36</v>
      </c>
      <c r="H36" s="15">
        <v>1101.3599999999999</v>
      </c>
      <c r="I36" s="15">
        <v>303.48</v>
      </c>
      <c r="J36" s="15">
        <v>807.31</v>
      </c>
      <c r="K36" s="15">
        <v>669.2</v>
      </c>
      <c r="L36" s="15">
        <v>801.07</v>
      </c>
      <c r="M36" s="15">
        <v>720.96300000000008</v>
      </c>
      <c r="N36" s="17">
        <v>881.17700000000013</v>
      </c>
    </row>
    <row r="37" spans="1:14" x14ac:dyDescent="0.3">
      <c r="A37" s="16" t="s">
        <v>90</v>
      </c>
      <c r="B37" s="14" t="s">
        <v>3</v>
      </c>
      <c r="C37" s="15">
        <v>0</v>
      </c>
      <c r="D37" s="15">
        <v>0</v>
      </c>
      <c r="E37" s="15">
        <v>292.41000000000003</v>
      </c>
      <c r="F37" s="15">
        <v>259.85000000000002</v>
      </c>
      <c r="G37" s="15">
        <v>227.03</v>
      </c>
      <c r="H37" s="15">
        <v>485.32</v>
      </c>
      <c r="I37" s="15">
        <v>194.29</v>
      </c>
      <c r="J37" s="15">
        <v>324.10000000000002</v>
      </c>
      <c r="K37" s="15">
        <v>1124.82</v>
      </c>
      <c r="L37" s="15">
        <v>1349.72</v>
      </c>
      <c r="M37" s="15">
        <v>1214.748</v>
      </c>
      <c r="N37" s="17">
        <v>1484.6920000000002</v>
      </c>
    </row>
    <row r="38" spans="1:14" x14ac:dyDescent="0.3">
      <c r="A38" s="16" t="s">
        <v>91</v>
      </c>
      <c r="B38" s="14" t="s">
        <v>3</v>
      </c>
      <c r="C38" s="15">
        <v>125.48</v>
      </c>
      <c r="D38" s="15">
        <v>283.02999999999997</v>
      </c>
      <c r="E38" s="15">
        <v>714.56</v>
      </c>
      <c r="F38" s="15">
        <v>404.63</v>
      </c>
      <c r="G38" s="15">
        <v>543.66</v>
      </c>
      <c r="H38" s="15">
        <v>372.16</v>
      </c>
      <c r="I38" s="15">
        <v>123.83</v>
      </c>
      <c r="J38" s="15">
        <v>899.36</v>
      </c>
      <c r="K38" s="15">
        <v>526.75</v>
      </c>
      <c r="L38" s="15">
        <v>185.84</v>
      </c>
      <c r="M38" s="15">
        <v>167.256</v>
      </c>
      <c r="N38" s="17">
        <v>204.42400000000001</v>
      </c>
    </row>
    <row r="39" spans="1:14" x14ac:dyDescent="0.3">
      <c r="A39" s="16" t="s">
        <v>92</v>
      </c>
      <c r="B39" s="14" t="s">
        <v>3</v>
      </c>
      <c r="C39" s="15">
        <v>0</v>
      </c>
      <c r="D39" s="15">
        <v>190.42</v>
      </c>
      <c r="E39" s="15">
        <v>1171.23</v>
      </c>
      <c r="F39" s="15">
        <v>1006.77</v>
      </c>
      <c r="G39" s="15">
        <v>313.97000000000003</v>
      </c>
      <c r="H39" s="15">
        <v>0</v>
      </c>
      <c r="I39" s="15">
        <v>0</v>
      </c>
      <c r="J39" s="15">
        <v>157.41</v>
      </c>
      <c r="K39" s="15">
        <v>755.33</v>
      </c>
      <c r="L39" s="15">
        <v>317.27</v>
      </c>
      <c r="M39" s="15">
        <v>285.54300000000001</v>
      </c>
      <c r="N39" s="17">
        <v>348.99700000000001</v>
      </c>
    </row>
    <row r="40" spans="1:14" x14ac:dyDescent="0.3">
      <c r="A40" s="16" t="s">
        <v>93</v>
      </c>
      <c r="B40" s="14" t="s">
        <v>3</v>
      </c>
      <c r="C40" s="15">
        <v>34.159999999999997</v>
      </c>
      <c r="D40" s="15">
        <v>34.29</v>
      </c>
      <c r="E40" s="15">
        <v>68.87</v>
      </c>
      <c r="F40" s="15">
        <v>446.85</v>
      </c>
      <c r="G40" s="15">
        <v>620.82000000000005</v>
      </c>
      <c r="H40" s="15">
        <v>458.22</v>
      </c>
      <c r="I40" s="15">
        <v>350.37</v>
      </c>
      <c r="J40" s="15">
        <v>457.93</v>
      </c>
      <c r="K40" s="15">
        <v>771.58</v>
      </c>
      <c r="L40" s="15">
        <v>623.08000000000004</v>
      </c>
      <c r="M40" s="15">
        <v>560.77200000000005</v>
      </c>
      <c r="N40" s="17">
        <v>685.38800000000015</v>
      </c>
    </row>
    <row r="41" spans="1:14" x14ac:dyDescent="0.3">
      <c r="A41" s="16" t="s">
        <v>94</v>
      </c>
      <c r="B41" s="14" t="s">
        <v>3</v>
      </c>
      <c r="C41" s="15">
        <v>0</v>
      </c>
      <c r="D41" s="15">
        <v>563.85</v>
      </c>
      <c r="E41" s="15">
        <v>406.35</v>
      </c>
      <c r="F41" s="15">
        <v>774.91</v>
      </c>
      <c r="G41" s="15">
        <v>369.39</v>
      </c>
      <c r="H41" s="15">
        <v>443.39</v>
      </c>
      <c r="I41" s="15">
        <v>147.72</v>
      </c>
      <c r="J41" s="15">
        <v>481.15</v>
      </c>
      <c r="K41" s="15">
        <v>369.85</v>
      </c>
      <c r="L41" s="15">
        <v>222.09</v>
      </c>
      <c r="M41" s="15">
        <v>199.881</v>
      </c>
      <c r="N41" s="17">
        <v>244.29900000000004</v>
      </c>
    </row>
    <row r="42" spans="1:14" x14ac:dyDescent="0.3">
      <c r="A42" s="16" t="s">
        <v>95</v>
      </c>
      <c r="B42" s="14" t="s">
        <v>3</v>
      </c>
      <c r="C42" s="15">
        <v>33.130000000000003</v>
      </c>
      <c r="D42" s="15">
        <v>99.4</v>
      </c>
      <c r="E42" s="15">
        <v>547.78</v>
      </c>
      <c r="F42" s="15">
        <v>232.43</v>
      </c>
      <c r="G42" s="15">
        <v>133.27000000000001</v>
      </c>
      <c r="H42" s="15">
        <v>232.72</v>
      </c>
      <c r="I42" s="15">
        <v>545.98</v>
      </c>
      <c r="J42" s="15">
        <v>530.05999999999995</v>
      </c>
      <c r="K42" s="15">
        <v>726.83</v>
      </c>
      <c r="L42" s="15">
        <v>495.82</v>
      </c>
      <c r="M42" s="15">
        <v>446.238</v>
      </c>
      <c r="N42" s="17">
        <v>545.40200000000004</v>
      </c>
    </row>
    <row r="43" spans="1:14" x14ac:dyDescent="0.3">
      <c r="A43" s="16" t="s">
        <v>96</v>
      </c>
      <c r="B43" s="14" t="s">
        <v>3</v>
      </c>
      <c r="C43" s="15">
        <v>396.94</v>
      </c>
      <c r="D43" s="15">
        <v>132.75</v>
      </c>
      <c r="E43" s="15">
        <v>662.33</v>
      </c>
      <c r="F43" s="15">
        <v>0</v>
      </c>
      <c r="G43" s="15">
        <v>231.49</v>
      </c>
      <c r="H43" s="15">
        <v>397.96</v>
      </c>
      <c r="I43" s="15">
        <v>199</v>
      </c>
      <c r="J43" s="15">
        <v>464.3</v>
      </c>
      <c r="K43" s="15">
        <v>596.74</v>
      </c>
      <c r="L43" s="15">
        <v>297.77999999999997</v>
      </c>
      <c r="M43" s="15">
        <v>268.00200000000001</v>
      </c>
      <c r="N43" s="17">
        <v>327.55799999999999</v>
      </c>
    </row>
    <row r="44" spans="1:14" x14ac:dyDescent="0.3">
      <c r="A44" s="16" t="s">
        <v>97</v>
      </c>
      <c r="B44" s="14" t="s">
        <v>3</v>
      </c>
      <c r="C44" s="15">
        <v>94.46</v>
      </c>
      <c r="D44" s="15">
        <v>155.76</v>
      </c>
      <c r="E44" s="15">
        <v>280.77999999999997</v>
      </c>
      <c r="F44" s="15">
        <v>811.15</v>
      </c>
      <c r="G44" s="15">
        <v>626.72</v>
      </c>
      <c r="H44" s="15">
        <v>284.02</v>
      </c>
      <c r="I44" s="15">
        <v>0</v>
      </c>
      <c r="J44" s="15">
        <v>379.13</v>
      </c>
      <c r="K44" s="15">
        <v>380.22</v>
      </c>
      <c r="L44" s="15">
        <v>158.55000000000001</v>
      </c>
      <c r="M44" s="15">
        <v>142.69500000000002</v>
      </c>
      <c r="N44" s="17">
        <v>174.40500000000003</v>
      </c>
    </row>
    <row r="45" spans="1:14" x14ac:dyDescent="0.3">
      <c r="A45" s="16" t="s">
        <v>98</v>
      </c>
      <c r="B45" s="14" t="s">
        <v>3</v>
      </c>
      <c r="C45" s="15">
        <v>144.28</v>
      </c>
      <c r="D45" s="15">
        <v>182.28</v>
      </c>
      <c r="E45" s="15">
        <v>430.85</v>
      </c>
      <c r="F45" s="15">
        <v>433.17</v>
      </c>
      <c r="G45" s="15">
        <v>115.63</v>
      </c>
      <c r="H45" s="15">
        <v>779.76</v>
      </c>
      <c r="I45" s="15">
        <v>28.83</v>
      </c>
      <c r="J45" s="15">
        <v>431.83</v>
      </c>
      <c r="K45" s="15">
        <v>0</v>
      </c>
      <c r="L45" s="15">
        <v>433.4</v>
      </c>
      <c r="M45" s="15">
        <v>390.06</v>
      </c>
      <c r="N45" s="17">
        <v>476.74</v>
      </c>
    </row>
    <row r="46" spans="1:14" x14ac:dyDescent="0.3">
      <c r="A46" s="16" t="s">
        <v>99</v>
      </c>
      <c r="B46" s="14" t="s">
        <v>3</v>
      </c>
      <c r="C46" s="15">
        <v>341.6</v>
      </c>
      <c r="D46" s="15">
        <v>102.74</v>
      </c>
      <c r="E46" s="15">
        <v>478.91</v>
      </c>
      <c r="F46" s="15">
        <v>68.28</v>
      </c>
      <c r="G46" s="15">
        <v>240.22</v>
      </c>
      <c r="H46" s="15">
        <v>274.42</v>
      </c>
      <c r="I46" s="15">
        <v>171.46</v>
      </c>
      <c r="J46" s="15">
        <v>719.79</v>
      </c>
      <c r="K46" s="15">
        <v>170.05</v>
      </c>
      <c r="L46" s="15">
        <v>407.31</v>
      </c>
      <c r="M46" s="15">
        <v>366.57900000000001</v>
      </c>
      <c r="N46" s="17">
        <v>448.04100000000005</v>
      </c>
    </row>
    <row r="47" spans="1:14" x14ac:dyDescent="0.3">
      <c r="A47" s="16" t="s">
        <v>100</v>
      </c>
      <c r="B47" s="14" t="s">
        <v>3</v>
      </c>
      <c r="C47" s="15">
        <v>0</v>
      </c>
      <c r="D47" s="15">
        <v>130.83000000000001</v>
      </c>
      <c r="E47" s="15">
        <v>163.26</v>
      </c>
      <c r="F47" s="15">
        <v>779.75</v>
      </c>
      <c r="G47" s="15">
        <v>516.21</v>
      </c>
      <c r="H47" s="15">
        <v>258.08</v>
      </c>
      <c r="I47" s="15">
        <v>161.43</v>
      </c>
      <c r="J47" s="15">
        <v>194.44</v>
      </c>
      <c r="K47" s="15">
        <v>259.24</v>
      </c>
      <c r="L47" s="15">
        <v>323.56</v>
      </c>
      <c r="M47" s="15">
        <v>291.20400000000001</v>
      </c>
      <c r="N47" s="17">
        <v>355.91600000000005</v>
      </c>
    </row>
    <row r="48" spans="1:14" x14ac:dyDescent="0.3">
      <c r="A48" s="16" t="s">
        <v>101</v>
      </c>
      <c r="B48" s="14" t="s">
        <v>3</v>
      </c>
      <c r="C48" s="15">
        <v>198.77</v>
      </c>
      <c r="D48" s="15">
        <v>265.26</v>
      </c>
      <c r="E48" s="15">
        <v>231.68</v>
      </c>
      <c r="F48" s="15">
        <v>99.21</v>
      </c>
      <c r="G48" s="15">
        <v>298.36</v>
      </c>
      <c r="H48" s="15">
        <v>232.42</v>
      </c>
      <c r="I48" s="15">
        <v>66.19</v>
      </c>
      <c r="J48" s="15">
        <v>364.71</v>
      </c>
      <c r="K48" s="15">
        <v>432.49</v>
      </c>
      <c r="L48" s="15">
        <v>499.82</v>
      </c>
      <c r="M48" s="15">
        <v>449.83800000000002</v>
      </c>
      <c r="N48" s="17">
        <v>549.80200000000002</v>
      </c>
    </row>
    <row r="49" spans="1:14" x14ac:dyDescent="0.3">
      <c r="A49" s="16" t="s">
        <v>102</v>
      </c>
      <c r="B49" s="14" t="s">
        <v>3</v>
      </c>
      <c r="C49" s="15">
        <v>28.65</v>
      </c>
      <c r="D49" s="15">
        <v>114.79</v>
      </c>
      <c r="E49" s="15">
        <v>228.76</v>
      </c>
      <c r="F49" s="15">
        <v>257.52999999999997</v>
      </c>
      <c r="G49" s="15">
        <v>509.26</v>
      </c>
      <c r="H49" s="15">
        <v>203.5</v>
      </c>
      <c r="I49" s="15">
        <v>28.64</v>
      </c>
      <c r="J49" s="15">
        <v>202.15</v>
      </c>
      <c r="K49" s="15">
        <v>794.54</v>
      </c>
      <c r="L49" s="15">
        <v>191.26</v>
      </c>
      <c r="M49" s="15">
        <v>172.13399999999999</v>
      </c>
      <c r="N49" s="17">
        <v>210.386</v>
      </c>
    </row>
    <row r="50" spans="1:14" x14ac:dyDescent="0.3">
      <c r="A50" s="16" t="s">
        <v>103</v>
      </c>
      <c r="B50" s="14" t="s">
        <v>3</v>
      </c>
      <c r="C50" s="15">
        <v>0</v>
      </c>
      <c r="D50" s="15">
        <v>98.15</v>
      </c>
      <c r="E50" s="15">
        <v>195.99</v>
      </c>
      <c r="F50" s="15">
        <v>390.4</v>
      </c>
      <c r="G50" s="15">
        <v>195.53</v>
      </c>
      <c r="H50" s="15">
        <v>260.25</v>
      </c>
      <c r="I50" s="15">
        <v>32.520000000000003</v>
      </c>
      <c r="J50" s="15">
        <v>422.26</v>
      </c>
      <c r="K50" s="15">
        <v>615.39</v>
      </c>
      <c r="L50" s="15">
        <v>340.41</v>
      </c>
      <c r="M50" s="15">
        <v>306.36900000000003</v>
      </c>
      <c r="N50" s="17">
        <v>374.45100000000008</v>
      </c>
    </row>
    <row r="51" spans="1:14" x14ac:dyDescent="0.3">
      <c r="A51" s="16" t="s">
        <v>104</v>
      </c>
      <c r="B51" s="14" t="s">
        <v>3</v>
      </c>
      <c r="C51" s="15">
        <v>0</v>
      </c>
      <c r="D51" s="15">
        <v>68.069999999999993</v>
      </c>
      <c r="E51" s="15">
        <v>135.66999999999999</v>
      </c>
      <c r="F51" s="15">
        <v>169.63</v>
      </c>
      <c r="G51" s="15">
        <v>169.19</v>
      </c>
      <c r="H51" s="15">
        <v>609.94000000000005</v>
      </c>
      <c r="I51" s="15">
        <v>236.78</v>
      </c>
      <c r="J51" s="15">
        <v>374.27</v>
      </c>
      <c r="K51" s="15">
        <v>373.87</v>
      </c>
      <c r="L51" s="15">
        <v>407.7</v>
      </c>
      <c r="M51" s="15">
        <v>366.93</v>
      </c>
      <c r="N51" s="17">
        <v>448.47</v>
      </c>
    </row>
    <row r="52" spans="1:14" x14ac:dyDescent="0.3">
      <c r="A52" s="16" t="s">
        <v>105</v>
      </c>
      <c r="B52" s="14" t="s">
        <v>3</v>
      </c>
      <c r="C52" s="15">
        <v>0</v>
      </c>
      <c r="D52" s="15">
        <v>66.17</v>
      </c>
      <c r="E52" s="15">
        <v>132.06</v>
      </c>
      <c r="F52" s="15">
        <v>0</v>
      </c>
      <c r="G52" s="15">
        <v>165.05</v>
      </c>
      <c r="H52" s="15">
        <v>330.62</v>
      </c>
      <c r="I52" s="15">
        <v>430.54</v>
      </c>
      <c r="J52" s="15">
        <v>431.1</v>
      </c>
      <c r="K52" s="15">
        <v>528.33000000000004</v>
      </c>
      <c r="L52" s="15">
        <v>460.25</v>
      </c>
      <c r="M52" s="15">
        <v>414.22500000000002</v>
      </c>
      <c r="N52" s="17">
        <v>506.27500000000003</v>
      </c>
    </row>
    <row r="53" spans="1:14" x14ac:dyDescent="0.3">
      <c r="A53" s="16" t="s">
        <v>106</v>
      </c>
      <c r="B53" s="14" t="s">
        <v>3</v>
      </c>
      <c r="C53" s="15">
        <v>335.69</v>
      </c>
      <c r="D53" s="15">
        <v>1308.83</v>
      </c>
      <c r="E53" s="15">
        <v>35.46</v>
      </c>
      <c r="F53" s="15">
        <v>35.49</v>
      </c>
      <c r="G53" s="15">
        <v>212.79</v>
      </c>
      <c r="H53" s="15">
        <v>530.85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7">
        <v>0</v>
      </c>
    </row>
    <row r="54" spans="1:14" x14ac:dyDescent="0.3">
      <c r="A54" s="16" t="s">
        <v>107</v>
      </c>
      <c r="B54" s="14" t="s">
        <v>3</v>
      </c>
      <c r="C54" s="15">
        <v>0</v>
      </c>
      <c r="D54" s="15">
        <v>239.15</v>
      </c>
      <c r="E54" s="15">
        <v>448.07</v>
      </c>
      <c r="F54" s="15">
        <v>408.73</v>
      </c>
      <c r="G54" s="15">
        <v>328.51</v>
      </c>
      <c r="H54" s="15">
        <v>148.65</v>
      </c>
      <c r="I54" s="15">
        <v>59.07</v>
      </c>
      <c r="J54" s="15">
        <v>334.46</v>
      </c>
      <c r="K54" s="15">
        <v>469.89</v>
      </c>
      <c r="L54" s="15">
        <v>0</v>
      </c>
      <c r="M54" s="15">
        <v>0</v>
      </c>
      <c r="N54" s="17">
        <v>0</v>
      </c>
    </row>
    <row r="55" spans="1:14" x14ac:dyDescent="0.3">
      <c r="A55" s="16" t="s">
        <v>108</v>
      </c>
      <c r="B55" s="14" t="s">
        <v>3</v>
      </c>
      <c r="C55" s="15">
        <v>0</v>
      </c>
      <c r="D55" s="15">
        <v>165.66</v>
      </c>
      <c r="E55" s="15">
        <v>277.58</v>
      </c>
      <c r="F55" s="15">
        <v>415.84</v>
      </c>
      <c r="G55" s="15">
        <v>165.15</v>
      </c>
      <c r="H55" s="15">
        <v>194.41</v>
      </c>
      <c r="I55" s="15">
        <v>304.68</v>
      </c>
      <c r="J55" s="15">
        <v>140.22</v>
      </c>
      <c r="K55" s="15">
        <v>421.22</v>
      </c>
      <c r="L55" s="15">
        <v>335.28</v>
      </c>
      <c r="M55" s="15">
        <v>301.75200000000001</v>
      </c>
      <c r="N55" s="17">
        <v>368.80799999999999</v>
      </c>
    </row>
    <row r="56" spans="1:14" x14ac:dyDescent="0.3">
      <c r="A56" s="16" t="s">
        <v>109</v>
      </c>
      <c r="B56" s="14" t="s">
        <v>3</v>
      </c>
      <c r="C56" s="15">
        <v>0</v>
      </c>
      <c r="D56" s="15">
        <v>0</v>
      </c>
      <c r="E56" s="15">
        <v>334.47</v>
      </c>
      <c r="F56" s="15">
        <v>405.16</v>
      </c>
      <c r="G56" s="15">
        <v>236.47</v>
      </c>
      <c r="H56" s="15">
        <v>236.38</v>
      </c>
      <c r="I56" s="15">
        <v>168.47</v>
      </c>
      <c r="J56" s="15">
        <v>370.45</v>
      </c>
      <c r="K56" s="15">
        <v>123.44</v>
      </c>
      <c r="L56" s="15">
        <v>302.95</v>
      </c>
      <c r="M56" s="15">
        <v>272.65499999999997</v>
      </c>
      <c r="N56" s="17">
        <v>333.245</v>
      </c>
    </row>
    <row r="57" spans="1:14" x14ac:dyDescent="0.3">
      <c r="A57" s="16" t="s">
        <v>110</v>
      </c>
      <c r="B57" s="14" t="s">
        <v>3</v>
      </c>
      <c r="C57" s="15">
        <v>112.76</v>
      </c>
      <c r="D57" s="15">
        <v>276.02999999999997</v>
      </c>
      <c r="E57" s="15">
        <v>451.2</v>
      </c>
      <c r="F57" s="15">
        <v>263.87</v>
      </c>
      <c r="G57" s="15">
        <v>112.94</v>
      </c>
      <c r="H57" s="15">
        <v>113.21</v>
      </c>
      <c r="I57" s="15">
        <v>151.41999999999999</v>
      </c>
      <c r="J57" s="15">
        <v>188.9</v>
      </c>
      <c r="K57" s="15">
        <v>264.42</v>
      </c>
      <c r="L57" s="15">
        <v>226.15</v>
      </c>
      <c r="M57" s="15">
        <v>203.535</v>
      </c>
      <c r="N57" s="17">
        <v>248.76500000000001</v>
      </c>
    </row>
    <row r="58" spans="1:14" x14ac:dyDescent="0.3">
      <c r="A58" s="16" t="s">
        <v>111</v>
      </c>
      <c r="B58" s="14" t="s">
        <v>3</v>
      </c>
      <c r="C58" s="15">
        <v>176.43</v>
      </c>
      <c r="D58" s="15">
        <v>282.24</v>
      </c>
      <c r="E58" s="15">
        <v>211.82</v>
      </c>
      <c r="F58" s="15">
        <v>139.54</v>
      </c>
      <c r="G58" s="15">
        <v>0</v>
      </c>
      <c r="H58" s="15">
        <v>263.88</v>
      </c>
      <c r="I58" s="15">
        <v>175.33</v>
      </c>
      <c r="J58" s="15">
        <v>245.9</v>
      </c>
      <c r="K58" s="15">
        <v>450.53</v>
      </c>
      <c r="L58" s="15">
        <v>132.69</v>
      </c>
      <c r="M58" s="15">
        <v>119.42100000000001</v>
      </c>
      <c r="N58" s="17">
        <v>145.959</v>
      </c>
    </row>
    <row r="59" spans="1:14" x14ac:dyDescent="0.3">
      <c r="A59" s="16" t="s">
        <v>112</v>
      </c>
      <c r="B59" s="14" t="s">
        <v>3</v>
      </c>
      <c r="C59" s="15">
        <v>204.06</v>
      </c>
      <c r="D59" s="15">
        <v>202.56</v>
      </c>
      <c r="E59" s="15">
        <v>86.8</v>
      </c>
      <c r="F59" s="15">
        <v>291.73</v>
      </c>
      <c r="G59" s="15">
        <v>252.56</v>
      </c>
      <c r="H59" s="15">
        <v>467.23</v>
      </c>
      <c r="I59" s="15">
        <v>146.08000000000001</v>
      </c>
      <c r="J59" s="15">
        <v>331.43</v>
      </c>
      <c r="K59" s="15">
        <v>87.18</v>
      </c>
      <c r="L59" s="15">
        <v>0</v>
      </c>
      <c r="M59" s="15">
        <v>0</v>
      </c>
      <c r="N59" s="17">
        <v>0</v>
      </c>
    </row>
    <row r="60" spans="1:14" x14ac:dyDescent="0.3">
      <c r="A60" s="16" t="s">
        <v>113</v>
      </c>
      <c r="B60" s="14" t="s">
        <v>3</v>
      </c>
      <c r="C60" s="15">
        <v>0</v>
      </c>
      <c r="D60" s="15">
        <v>0</v>
      </c>
      <c r="E60" s="15">
        <v>60.2</v>
      </c>
      <c r="F60" s="15">
        <v>479.12</v>
      </c>
      <c r="G60" s="15">
        <v>119.83</v>
      </c>
      <c r="H60" s="15">
        <v>359.87</v>
      </c>
      <c r="I60" s="15">
        <v>29.98</v>
      </c>
      <c r="J60" s="15">
        <v>360.04</v>
      </c>
      <c r="K60" s="15">
        <v>450</v>
      </c>
      <c r="L60" s="15">
        <v>119.04</v>
      </c>
      <c r="M60" s="15">
        <v>107.13600000000001</v>
      </c>
      <c r="N60" s="17">
        <v>130.94400000000002</v>
      </c>
    </row>
    <row r="61" spans="1:14" x14ac:dyDescent="0.3">
      <c r="A61" s="16" t="s">
        <v>114</v>
      </c>
      <c r="B61" s="14" t="s">
        <v>3</v>
      </c>
      <c r="C61" s="15">
        <v>135.91</v>
      </c>
      <c r="D61" s="15">
        <v>67.989999999999995</v>
      </c>
      <c r="E61" s="15">
        <v>135.84</v>
      </c>
      <c r="F61" s="15">
        <v>271.24</v>
      </c>
      <c r="G61" s="15">
        <v>67.739999999999995</v>
      </c>
      <c r="H61" s="15">
        <v>506.54</v>
      </c>
      <c r="I61" s="15">
        <v>100.84</v>
      </c>
      <c r="J61" s="15">
        <v>67.209999999999994</v>
      </c>
      <c r="K61" s="15">
        <v>303.04000000000002</v>
      </c>
      <c r="L61" s="15">
        <v>268.98</v>
      </c>
      <c r="M61" s="15">
        <v>242.08200000000002</v>
      </c>
      <c r="N61" s="17">
        <v>295.87800000000004</v>
      </c>
    </row>
    <row r="62" spans="1:14" x14ac:dyDescent="0.3">
      <c r="A62" s="16" t="s">
        <v>115</v>
      </c>
      <c r="B62" s="14" t="s">
        <v>3</v>
      </c>
      <c r="C62" s="15">
        <v>362.56</v>
      </c>
      <c r="D62" s="15">
        <v>181.9</v>
      </c>
      <c r="E62" s="15">
        <v>72.83</v>
      </c>
      <c r="F62" s="15">
        <v>363.3</v>
      </c>
      <c r="G62" s="15">
        <v>0</v>
      </c>
      <c r="H62" s="15">
        <v>145.58000000000001</v>
      </c>
      <c r="I62" s="15">
        <v>109.22</v>
      </c>
      <c r="J62" s="15">
        <v>109.3</v>
      </c>
      <c r="K62" s="15">
        <v>109.04</v>
      </c>
      <c r="L62" s="15">
        <v>436.1</v>
      </c>
      <c r="M62" s="15">
        <v>392.49</v>
      </c>
      <c r="N62" s="17">
        <v>479.71000000000004</v>
      </c>
    </row>
    <row r="63" spans="1:14" x14ac:dyDescent="0.3">
      <c r="A63" s="16" t="s">
        <v>116</v>
      </c>
      <c r="B63" s="14" t="s">
        <v>3</v>
      </c>
      <c r="C63" s="15">
        <v>0</v>
      </c>
      <c r="D63" s="15">
        <v>58.3</v>
      </c>
      <c r="E63" s="15">
        <v>117.2</v>
      </c>
      <c r="F63" s="15">
        <v>277.89</v>
      </c>
      <c r="G63" s="15">
        <v>116.58</v>
      </c>
      <c r="H63" s="15">
        <v>58.46</v>
      </c>
      <c r="I63" s="15">
        <v>290.99</v>
      </c>
      <c r="J63" s="15">
        <v>398.7</v>
      </c>
      <c r="K63" s="15">
        <v>88.21</v>
      </c>
      <c r="L63" s="15">
        <v>469.95</v>
      </c>
      <c r="M63" s="15">
        <v>422.95499999999998</v>
      </c>
      <c r="N63" s="17">
        <v>516.94500000000005</v>
      </c>
    </row>
    <row r="64" spans="1:14" x14ac:dyDescent="0.3">
      <c r="A64" s="16" t="s">
        <v>117</v>
      </c>
      <c r="B64" s="14" t="s">
        <v>3</v>
      </c>
      <c r="C64" s="15">
        <v>71</v>
      </c>
      <c r="D64" s="15">
        <v>212.3</v>
      </c>
      <c r="E64" s="15">
        <v>70.599999999999994</v>
      </c>
      <c r="F64" s="15">
        <v>283.72000000000003</v>
      </c>
      <c r="G64" s="15">
        <v>388.8</v>
      </c>
      <c r="H64" s="15">
        <v>0</v>
      </c>
      <c r="I64" s="15">
        <v>283.93</v>
      </c>
      <c r="J64" s="15">
        <v>142.33000000000001</v>
      </c>
      <c r="K64" s="15">
        <v>284.89</v>
      </c>
      <c r="L64" s="15">
        <v>70.86</v>
      </c>
      <c r="M64" s="15">
        <v>63.774000000000001</v>
      </c>
      <c r="N64" s="17">
        <v>77.946000000000012</v>
      </c>
    </row>
    <row r="65" spans="1:14" x14ac:dyDescent="0.3">
      <c r="A65" s="16" t="s">
        <v>118</v>
      </c>
      <c r="B65" s="14" t="s">
        <v>3</v>
      </c>
      <c r="C65" s="15">
        <v>0</v>
      </c>
      <c r="D65" s="15">
        <v>0</v>
      </c>
      <c r="E65" s="15">
        <v>370.83</v>
      </c>
      <c r="F65" s="15">
        <v>220</v>
      </c>
      <c r="G65" s="15">
        <v>0</v>
      </c>
      <c r="H65" s="15">
        <v>586.89</v>
      </c>
      <c r="I65" s="15">
        <v>184.8</v>
      </c>
      <c r="J65" s="15">
        <v>0</v>
      </c>
      <c r="K65" s="15">
        <v>222.1</v>
      </c>
      <c r="L65" s="15">
        <v>110.54</v>
      </c>
      <c r="M65" s="15">
        <v>99.486000000000004</v>
      </c>
      <c r="N65" s="17">
        <v>121.59400000000002</v>
      </c>
    </row>
    <row r="66" spans="1:14" x14ac:dyDescent="0.3">
      <c r="A66" s="16" t="s">
        <v>119</v>
      </c>
      <c r="B66" s="14" t="s">
        <v>3</v>
      </c>
      <c r="C66" s="15">
        <v>0</v>
      </c>
      <c r="D66" s="15">
        <v>161.55000000000001</v>
      </c>
      <c r="E66" s="15">
        <v>96.79</v>
      </c>
      <c r="F66" s="15">
        <v>0</v>
      </c>
      <c r="G66" s="15">
        <v>485.07</v>
      </c>
      <c r="H66" s="15">
        <v>163.05000000000001</v>
      </c>
      <c r="I66" s="15">
        <v>163.35</v>
      </c>
      <c r="J66" s="15">
        <v>131.29</v>
      </c>
      <c r="K66" s="15">
        <v>196.78</v>
      </c>
      <c r="L66" s="15">
        <v>295.32</v>
      </c>
      <c r="M66" s="15">
        <v>265.78800000000001</v>
      </c>
      <c r="N66" s="17">
        <v>324.85200000000003</v>
      </c>
    </row>
    <row r="67" spans="1:14" x14ac:dyDescent="0.3">
      <c r="A67" s="16" t="s">
        <v>120</v>
      </c>
      <c r="B67" s="14" t="s">
        <v>3</v>
      </c>
      <c r="C67" s="15">
        <v>36.56</v>
      </c>
      <c r="D67" s="15">
        <v>181.85</v>
      </c>
      <c r="E67" s="15">
        <v>109.44</v>
      </c>
      <c r="F67" s="15">
        <v>182.65</v>
      </c>
      <c r="G67" s="15">
        <v>73.430000000000007</v>
      </c>
      <c r="H67" s="15">
        <v>183.13</v>
      </c>
      <c r="I67" s="15">
        <v>293.3</v>
      </c>
      <c r="J67" s="15">
        <v>256.06</v>
      </c>
      <c r="K67" s="15">
        <v>182.74</v>
      </c>
      <c r="L67" s="15">
        <v>183.26</v>
      </c>
      <c r="M67" s="15">
        <v>164.934</v>
      </c>
      <c r="N67" s="17">
        <v>201.58600000000001</v>
      </c>
    </row>
    <row r="68" spans="1:14" x14ac:dyDescent="0.3">
      <c r="A68" s="16" t="s">
        <v>121</v>
      </c>
      <c r="B68" s="14" t="s">
        <v>3</v>
      </c>
      <c r="C68" s="15">
        <v>0</v>
      </c>
      <c r="D68" s="15">
        <v>120.98</v>
      </c>
      <c r="E68" s="15">
        <v>30.19</v>
      </c>
      <c r="F68" s="15">
        <v>151.47999999999999</v>
      </c>
      <c r="G68" s="15">
        <v>241.48</v>
      </c>
      <c r="H68" s="15">
        <v>271.25</v>
      </c>
      <c r="I68" s="15">
        <v>151.53</v>
      </c>
      <c r="J68" s="15">
        <v>484.86</v>
      </c>
      <c r="K68" s="15">
        <v>120.65</v>
      </c>
      <c r="L68" s="15">
        <v>60.26</v>
      </c>
      <c r="M68" s="15">
        <v>54.234000000000002</v>
      </c>
      <c r="N68" s="17">
        <v>66.286000000000001</v>
      </c>
    </row>
    <row r="69" spans="1:14" x14ac:dyDescent="0.3">
      <c r="A69" s="16" t="s">
        <v>122</v>
      </c>
      <c r="B69" s="14" t="s">
        <v>3</v>
      </c>
      <c r="C69" s="15">
        <v>0</v>
      </c>
      <c r="D69" s="15">
        <v>0</v>
      </c>
      <c r="E69" s="15">
        <v>0</v>
      </c>
      <c r="F69" s="15">
        <v>570.4</v>
      </c>
      <c r="G69" s="15">
        <v>684.3</v>
      </c>
      <c r="H69" s="15">
        <v>245.64</v>
      </c>
      <c r="I69" s="15">
        <v>0</v>
      </c>
      <c r="J69" s="15">
        <v>0</v>
      </c>
      <c r="K69" s="15">
        <v>0</v>
      </c>
      <c r="L69" s="15">
        <v>123.41</v>
      </c>
      <c r="M69" s="15">
        <v>111.069</v>
      </c>
      <c r="N69" s="17">
        <v>135.751</v>
      </c>
    </row>
    <row r="70" spans="1:14" x14ac:dyDescent="0.3">
      <c r="A70" s="16" t="s">
        <v>123</v>
      </c>
      <c r="B70" s="14" t="s">
        <v>3</v>
      </c>
      <c r="C70" s="15">
        <v>508.3</v>
      </c>
      <c r="D70" s="15">
        <v>847.19</v>
      </c>
      <c r="E70" s="15">
        <v>0</v>
      </c>
      <c r="F70" s="15">
        <v>0</v>
      </c>
      <c r="G70" s="15">
        <v>169.41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7">
        <v>0</v>
      </c>
    </row>
    <row r="71" spans="1:14" x14ac:dyDescent="0.3">
      <c r="A71" s="16" t="s">
        <v>124</v>
      </c>
      <c r="B71" s="14" t="s">
        <v>3</v>
      </c>
      <c r="C71" s="15">
        <v>0</v>
      </c>
      <c r="D71" s="15">
        <v>0</v>
      </c>
      <c r="E71" s="15">
        <v>146.05000000000001</v>
      </c>
      <c r="F71" s="15">
        <v>121.84</v>
      </c>
      <c r="G71" s="15">
        <v>182.27</v>
      </c>
      <c r="H71" s="15">
        <v>109.23</v>
      </c>
      <c r="I71" s="15">
        <v>183.16</v>
      </c>
      <c r="J71" s="15">
        <v>146.54</v>
      </c>
      <c r="K71" s="15">
        <v>267.89999999999998</v>
      </c>
      <c r="L71" s="15">
        <v>363.89</v>
      </c>
      <c r="M71" s="15">
        <v>327.50099999999998</v>
      </c>
      <c r="N71" s="17">
        <v>400.279</v>
      </c>
    </row>
    <row r="72" spans="1:14" x14ac:dyDescent="0.3">
      <c r="A72" s="16" t="s">
        <v>125</v>
      </c>
      <c r="B72" s="14" t="s">
        <v>3</v>
      </c>
      <c r="C72" s="15">
        <v>424.32</v>
      </c>
      <c r="D72" s="15">
        <v>0</v>
      </c>
      <c r="E72" s="15">
        <v>280.43</v>
      </c>
      <c r="F72" s="15">
        <v>168.35</v>
      </c>
      <c r="G72" s="15">
        <v>0</v>
      </c>
      <c r="H72" s="15">
        <v>0</v>
      </c>
      <c r="I72" s="15">
        <v>122.41</v>
      </c>
      <c r="J72" s="15">
        <v>56.3</v>
      </c>
      <c r="K72" s="15">
        <v>392.33</v>
      </c>
      <c r="L72" s="15">
        <v>0</v>
      </c>
      <c r="M72" s="15">
        <v>0</v>
      </c>
      <c r="N72" s="17">
        <v>0</v>
      </c>
    </row>
    <row r="73" spans="1:14" x14ac:dyDescent="0.3">
      <c r="A73" s="16" t="s">
        <v>126</v>
      </c>
      <c r="B73" s="14" t="s">
        <v>3</v>
      </c>
      <c r="C73" s="15">
        <v>534.27</v>
      </c>
      <c r="D73" s="15">
        <v>417.44</v>
      </c>
      <c r="E73" s="15">
        <v>0</v>
      </c>
      <c r="F73" s="15">
        <v>277.01</v>
      </c>
      <c r="G73" s="15">
        <v>0</v>
      </c>
      <c r="H73" s="15">
        <v>0</v>
      </c>
      <c r="I73" s="15">
        <v>0</v>
      </c>
      <c r="J73" s="15">
        <v>0</v>
      </c>
      <c r="K73" s="15">
        <v>138.85</v>
      </c>
      <c r="L73" s="15">
        <v>69.45</v>
      </c>
      <c r="M73" s="15">
        <v>62.505000000000003</v>
      </c>
      <c r="N73" s="17">
        <v>76.39500000000001</v>
      </c>
    </row>
    <row r="74" spans="1:14" x14ac:dyDescent="0.3">
      <c r="A74" s="16" t="s">
        <v>127</v>
      </c>
      <c r="B74" s="14" t="s">
        <v>3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332.15</v>
      </c>
      <c r="K74" s="15">
        <v>491.26</v>
      </c>
      <c r="L74" s="15">
        <v>591.02</v>
      </c>
      <c r="M74" s="15">
        <v>531.91800000000001</v>
      </c>
      <c r="N74" s="17">
        <v>650.12200000000007</v>
      </c>
    </row>
    <row r="75" spans="1:14" x14ac:dyDescent="0.3">
      <c r="A75" s="16" t="s">
        <v>128</v>
      </c>
      <c r="B75" s="14" t="s">
        <v>3</v>
      </c>
      <c r="C75" s="15">
        <v>0</v>
      </c>
      <c r="D75" s="15">
        <v>137.96</v>
      </c>
      <c r="E75" s="15">
        <v>0</v>
      </c>
      <c r="F75" s="15">
        <v>353.99</v>
      </c>
      <c r="G75" s="15">
        <v>272.77</v>
      </c>
      <c r="H75" s="15">
        <v>136.63</v>
      </c>
      <c r="I75" s="15">
        <v>102.49</v>
      </c>
      <c r="J75" s="15">
        <v>0</v>
      </c>
      <c r="K75" s="15">
        <v>136.58000000000001</v>
      </c>
      <c r="L75" s="15">
        <v>272.87</v>
      </c>
      <c r="M75" s="15">
        <v>245.583</v>
      </c>
      <c r="N75" s="17">
        <v>300.15700000000004</v>
      </c>
    </row>
    <row r="76" spans="1:14" x14ac:dyDescent="0.3">
      <c r="A76" s="16" t="s">
        <v>129</v>
      </c>
      <c r="B76" s="14" t="s">
        <v>3</v>
      </c>
      <c r="C76" s="15">
        <v>143.24</v>
      </c>
      <c r="D76" s="15">
        <v>107.19</v>
      </c>
      <c r="E76" s="15">
        <v>177.48</v>
      </c>
      <c r="F76" s="15">
        <v>35.71</v>
      </c>
      <c r="G76" s="15">
        <v>107.11</v>
      </c>
      <c r="H76" s="15">
        <v>249.24</v>
      </c>
      <c r="I76" s="15">
        <v>250.33</v>
      </c>
      <c r="J76" s="15">
        <v>141.96</v>
      </c>
      <c r="K76" s="15">
        <v>70.64</v>
      </c>
      <c r="L76" s="15">
        <v>106.06</v>
      </c>
      <c r="M76" s="15">
        <v>95.454000000000008</v>
      </c>
      <c r="N76" s="17">
        <v>116.66600000000001</v>
      </c>
    </row>
    <row r="77" spans="1:14" x14ac:dyDescent="0.3">
      <c r="A77" s="16" t="s">
        <v>130</v>
      </c>
      <c r="B77" s="14" t="s">
        <v>3</v>
      </c>
      <c r="C77" s="15">
        <v>0</v>
      </c>
      <c r="D77" s="15">
        <v>0</v>
      </c>
      <c r="E77" s="15">
        <v>0</v>
      </c>
      <c r="F77" s="15">
        <v>0</v>
      </c>
      <c r="G77" s="15">
        <v>131.85</v>
      </c>
      <c r="H77" s="15">
        <v>0</v>
      </c>
      <c r="I77" s="15">
        <v>0</v>
      </c>
      <c r="J77" s="15">
        <v>495.26</v>
      </c>
      <c r="K77" s="15">
        <v>650.11</v>
      </c>
      <c r="L77" s="15">
        <v>98.77</v>
      </c>
      <c r="M77" s="15">
        <v>88.893000000000001</v>
      </c>
      <c r="N77" s="17">
        <v>108.64700000000001</v>
      </c>
    </row>
    <row r="78" spans="1:14" x14ac:dyDescent="0.3">
      <c r="A78" s="16" t="s">
        <v>131</v>
      </c>
      <c r="B78" s="14" t="s">
        <v>3</v>
      </c>
      <c r="C78" s="15">
        <v>0</v>
      </c>
      <c r="D78" s="15">
        <v>67.86</v>
      </c>
      <c r="E78" s="15">
        <v>271.25</v>
      </c>
      <c r="F78" s="15">
        <v>67.8</v>
      </c>
      <c r="G78" s="15">
        <v>0</v>
      </c>
      <c r="H78" s="15">
        <v>167.58</v>
      </c>
      <c r="I78" s="15">
        <v>33.36</v>
      </c>
      <c r="J78" s="15">
        <v>366.61</v>
      </c>
      <c r="K78" s="15">
        <v>33.35</v>
      </c>
      <c r="L78" s="15">
        <v>366.71</v>
      </c>
      <c r="M78" s="15">
        <v>330.03899999999999</v>
      </c>
      <c r="N78" s="17">
        <v>403.38100000000003</v>
      </c>
    </row>
    <row r="79" spans="1:14" x14ac:dyDescent="0.3">
      <c r="A79" s="16" t="s">
        <v>132</v>
      </c>
      <c r="B79" s="14" t="s">
        <v>3</v>
      </c>
      <c r="C79" s="15">
        <v>0</v>
      </c>
      <c r="D79" s="15">
        <v>0</v>
      </c>
      <c r="E79" s="15">
        <v>0</v>
      </c>
      <c r="F79" s="15">
        <v>72.319999999999993</v>
      </c>
      <c r="G79" s="15">
        <v>325.57</v>
      </c>
      <c r="H79" s="15">
        <v>0</v>
      </c>
      <c r="I79" s="15">
        <v>0</v>
      </c>
      <c r="J79" s="15">
        <v>108.15</v>
      </c>
      <c r="K79" s="15">
        <v>784.27</v>
      </c>
      <c r="L79" s="15">
        <v>83.41</v>
      </c>
      <c r="M79" s="15">
        <v>75.069000000000003</v>
      </c>
      <c r="N79" s="17">
        <v>91.751000000000005</v>
      </c>
    </row>
    <row r="80" spans="1:14" x14ac:dyDescent="0.3">
      <c r="A80" s="16" t="s">
        <v>133</v>
      </c>
      <c r="B80" s="14" t="s">
        <v>3</v>
      </c>
      <c r="C80" s="15">
        <v>131.66999999999999</v>
      </c>
      <c r="D80" s="15">
        <v>99</v>
      </c>
      <c r="E80" s="15">
        <v>0</v>
      </c>
      <c r="F80" s="15">
        <v>65.45</v>
      </c>
      <c r="G80" s="15">
        <v>459.65</v>
      </c>
      <c r="H80" s="15">
        <v>0</v>
      </c>
      <c r="I80" s="15">
        <v>32.71</v>
      </c>
      <c r="J80" s="15">
        <v>0</v>
      </c>
      <c r="K80" s="15">
        <v>395.21</v>
      </c>
      <c r="L80" s="15">
        <v>164.73</v>
      </c>
      <c r="M80" s="15">
        <v>148.25700000000001</v>
      </c>
      <c r="N80" s="17">
        <v>181.203</v>
      </c>
    </row>
    <row r="81" spans="1:14" x14ac:dyDescent="0.3">
      <c r="A81" s="16" t="s">
        <v>134</v>
      </c>
      <c r="B81" s="14" t="s">
        <v>3</v>
      </c>
      <c r="C81" s="15">
        <v>71.33</v>
      </c>
      <c r="D81" s="15">
        <v>142.99</v>
      </c>
      <c r="E81" s="15">
        <v>197.71</v>
      </c>
      <c r="F81" s="15">
        <v>144.24</v>
      </c>
      <c r="G81" s="15">
        <v>107.49</v>
      </c>
      <c r="H81" s="15">
        <v>465.92</v>
      </c>
      <c r="I81" s="15">
        <v>72.14</v>
      </c>
      <c r="J81" s="15">
        <v>0</v>
      </c>
      <c r="K81" s="15">
        <v>144.87</v>
      </c>
      <c r="L81" s="15">
        <v>0</v>
      </c>
      <c r="M81" s="15">
        <v>0</v>
      </c>
      <c r="N81" s="17">
        <v>0</v>
      </c>
    </row>
    <row r="82" spans="1:14" x14ac:dyDescent="0.3">
      <c r="A82" s="16" t="s">
        <v>135</v>
      </c>
      <c r="B82" s="14" t="s">
        <v>3</v>
      </c>
      <c r="C82" s="15">
        <v>68.02</v>
      </c>
      <c r="D82" s="15">
        <v>0</v>
      </c>
      <c r="E82" s="15">
        <v>204.3</v>
      </c>
      <c r="F82" s="15">
        <v>407.99</v>
      </c>
      <c r="G82" s="15">
        <v>135.79</v>
      </c>
      <c r="H82" s="15">
        <v>169.82</v>
      </c>
      <c r="I82" s="15">
        <v>34.01</v>
      </c>
      <c r="J82" s="15">
        <v>67.86</v>
      </c>
      <c r="K82" s="15">
        <v>170.13</v>
      </c>
      <c r="L82" s="15">
        <v>67.989999999999995</v>
      </c>
      <c r="M82" s="15">
        <v>61.190999999999995</v>
      </c>
      <c r="N82" s="17">
        <v>74.789000000000001</v>
      </c>
    </row>
    <row r="83" spans="1:14" x14ac:dyDescent="0.3">
      <c r="A83" s="16" t="s">
        <v>136</v>
      </c>
      <c r="B83" s="14" t="s">
        <v>3</v>
      </c>
      <c r="C83" s="15">
        <v>0</v>
      </c>
      <c r="D83" s="15">
        <v>175.74</v>
      </c>
      <c r="E83" s="15">
        <v>246.49</v>
      </c>
      <c r="F83" s="15">
        <v>70.430000000000007</v>
      </c>
      <c r="G83" s="15">
        <v>293.61</v>
      </c>
      <c r="H83" s="15">
        <v>0</v>
      </c>
      <c r="I83" s="15">
        <v>317.3</v>
      </c>
      <c r="J83" s="15">
        <v>70.42</v>
      </c>
      <c r="K83" s="15">
        <v>70.040000000000006</v>
      </c>
      <c r="L83" s="15">
        <v>0</v>
      </c>
      <c r="M83" s="15">
        <v>0</v>
      </c>
      <c r="N83" s="17">
        <v>0</v>
      </c>
    </row>
    <row r="84" spans="1:14" x14ac:dyDescent="0.3">
      <c r="A84" s="16" t="s">
        <v>137</v>
      </c>
      <c r="B84" s="14" t="s">
        <v>3</v>
      </c>
      <c r="C84" s="15">
        <v>0</v>
      </c>
      <c r="D84" s="15">
        <v>0</v>
      </c>
      <c r="E84" s="15">
        <v>88.02</v>
      </c>
      <c r="F84" s="15">
        <v>127.65</v>
      </c>
      <c r="G84" s="15">
        <v>293.23</v>
      </c>
      <c r="H84" s="15">
        <v>0</v>
      </c>
      <c r="I84" s="15">
        <v>0</v>
      </c>
      <c r="J84" s="15">
        <v>117.62</v>
      </c>
      <c r="K84" s="15">
        <v>410.61</v>
      </c>
      <c r="L84" s="15">
        <v>206.74</v>
      </c>
      <c r="M84" s="15">
        <v>186.066</v>
      </c>
      <c r="N84" s="17">
        <v>227.41400000000002</v>
      </c>
    </row>
    <row r="85" spans="1:14" x14ac:dyDescent="0.3">
      <c r="A85" s="16" t="s">
        <v>138</v>
      </c>
      <c r="B85" s="14" t="s">
        <v>3</v>
      </c>
      <c r="C85" s="15">
        <v>0</v>
      </c>
      <c r="D85" s="15">
        <v>0</v>
      </c>
      <c r="E85" s="15">
        <v>101.75</v>
      </c>
      <c r="F85" s="15">
        <v>474.02</v>
      </c>
      <c r="G85" s="15">
        <v>158.80000000000001</v>
      </c>
      <c r="H85" s="15">
        <v>0</v>
      </c>
      <c r="I85" s="15">
        <v>0</v>
      </c>
      <c r="J85" s="15">
        <v>68</v>
      </c>
      <c r="K85" s="15">
        <v>102.28</v>
      </c>
      <c r="L85" s="15">
        <v>337.21</v>
      </c>
      <c r="M85" s="15">
        <v>303.48899999999998</v>
      </c>
      <c r="N85" s="17">
        <v>370.93099999999998</v>
      </c>
    </row>
    <row r="86" spans="1:14" x14ac:dyDescent="0.3">
      <c r="A86" s="16" t="s">
        <v>139</v>
      </c>
      <c r="B86" s="14" t="s">
        <v>3</v>
      </c>
      <c r="C86" s="15">
        <v>65.2</v>
      </c>
      <c r="D86" s="15">
        <v>0</v>
      </c>
      <c r="E86" s="15">
        <v>130.18</v>
      </c>
      <c r="F86" s="15">
        <v>0</v>
      </c>
      <c r="G86" s="15">
        <v>326.43</v>
      </c>
      <c r="H86" s="15">
        <v>0</v>
      </c>
      <c r="I86" s="15">
        <v>130.13</v>
      </c>
      <c r="J86" s="15">
        <v>32.6</v>
      </c>
      <c r="K86" s="15">
        <v>195.05</v>
      </c>
      <c r="L86" s="15">
        <v>356.13</v>
      </c>
      <c r="M86" s="15">
        <v>320.517</v>
      </c>
      <c r="N86" s="17">
        <v>391.74300000000005</v>
      </c>
    </row>
    <row r="87" spans="1:14" x14ac:dyDescent="0.3">
      <c r="A87" s="16" t="s">
        <v>140</v>
      </c>
      <c r="B87" s="14" t="s">
        <v>3</v>
      </c>
      <c r="C87" s="15">
        <v>0</v>
      </c>
      <c r="D87" s="15">
        <v>64.069999999999993</v>
      </c>
      <c r="E87" s="15">
        <v>257.56</v>
      </c>
      <c r="F87" s="15">
        <v>128.33000000000001</v>
      </c>
      <c r="G87" s="15">
        <v>0</v>
      </c>
      <c r="H87" s="15">
        <v>0</v>
      </c>
      <c r="I87" s="15">
        <v>160.85</v>
      </c>
      <c r="J87" s="15">
        <v>193.76</v>
      </c>
      <c r="K87" s="15">
        <v>235.67</v>
      </c>
      <c r="L87" s="15">
        <v>160.13</v>
      </c>
      <c r="M87" s="15">
        <v>144.11699999999999</v>
      </c>
      <c r="N87" s="17">
        <v>176.143</v>
      </c>
    </row>
    <row r="88" spans="1:14" x14ac:dyDescent="0.3">
      <c r="A88" s="16" t="s">
        <v>141</v>
      </c>
      <c r="B88" s="14" t="s">
        <v>3</v>
      </c>
      <c r="C88" s="15">
        <v>0</v>
      </c>
      <c r="D88" s="15">
        <v>0</v>
      </c>
      <c r="E88" s="15">
        <v>0</v>
      </c>
      <c r="F88" s="15">
        <v>306.5</v>
      </c>
      <c r="G88" s="15">
        <v>122.32</v>
      </c>
      <c r="H88" s="15">
        <v>0</v>
      </c>
      <c r="I88" s="15">
        <v>0</v>
      </c>
      <c r="J88" s="15">
        <v>0</v>
      </c>
      <c r="K88" s="15">
        <v>153.88</v>
      </c>
      <c r="L88" s="15">
        <v>617.26</v>
      </c>
      <c r="M88" s="15">
        <v>555.53399999999999</v>
      </c>
      <c r="N88" s="17">
        <v>678.98599999999999</v>
      </c>
    </row>
    <row r="89" spans="1:14" x14ac:dyDescent="0.3">
      <c r="A89" s="16" t="s">
        <v>142</v>
      </c>
      <c r="B89" s="14" t="s">
        <v>3</v>
      </c>
      <c r="C89" s="15">
        <v>0</v>
      </c>
      <c r="D89" s="15">
        <v>140.4</v>
      </c>
      <c r="E89" s="15">
        <v>105.25</v>
      </c>
      <c r="F89" s="15">
        <v>140.19</v>
      </c>
      <c r="G89" s="15">
        <v>315.07</v>
      </c>
      <c r="H89" s="15">
        <v>104.97</v>
      </c>
      <c r="I89" s="15">
        <v>140.08000000000001</v>
      </c>
      <c r="J89" s="15">
        <v>34.69</v>
      </c>
      <c r="K89" s="15">
        <v>69.819999999999993</v>
      </c>
      <c r="L89" s="15">
        <v>139.69</v>
      </c>
      <c r="M89" s="15">
        <v>125.721</v>
      </c>
      <c r="N89" s="17">
        <v>153.65900000000002</v>
      </c>
    </row>
    <row r="90" spans="1:14" x14ac:dyDescent="0.3">
      <c r="A90" s="16" t="s">
        <v>143</v>
      </c>
      <c r="B90" s="14" t="s">
        <v>3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1189.54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7">
        <v>0</v>
      </c>
    </row>
    <row r="91" spans="1:14" x14ac:dyDescent="0.3">
      <c r="A91" s="16" t="s">
        <v>144</v>
      </c>
      <c r="B91" s="14" t="s">
        <v>3</v>
      </c>
      <c r="C91" s="15">
        <v>0</v>
      </c>
      <c r="D91" s="15">
        <v>0</v>
      </c>
      <c r="E91" s="15">
        <v>93.72</v>
      </c>
      <c r="F91" s="15">
        <v>156.07</v>
      </c>
      <c r="G91" s="15">
        <v>0</v>
      </c>
      <c r="H91" s="15">
        <v>0</v>
      </c>
      <c r="I91" s="15">
        <v>406.71</v>
      </c>
      <c r="J91" s="15">
        <v>125.92</v>
      </c>
      <c r="K91" s="15">
        <v>83.53</v>
      </c>
      <c r="L91" s="15">
        <v>313.92</v>
      </c>
      <c r="M91" s="15">
        <v>282.52800000000002</v>
      </c>
      <c r="N91" s="17">
        <v>345.31200000000007</v>
      </c>
    </row>
    <row r="92" spans="1:14" x14ac:dyDescent="0.3">
      <c r="A92" s="16" t="s">
        <v>145</v>
      </c>
      <c r="B92" s="14" t="s">
        <v>3</v>
      </c>
      <c r="C92" s="15">
        <v>0</v>
      </c>
      <c r="D92" s="15">
        <v>0</v>
      </c>
      <c r="E92" s="15">
        <v>0</v>
      </c>
      <c r="F92" s="15">
        <v>118.86</v>
      </c>
      <c r="G92" s="15">
        <v>197.93</v>
      </c>
      <c r="H92" s="15">
        <v>79.14</v>
      </c>
      <c r="I92" s="15">
        <v>158.19999999999999</v>
      </c>
      <c r="J92" s="15">
        <v>237.02</v>
      </c>
      <c r="K92" s="15">
        <v>157.97999999999999</v>
      </c>
      <c r="L92" s="15">
        <v>197.61</v>
      </c>
      <c r="M92" s="15">
        <v>177.84900000000002</v>
      </c>
      <c r="N92" s="17">
        <v>217.37100000000004</v>
      </c>
    </row>
    <row r="93" spans="1:14" x14ac:dyDescent="0.3">
      <c r="A93" s="16" t="s">
        <v>146</v>
      </c>
      <c r="B93" s="14" t="s">
        <v>3</v>
      </c>
      <c r="C93" s="15">
        <v>60.41</v>
      </c>
      <c r="D93" s="15">
        <v>120.15</v>
      </c>
      <c r="E93" s="15">
        <v>60.49</v>
      </c>
      <c r="F93" s="15">
        <v>150.24</v>
      </c>
      <c r="G93" s="15">
        <v>212.2</v>
      </c>
      <c r="H93" s="15">
        <v>301.54000000000002</v>
      </c>
      <c r="I93" s="15">
        <v>0</v>
      </c>
      <c r="J93" s="15">
        <v>0</v>
      </c>
      <c r="K93" s="15">
        <v>210.44</v>
      </c>
      <c r="L93" s="15">
        <v>30.28</v>
      </c>
      <c r="M93" s="15">
        <v>27.252000000000002</v>
      </c>
      <c r="N93" s="17">
        <v>33.308000000000007</v>
      </c>
    </row>
    <row r="94" spans="1:14" x14ac:dyDescent="0.3">
      <c r="A94" s="16" t="s">
        <v>147</v>
      </c>
      <c r="B94" s="14" t="s">
        <v>3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1132.58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7">
        <v>0</v>
      </c>
    </row>
    <row r="95" spans="1:14" x14ac:dyDescent="0.3">
      <c r="A95" s="16" t="s">
        <v>148</v>
      </c>
      <c r="B95" s="14" t="s">
        <v>3</v>
      </c>
      <c r="C95" s="15">
        <v>0</v>
      </c>
      <c r="D95" s="15">
        <v>0</v>
      </c>
      <c r="E95" s="15">
        <v>168.27</v>
      </c>
      <c r="F95" s="15">
        <v>319.82</v>
      </c>
      <c r="G95" s="15">
        <v>16.73</v>
      </c>
      <c r="H95" s="15">
        <v>201.95</v>
      </c>
      <c r="I95" s="15">
        <v>0</v>
      </c>
      <c r="J95" s="15">
        <v>101</v>
      </c>
      <c r="K95" s="15">
        <v>100.68</v>
      </c>
      <c r="L95" s="15">
        <v>167.24</v>
      </c>
      <c r="M95" s="15">
        <v>150.51600000000002</v>
      </c>
      <c r="N95" s="17">
        <v>183.96400000000003</v>
      </c>
    </row>
    <row r="96" spans="1:14" x14ac:dyDescent="0.3">
      <c r="A96" s="16" t="s">
        <v>149</v>
      </c>
      <c r="B96" s="14" t="s">
        <v>3</v>
      </c>
      <c r="C96" s="15">
        <v>0</v>
      </c>
      <c r="D96" s="15">
        <v>0</v>
      </c>
      <c r="E96" s="15">
        <v>204.06</v>
      </c>
      <c r="F96" s="15">
        <v>204.08</v>
      </c>
      <c r="G96" s="15">
        <v>0</v>
      </c>
      <c r="H96" s="15">
        <v>90.9</v>
      </c>
      <c r="I96" s="15">
        <v>374.77</v>
      </c>
      <c r="J96" s="15">
        <v>0</v>
      </c>
      <c r="K96" s="15">
        <v>0</v>
      </c>
      <c r="L96" s="15">
        <v>168.6</v>
      </c>
      <c r="M96" s="15">
        <v>151.74</v>
      </c>
      <c r="N96" s="17">
        <v>185.46</v>
      </c>
    </row>
    <row r="97" spans="1:14" x14ac:dyDescent="0.3">
      <c r="A97" s="16" t="s">
        <v>150</v>
      </c>
      <c r="B97" s="14" t="s">
        <v>3</v>
      </c>
      <c r="C97" s="15">
        <v>0</v>
      </c>
      <c r="D97" s="15">
        <v>95.79</v>
      </c>
      <c r="E97" s="15">
        <v>191.18</v>
      </c>
      <c r="F97" s="15">
        <v>126.97</v>
      </c>
      <c r="G97" s="15">
        <v>159.04</v>
      </c>
      <c r="H97" s="15">
        <v>96.06</v>
      </c>
      <c r="I97" s="15">
        <v>0</v>
      </c>
      <c r="J97" s="15">
        <v>96.24</v>
      </c>
      <c r="K97" s="15">
        <v>181.17</v>
      </c>
      <c r="L97" s="15">
        <v>84.41</v>
      </c>
      <c r="M97" s="15">
        <v>75.968999999999994</v>
      </c>
      <c r="N97" s="17">
        <v>92.850999999999999</v>
      </c>
    </row>
    <row r="98" spans="1:14" x14ac:dyDescent="0.3">
      <c r="A98" s="16" t="s">
        <v>151</v>
      </c>
      <c r="B98" s="14" t="s">
        <v>3</v>
      </c>
      <c r="C98" s="15">
        <v>0</v>
      </c>
      <c r="D98" s="15">
        <v>0</v>
      </c>
      <c r="E98" s="15">
        <v>35.58</v>
      </c>
      <c r="F98" s="15">
        <v>189.47</v>
      </c>
      <c r="G98" s="15">
        <v>143.08000000000001</v>
      </c>
      <c r="H98" s="15">
        <v>107.16</v>
      </c>
      <c r="I98" s="15">
        <v>215.16</v>
      </c>
      <c r="J98" s="15">
        <v>142.4</v>
      </c>
      <c r="K98" s="15">
        <v>0</v>
      </c>
      <c r="L98" s="15">
        <v>177.53</v>
      </c>
      <c r="M98" s="15">
        <v>159.77700000000002</v>
      </c>
      <c r="N98" s="17">
        <v>195.28300000000002</v>
      </c>
    </row>
    <row r="99" spans="1:14" x14ac:dyDescent="0.3">
      <c r="A99" s="16" t="s">
        <v>152</v>
      </c>
      <c r="B99" s="14" t="s">
        <v>3</v>
      </c>
      <c r="C99" s="15">
        <v>0</v>
      </c>
      <c r="D99" s="15">
        <v>0</v>
      </c>
      <c r="E99" s="15">
        <v>100.32</v>
      </c>
      <c r="F99" s="15">
        <v>265.94</v>
      </c>
      <c r="G99" s="15">
        <v>262.81</v>
      </c>
      <c r="H99" s="15">
        <v>54.93</v>
      </c>
      <c r="I99" s="15">
        <v>0</v>
      </c>
      <c r="J99" s="15">
        <v>131.85</v>
      </c>
      <c r="K99" s="15">
        <v>164.2</v>
      </c>
      <c r="L99" s="15">
        <v>0</v>
      </c>
      <c r="M99" s="15">
        <v>0</v>
      </c>
      <c r="N99" s="17">
        <v>0</v>
      </c>
    </row>
    <row r="100" spans="1:14" x14ac:dyDescent="0.3">
      <c r="A100" s="16" t="s">
        <v>153</v>
      </c>
      <c r="B100" s="14" t="s">
        <v>3</v>
      </c>
      <c r="C100" s="15">
        <v>0</v>
      </c>
      <c r="D100" s="15">
        <v>260.97000000000003</v>
      </c>
      <c r="E100" s="15">
        <v>0</v>
      </c>
      <c r="F100" s="15">
        <v>0</v>
      </c>
      <c r="G100" s="15">
        <v>296.20999999999998</v>
      </c>
      <c r="H100" s="15">
        <v>0</v>
      </c>
      <c r="I100" s="15">
        <v>0</v>
      </c>
      <c r="J100" s="15">
        <v>0</v>
      </c>
      <c r="K100" s="15">
        <v>186.28</v>
      </c>
      <c r="L100" s="15">
        <v>223.42</v>
      </c>
      <c r="M100" s="15">
        <v>201.078</v>
      </c>
      <c r="N100" s="17">
        <v>245.762</v>
      </c>
    </row>
    <row r="101" spans="1:14" x14ac:dyDescent="0.3">
      <c r="A101" s="16" t="s">
        <v>154</v>
      </c>
      <c r="B101" s="14" t="s">
        <v>3</v>
      </c>
      <c r="C101" s="15">
        <v>0</v>
      </c>
      <c r="D101" s="15">
        <v>148.74</v>
      </c>
      <c r="E101" s="15">
        <v>161.78</v>
      </c>
      <c r="F101" s="15">
        <v>53.85</v>
      </c>
      <c r="G101" s="15">
        <v>27.03</v>
      </c>
      <c r="H101" s="15">
        <v>175.57</v>
      </c>
      <c r="I101" s="15">
        <v>27.06</v>
      </c>
      <c r="J101" s="15">
        <v>217.24</v>
      </c>
      <c r="K101" s="15">
        <v>107.51</v>
      </c>
      <c r="L101" s="15">
        <v>0</v>
      </c>
      <c r="M101" s="15">
        <v>0</v>
      </c>
      <c r="N101" s="17">
        <v>0</v>
      </c>
    </row>
    <row r="102" spans="1:14" x14ac:dyDescent="0.3">
      <c r="A102" s="16" t="s">
        <v>155</v>
      </c>
      <c r="B102" s="14" t="s">
        <v>3</v>
      </c>
      <c r="C102" s="15">
        <v>0</v>
      </c>
      <c r="D102" s="15">
        <v>0</v>
      </c>
      <c r="E102" s="15">
        <v>0</v>
      </c>
      <c r="F102" s="15">
        <v>0</v>
      </c>
      <c r="G102" s="15">
        <v>66.599999999999994</v>
      </c>
      <c r="H102" s="15">
        <v>365.41</v>
      </c>
      <c r="I102" s="15">
        <v>332.84</v>
      </c>
      <c r="J102" s="15">
        <v>133.09</v>
      </c>
      <c r="K102" s="15">
        <v>0</v>
      </c>
      <c r="L102" s="15">
        <v>0</v>
      </c>
      <c r="M102" s="15">
        <v>0</v>
      </c>
      <c r="N102" s="17">
        <v>0</v>
      </c>
    </row>
    <row r="103" spans="1:14" x14ac:dyDescent="0.3">
      <c r="A103" s="16" t="s">
        <v>156</v>
      </c>
      <c r="B103" s="14" t="s">
        <v>3</v>
      </c>
      <c r="C103" s="15">
        <v>0</v>
      </c>
      <c r="D103" s="15">
        <v>64.75</v>
      </c>
      <c r="E103" s="15">
        <v>97.07</v>
      </c>
      <c r="F103" s="15">
        <v>194.61</v>
      </c>
      <c r="G103" s="15">
        <v>43.31</v>
      </c>
      <c r="H103" s="15">
        <v>162.58000000000001</v>
      </c>
      <c r="I103" s="15">
        <v>130.02000000000001</v>
      </c>
      <c r="J103" s="15">
        <v>129.79</v>
      </c>
      <c r="K103" s="15">
        <v>64.97</v>
      </c>
      <c r="L103" s="15">
        <v>0</v>
      </c>
      <c r="M103" s="15">
        <v>0</v>
      </c>
      <c r="N103" s="17">
        <v>0</v>
      </c>
    </row>
    <row r="104" spans="1:14" x14ac:dyDescent="0.3">
      <c r="A104" s="16" t="s">
        <v>157</v>
      </c>
      <c r="B104" s="14" t="s">
        <v>3</v>
      </c>
      <c r="C104" s="15">
        <v>0</v>
      </c>
      <c r="D104" s="15">
        <v>0</v>
      </c>
      <c r="E104" s="15">
        <v>34.520000000000003</v>
      </c>
      <c r="F104" s="15">
        <v>0</v>
      </c>
      <c r="G104" s="15">
        <v>173.74</v>
      </c>
      <c r="H104" s="15">
        <v>104.32</v>
      </c>
      <c r="I104" s="15">
        <v>139.11000000000001</v>
      </c>
      <c r="J104" s="15">
        <v>69.39</v>
      </c>
      <c r="K104" s="15">
        <v>173.74</v>
      </c>
      <c r="L104" s="15">
        <v>171.85</v>
      </c>
      <c r="M104" s="15">
        <v>154.66499999999999</v>
      </c>
      <c r="N104" s="17">
        <v>189.035</v>
      </c>
    </row>
    <row r="105" spans="1:14" x14ac:dyDescent="0.3">
      <c r="A105" s="16" t="s">
        <v>158</v>
      </c>
      <c r="B105" s="14" t="s">
        <v>3</v>
      </c>
      <c r="C105" s="15">
        <v>0</v>
      </c>
      <c r="D105" s="15">
        <v>0</v>
      </c>
      <c r="E105" s="15">
        <v>132.59</v>
      </c>
      <c r="F105" s="15">
        <v>165.08</v>
      </c>
      <c r="G105" s="15">
        <v>99.06</v>
      </c>
      <c r="H105" s="15">
        <v>65.91</v>
      </c>
      <c r="I105" s="15">
        <v>66.11</v>
      </c>
      <c r="J105" s="15">
        <v>99.01</v>
      </c>
      <c r="K105" s="15">
        <v>166.43</v>
      </c>
      <c r="L105" s="15">
        <v>65.83</v>
      </c>
      <c r="M105" s="15">
        <v>59.247</v>
      </c>
      <c r="N105" s="17">
        <v>72.413000000000011</v>
      </c>
    </row>
    <row r="106" spans="1:14" x14ac:dyDescent="0.3">
      <c r="A106" s="16" t="s">
        <v>159</v>
      </c>
      <c r="B106" s="14" t="s">
        <v>3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852.2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7">
        <v>0</v>
      </c>
    </row>
    <row r="107" spans="1:14" x14ac:dyDescent="0.3">
      <c r="A107" s="16" t="s">
        <v>160</v>
      </c>
      <c r="B107" s="14" t="s">
        <v>3</v>
      </c>
      <c r="C107" s="15">
        <v>69.11</v>
      </c>
      <c r="D107" s="15">
        <v>68.87</v>
      </c>
      <c r="E107" s="15">
        <v>103.32</v>
      </c>
      <c r="F107" s="15">
        <v>306.63</v>
      </c>
      <c r="G107" s="15">
        <v>101.44</v>
      </c>
      <c r="H107" s="15">
        <v>202.01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7">
        <v>0</v>
      </c>
    </row>
    <row r="108" spans="1:14" x14ac:dyDescent="0.3">
      <c r="A108" s="16" t="s">
        <v>161</v>
      </c>
      <c r="B108" s="14" t="s">
        <v>3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157.47999999999999</v>
      </c>
      <c r="I108" s="15">
        <v>0</v>
      </c>
      <c r="J108" s="15">
        <v>0</v>
      </c>
      <c r="K108" s="15">
        <v>409.23</v>
      </c>
      <c r="L108" s="15">
        <v>280.93</v>
      </c>
      <c r="M108" s="15">
        <v>252.83700000000002</v>
      </c>
      <c r="N108" s="17">
        <v>309.02300000000002</v>
      </c>
    </row>
    <row r="109" spans="1:14" x14ac:dyDescent="0.3">
      <c r="A109" s="16" t="s">
        <v>162</v>
      </c>
      <c r="B109" s="14" t="s">
        <v>3</v>
      </c>
      <c r="C109" s="15">
        <v>0</v>
      </c>
      <c r="D109" s="15">
        <v>0</v>
      </c>
      <c r="E109" s="15">
        <v>824.83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7">
        <v>0</v>
      </c>
    </row>
    <row r="110" spans="1:14" x14ac:dyDescent="0.3">
      <c r="A110" s="16" t="s">
        <v>163</v>
      </c>
      <c r="B110" s="14" t="s">
        <v>3</v>
      </c>
      <c r="C110" s="15">
        <v>0</v>
      </c>
      <c r="D110" s="15">
        <v>0</v>
      </c>
      <c r="E110" s="15">
        <v>539.73</v>
      </c>
      <c r="F110" s="15">
        <v>85.3</v>
      </c>
      <c r="G110" s="15">
        <v>0</v>
      </c>
      <c r="H110" s="15">
        <v>113.8</v>
      </c>
      <c r="I110" s="15">
        <v>0</v>
      </c>
      <c r="J110" s="15">
        <v>28.53</v>
      </c>
      <c r="K110" s="15">
        <v>28.55</v>
      </c>
      <c r="L110" s="15">
        <v>28.43</v>
      </c>
      <c r="M110" s="15">
        <v>25.587</v>
      </c>
      <c r="N110" s="17">
        <v>31.273000000000003</v>
      </c>
    </row>
    <row r="111" spans="1:14" x14ac:dyDescent="0.3">
      <c r="A111" s="16" t="s">
        <v>164</v>
      </c>
      <c r="B111" s="14" t="s">
        <v>3</v>
      </c>
      <c r="C111" s="15">
        <v>226.97</v>
      </c>
      <c r="D111" s="15">
        <v>188.42</v>
      </c>
      <c r="E111" s="15">
        <v>0</v>
      </c>
      <c r="F111" s="15">
        <v>339.81</v>
      </c>
      <c r="G111" s="15">
        <v>0</v>
      </c>
      <c r="H111" s="15">
        <v>37.85</v>
      </c>
      <c r="I111" s="15">
        <v>0</v>
      </c>
      <c r="J111" s="15">
        <v>25.15</v>
      </c>
      <c r="K111" s="15">
        <v>0</v>
      </c>
      <c r="L111" s="15">
        <v>0</v>
      </c>
      <c r="M111" s="15">
        <v>0</v>
      </c>
      <c r="N111" s="17">
        <v>0</v>
      </c>
    </row>
    <row r="112" spans="1:14" x14ac:dyDescent="0.3">
      <c r="A112" s="16" t="s">
        <v>165</v>
      </c>
      <c r="B112" s="14" t="s">
        <v>3</v>
      </c>
      <c r="C112" s="15">
        <v>0</v>
      </c>
      <c r="D112" s="15">
        <v>0</v>
      </c>
      <c r="E112" s="15">
        <v>148.72</v>
      </c>
      <c r="F112" s="15">
        <v>119.52</v>
      </c>
      <c r="G112" s="15">
        <v>0</v>
      </c>
      <c r="H112" s="15">
        <v>239.58</v>
      </c>
      <c r="I112" s="15">
        <v>0</v>
      </c>
      <c r="J112" s="15">
        <v>300.39</v>
      </c>
      <c r="K112" s="15">
        <v>0</v>
      </c>
      <c r="L112" s="15">
        <v>0</v>
      </c>
      <c r="M112" s="15">
        <v>0</v>
      </c>
      <c r="N112" s="17">
        <v>0</v>
      </c>
    </row>
    <row r="113" spans="1:14" x14ac:dyDescent="0.3">
      <c r="A113" s="16" t="s">
        <v>166</v>
      </c>
      <c r="B113" s="14" t="s">
        <v>3</v>
      </c>
      <c r="C113" s="15">
        <v>0</v>
      </c>
      <c r="D113" s="15">
        <v>0</v>
      </c>
      <c r="E113" s="15">
        <v>124.97</v>
      </c>
      <c r="F113" s="15">
        <v>63.17</v>
      </c>
      <c r="G113" s="15">
        <v>0</v>
      </c>
      <c r="H113" s="15">
        <v>0</v>
      </c>
      <c r="I113" s="15">
        <v>62.24</v>
      </c>
      <c r="J113" s="15">
        <v>248.66</v>
      </c>
      <c r="K113" s="15">
        <v>216.01</v>
      </c>
      <c r="L113" s="15">
        <v>61.6</v>
      </c>
      <c r="M113" s="15">
        <v>55.440000000000005</v>
      </c>
      <c r="N113" s="17">
        <v>67.760000000000005</v>
      </c>
    </row>
    <row r="114" spans="1:14" x14ac:dyDescent="0.3">
      <c r="A114" s="16" t="s">
        <v>167</v>
      </c>
      <c r="B114" s="14" t="s">
        <v>3</v>
      </c>
      <c r="C114" s="15">
        <v>0</v>
      </c>
      <c r="D114" s="15">
        <v>0</v>
      </c>
      <c r="E114" s="15">
        <v>64.430000000000007</v>
      </c>
      <c r="F114" s="15">
        <v>100.47</v>
      </c>
      <c r="G114" s="15">
        <v>64.180000000000007</v>
      </c>
      <c r="H114" s="15">
        <v>0</v>
      </c>
      <c r="I114" s="15">
        <v>129.19999999999999</v>
      </c>
      <c r="J114" s="15">
        <v>0</v>
      </c>
      <c r="K114" s="15">
        <v>193.71</v>
      </c>
      <c r="L114" s="15">
        <v>194.56</v>
      </c>
      <c r="M114" s="15">
        <v>175.10400000000001</v>
      </c>
      <c r="N114" s="17">
        <v>214.01600000000002</v>
      </c>
    </row>
    <row r="115" spans="1:14" x14ac:dyDescent="0.3">
      <c r="A115" s="16" t="s">
        <v>168</v>
      </c>
      <c r="B115" s="14" t="s">
        <v>3</v>
      </c>
      <c r="C115" s="15">
        <v>0</v>
      </c>
      <c r="D115" s="15">
        <v>57.19</v>
      </c>
      <c r="E115" s="15">
        <v>56.95</v>
      </c>
      <c r="F115" s="15">
        <v>0</v>
      </c>
      <c r="G115" s="15">
        <v>113.59</v>
      </c>
      <c r="H115" s="15">
        <v>344.41</v>
      </c>
      <c r="I115" s="15">
        <v>86.5</v>
      </c>
      <c r="J115" s="15">
        <v>0</v>
      </c>
      <c r="K115" s="15">
        <v>85.07</v>
      </c>
      <c r="L115" s="15">
        <v>0</v>
      </c>
      <c r="M115" s="15">
        <v>0</v>
      </c>
      <c r="N115" s="17">
        <v>0</v>
      </c>
    </row>
    <row r="116" spans="1:14" x14ac:dyDescent="0.3">
      <c r="A116" s="16" t="s">
        <v>169</v>
      </c>
      <c r="B116" s="14" t="s">
        <v>3</v>
      </c>
      <c r="C116" s="15">
        <v>0</v>
      </c>
      <c r="D116" s="15">
        <v>0</v>
      </c>
      <c r="E116" s="15">
        <v>33.03</v>
      </c>
      <c r="F116" s="15">
        <v>198.77</v>
      </c>
      <c r="G116" s="15">
        <v>0</v>
      </c>
      <c r="H116" s="15">
        <v>0</v>
      </c>
      <c r="I116" s="15">
        <v>0</v>
      </c>
      <c r="J116" s="15">
        <v>265.47000000000003</v>
      </c>
      <c r="K116" s="15">
        <v>66.39</v>
      </c>
      <c r="L116" s="15">
        <v>165.61</v>
      </c>
      <c r="M116" s="15">
        <v>149.04900000000001</v>
      </c>
      <c r="N116" s="17">
        <v>182.17100000000002</v>
      </c>
    </row>
    <row r="117" spans="1:14" x14ac:dyDescent="0.3">
      <c r="A117" s="16" t="s">
        <v>170</v>
      </c>
      <c r="B117" s="14" t="s">
        <v>3</v>
      </c>
      <c r="C117" s="15">
        <v>0</v>
      </c>
      <c r="D117" s="15">
        <v>155.44</v>
      </c>
      <c r="E117" s="15">
        <v>141.15</v>
      </c>
      <c r="F117" s="15">
        <v>62.83</v>
      </c>
      <c r="G117" s="15">
        <v>0</v>
      </c>
      <c r="H117" s="15">
        <v>62.5</v>
      </c>
      <c r="I117" s="15">
        <v>15.76</v>
      </c>
      <c r="J117" s="15">
        <v>62.99</v>
      </c>
      <c r="K117" s="15">
        <v>31.47</v>
      </c>
      <c r="L117" s="15">
        <v>196.85</v>
      </c>
      <c r="M117" s="15">
        <v>177.16499999999999</v>
      </c>
      <c r="N117" s="17">
        <v>216.53500000000003</v>
      </c>
    </row>
    <row r="118" spans="1:14" x14ac:dyDescent="0.3">
      <c r="A118" s="16" t="s">
        <v>171</v>
      </c>
      <c r="B118" s="14" t="s">
        <v>3</v>
      </c>
      <c r="C118" s="15">
        <v>452.82</v>
      </c>
      <c r="D118" s="15">
        <v>133.54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133.28</v>
      </c>
      <c r="M118" s="15">
        <v>119.952</v>
      </c>
      <c r="N118" s="17">
        <v>146.608</v>
      </c>
    </row>
    <row r="119" spans="1:14" x14ac:dyDescent="0.3">
      <c r="A119" s="16" t="s">
        <v>172</v>
      </c>
      <c r="B119" s="14" t="s">
        <v>3</v>
      </c>
      <c r="C119" s="15">
        <v>0</v>
      </c>
      <c r="D119" s="15">
        <v>0</v>
      </c>
      <c r="E119" s="15">
        <v>0</v>
      </c>
      <c r="F119" s="15">
        <v>98.38</v>
      </c>
      <c r="G119" s="15">
        <v>0</v>
      </c>
      <c r="H119" s="15">
        <v>164.53</v>
      </c>
      <c r="I119" s="15">
        <v>0</v>
      </c>
      <c r="J119" s="15">
        <v>65.59</v>
      </c>
      <c r="K119" s="15">
        <v>359.41</v>
      </c>
      <c r="L119" s="15">
        <v>0</v>
      </c>
      <c r="M119" s="15">
        <v>0</v>
      </c>
      <c r="N119" s="17">
        <v>0</v>
      </c>
    </row>
    <row r="120" spans="1:14" x14ac:dyDescent="0.3">
      <c r="A120" s="16" t="s">
        <v>173</v>
      </c>
      <c r="B120" s="14" t="s">
        <v>3</v>
      </c>
      <c r="C120" s="15">
        <v>0</v>
      </c>
      <c r="D120" s="15">
        <v>65.86</v>
      </c>
      <c r="E120" s="15">
        <v>65.69</v>
      </c>
      <c r="F120" s="15">
        <v>245.72</v>
      </c>
      <c r="G120" s="15">
        <v>0</v>
      </c>
      <c r="H120" s="15">
        <v>98.71</v>
      </c>
      <c r="I120" s="15">
        <v>98.76</v>
      </c>
      <c r="J120" s="15">
        <v>0</v>
      </c>
      <c r="K120" s="15">
        <v>97.63</v>
      </c>
      <c r="L120" s="15">
        <v>0</v>
      </c>
      <c r="M120" s="15">
        <v>0</v>
      </c>
      <c r="N120" s="17">
        <v>0</v>
      </c>
    </row>
    <row r="121" spans="1:14" x14ac:dyDescent="0.3">
      <c r="A121" s="16" t="s">
        <v>174</v>
      </c>
      <c r="B121" s="14" t="s">
        <v>3</v>
      </c>
      <c r="C121" s="15">
        <v>0</v>
      </c>
      <c r="D121" s="15">
        <v>60.1</v>
      </c>
      <c r="E121" s="15">
        <v>119.94</v>
      </c>
      <c r="F121" s="15">
        <v>70.040000000000006</v>
      </c>
      <c r="G121" s="15">
        <v>0</v>
      </c>
      <c r="H121" s="15">
        <v>0</v>
      </c>
      <c r="I121" s="15">
        <v>30.13</v>
      </c>
      <c r="J121" s="15">
        <v>120.05</v>
      </c>
      <c r="K121" s="15">
        <v>210.91</v>
      </c>
      <c r="L121" s="15">
        <v>60.27</v>
      </c>
      <c r="M121" s="15">
        <v>54.243000000000002</v>
      </c>
      <c r="N121" s="17">
        <v>66.297000000000011</v>
      </c>
    </row>
    <row r="122" spans="1:14" x14ac:dyDescent="0.3">
      <c r="A122" s="16" t="s">
        <v>175</v>
      </c>
      <c r="B122" s="14" t="s">
        <v>3</v>
      </c>
      <c r="C122" s="15">
        <v>0</v>
      </c>
      <c r="D122" s="15">
        <v>0</v>
      </c>
      <c r="E122" s="15">
        <v>0</v>
      </c>
      <c r="F122" s="15">
        <v>0</v>
      </c>
      <c r="G122" s="15">
        <v>371.8</v>
      </c>
      <c r="H122" s="15">
        <v>0</v>
      </c>
      <c r="I122" s="15">
        <v>0</v>
      </c>
      <c r="J122" s="15">
        <v>286.86</v>
      </c>
      <c r="K122" s="15">
        <v>0</v>
      </c>
      <c r="L122" s="15">
        <v>0</v>
      </c>
      <c r="M122" s="15">
        <v>0</v>
      </c>
      <c r="N122" s="17">
        <v>0</v>
      </c>
    </row>
    <row r="123" spans="1:14" x14ac:dyDescent="0.3">
      <c r="A123" s="16" t="s">
        <v>176</v>
      </c>
      <c r="B123" s="14" t="s">
        <v>3</v>
      </c>
      <c r="C123" s="15">
        <v>0</v>
      </c>
      <c r="D123" s="15">
        <v>0</v>
      </c>
      <c r="E123" s="15">
        <v>170.37</v>
      </c>
      <c r="F123" s="15">
        <v>68.069999999999993</v>
      </c>
      <c r="G123" s="15">
        <v>68.2</v>
      </c>
      <c r="H123" s="15">
        <v>0</v>
      </c>
      <c r="I123" s="15">
        <v>0</v>
      </c>
      <c r="J123" s="15">
        <v>238.78</v>
      </c>
      <c r="K123" s="15">
        <v>0</v>
      </c>
      <c r="L123" s="15">
        <v>102.95</v>
      </c>
      <c r="M123" s="15">
        <v>92.655000000000001</v>
      </c>
      <c r="N123" s="17">
        <v>113.24500000000002</v>
      </c>
    </row>
    <row r="124" spans="1:14" x14ac:dyDescent="0.3">
      <c r="A124" s="16" t="s">
        <v>177</v>
      </c>
      <c r="B124" s="14" t="s">
        <v>3</v>
      </c>
      <c r="C124" s="15">
        <v>0</v>
      </c>
      <c r="D124" s="15">
        <v>63.99</v>
      </c>
      <c r="E124" s="15">
        <v>96.43</v>
      </c>
      <c r="F124" s="15">
        <v>0</v>
      </c>
      <c r="G124" s="15">
        <v>127.98</v>
      </c>
      <c r="H124" s="15">
        <v>63.82</v>
      </c>
      <c r="I124" s="15">
        <v>0</v>
      </c>
      <c r="J124" s="15">
        <v>0</v>
      </c>
      <c r="K124" s="15">
        <v>223.55</v>
      </c>
      <c r="L124" s="15">
        <v>63.71</v>
      </c>
      <c r="M124" s="15">
        <v>57.338999999999999</v>
      </c>
      <c r="N124" s="17">
        <v>70.081000000000003</v>
      </c>
    </row>
    <row r="125" spans="1:14" x14ac:dyDescent="0.3">
      <c r="A125" s="16" t="s">
        <v>178</v>
      </c>
      <c r="B125" s="14" t="s">
        <v>3</v>
      </c>
      <c r="C125" s="15">
        <v>0</v>
      </c>
      <c r="D125" s="15">
        <v>0</v>
      </c>
      <c r="E125" s="15">
        <v>351.88</v>
      </c>
      <c r="F125" s="15">
        <v>0</v>
      </c>
      <c r="G125" s="15">
        <v>0</v>
      </c>
      <c r="H125" s="15">
        <v>0</v>
      </c>
      <c r="I125" s="15">
        <v>257.99</v>
      </c>
      <c r="J125" s="15">
        <v>0</v>
      </c>
      <c r="K125" s="15">
        <v>0</v>
      </c>
      <c r="L125" s="15">
        <v>0</v>
      </c>
      <c r="M125" s="15">
        <v>0</v>
      </c>
      <c r="N125" s="17">
        <v>0</v>
      </c>
    </row>
    <row r="126" spans="1:14" x14ac:dyDescent="0.3">
      <c r="A126" s="16" t="s">
        <v>179</v>
      </c>
      <c r="B126" s="14" t="s">
        <v>3</v>
      </c>
      <c r="C126" s="15">
        <v>106.39</v>
      </c>
      <c r="D126" s="15">
        <v>71.34</v>
      </c>
      <c r="E126" s="15">
        <v>0</v>
      </c>
      <c r="F126" s="15">
        <v>0</v>
      </c>
      <c r="G126" s="15">
        <v>0</v>
      </c>
      <c r="H126" s="15">
        <v>141.6</v>
      </c>
      <c r="I126" s="15">
        <v>35.380000000000003</v>
      </c>
      <c r="J126" s="15">
        <v>0</v>
      </c>
      <c r="K126" s="15">
        <v>175.9</v>
      </c>
      <c r="L126" s="15">
        <v>70.25</v>
      </c>
      <c r="M126" s="15">
        <v>63.225000000000001</v>
      </c>
      <c r="N126" s="17">
        <v>77.275000000000006</v>
      </c>
    </row>
    <row r="127" spans="1:14" x14ac:dyDescent="0.3">
      <c r="A127" s="16" t="s">
        <v>180</v>
      </c>
      <c r="B127" s="14" t="s">
        <v>4</v>
      </c>
      <c r="C127" s="15">
        <v>91.65</v>
      </c>
      <c r="D127" s="15">
        <v>0</v>
      </c>
      <c r="E127" s="15">
        <v>122.16</v>
      </c>
      <c r="F127" s="15">
        <v>122.1</v>
      </c>
      <c r="G127" s="15">
        <v>0</v>
      </c>
      <c r="H127" s="15">
        <v>121.84</v>
      </c>
      <c r="I127" s="15">
        <v>60.97</v>
      </c>
      <c r="J127" s="15">
        <v>0</v>
      </c>
      <c r="K127" s="15">
        <v>0</v>
      </c>
      <c r="L127" s="15">
        <v>60.98</v>
      </c>
      <c r="M127" s="15">
        <v>54.881999999999998</v>
      </c>
      <c r="N127" s="17">
        <v>67.078000000000003</v>
      </c>
    </row>
    <row r="128" spans="1:14" x14ac:dyDescent="0.3">
      <c r="A128" s="16" t="s">
        <v>181</v>
      </c>
      <c r="B128" s="14" t="s">
        <v>4</v>
      </c>
      <c r="C128" s="15">
        <v>0</v>
      </c>
      <c r="D128" s="15">
        <v>0</v>
      </c>
      <c r="E128" s="15">
        <v>0</v>
      </c>
      <c r="F128" s="15">
        <v>179.95</v>
      </c>
      <c r="G128" s="15">
        <v>0</v>
      </c>
      <c r="H128" s="15">
        <v>0</v>
      </c>
      <c r="I128" s="15">
        <v>0</v>
      </c>
      <c r="J128" s="15">
        <v>92.11</v>
      </c>
      <c r="K128" s="15">
        <v>302.62</v>
      </c>
      <c r="L128" s="15">
        <v>0</v>
      </c>
      <c r="M128" s="15">
        <v>0</v>
      </c>
      <c r="N128" s="17">
        <v>0</v>
      </c>
    </row>
    <row r="129" spans="1:14" x14ac:dyDescent="0.3">
      <c r="A129" s="16" t="s">
        <v>182</v>
      </c>
      <c r="B129" s="14" t="s">
        <v>4</v>
      </c>
      <c r="C129" s="15">
        <v>134.81</v>
      </c>
      <c r="D129" s="15">
        <v>0</v>
      </c>
      <c r="E129" s="15">
        <v>270.18</v>
      </c>
      <c r="F129" s="15">
        <v>0</v>
      </c>
      <c r="G129" s="15">
        <v>0</v>
      </c>
      <c r="H129" s="15">
        <v>0</v>
      </c>
      <c r="I129" s="15">
        <v>0</v>
      </c>
      <c r="J129" s="15">
        <v>101.49</v>
      </c>
      <c r="K129" s="15">
        <v>67.61</v>
      </c>
      <c r="L129" s="15">
        <v>0</v>
      </c>
      <c r="M129" s="15">
        <v>0</v>
      </c>
      <c r="N129" s="17">
        <v>0</v>
      </c>
    </row>
    <row r="130" spans="1:14" x14ac:dyDescent="0.3">
      <c r="A130" s="16" t="s">
        <v>183</v>
      </c>
      <c r="B130" s="14" t="s">
        <v>4</v>
      </c>
      <c r="C130" s="15">
        <v>0</v>
      </c>
      <c r="D130" s="15">
        <v>62.27</v>
      </c>
      <c r="E130" s="15">
        <v>0</v>
      </c>
      <c r="F130" s="15">
        <v>0</v>
      </c>
      <c r="G130" s="15">
        <v>93.29</v>
      </c>
      <c r="H130" s="15">
        <v>0</v>
      </c>
      <c r="I130" s="15">
        <v>0</v>
      </c>
      <c r="J130" s="15">
        <v>0</v>
      </c>
      <c r="K130" s="15">
        <v>0</v>
      </c>
      <c r="L130" s="15">
        <v>405.5</v>
      </c>
      <c r="M130" s="15">
        <v>364.95</v>
      </c>
      <c r="N130" s="17">
        <v>446.05</v>
      </c>
    </row>
    <row r="131" spans="1:14" x14ac:dyDescent="0.3">
      <c r="A131" s="16" t="s">
        <v>184</v>
      </c>
      <c r="B131" s="14" t="s">
        <v>4</v>
      </c>
      <c r="C131" s="15">
        <v>0</v>
      </c>
      <c r="D131" s="15">
        <v>0</v>
      </c>
      <c r="E131" s="15">
        <v>114.32</v>
      </c>
      <c r="F131" s="15">
        <v>152.54</v>
      </c>
      <c r="G131" s="15">
        <v>0</v>
      </c>
      <c r="H131" s="15">
        <v>190.28</v>
      </c>
      <c r="I131" s="15">
        <v>76.91</v>
      </c>
      <c r="J131" s="15">
        <v>0</v>
      </c>
      <c r="K131" s="15">
        <v>0</v>
      </c>
      <c r="L131" s="15">
        <v>0</v>
      </c>
      <c r="M131" s="15">
        <v>0</v>
      </c>
      <c r="N131" s="17">
        <v>0</v>
      </c>
    </row>
    <row r="132" spans="1:14" x14ac:dyDescent="0.3">
      <c r="A132" s="16" t="s">
        <v>185</v>
      </c>
      <c r="B132" s="14" t="s">
        <v>4</v>
      </c>
      <c r="C132" s="15">
        <v>106.55</v>
      </c>
      <c r="D132" s="15">
        <v>0</v>
      </c>
      <c r="E132" s="15">
        <v>79.73</v>
      </c>
      <c r="F132" s="15">
        <v>132.86000000000001</v>
      </c>
      <c r="G132" s="15">
        <v>0</v>
      </c>
      <c r="H132" s="15">
        <v>0</v>
      </c>
      <c r="I132" s="15">
        <v>26.46</v>
      </c>
      <c r="J132" s="15">
        <v>133.86000000000001</v>
      </c>
      <c r="K132" s="15">
        <v>0</v>
      </c>
      <c r="L132" s="15">
        <v>53.99</v>
      </c>
      <c r="M132" s="15">
        <v>48.591000000000001</v>
      </c>
      <c r="N132" s="17">
        <v>59.38900000000001</v>
      </c>
    </row>
    <row r="133" spans="1:14" x14ac:dyDescent="0.3">
      <c r="A133" s="16" t="s">
        <v>186</v>
      </c>
      <c r="B133" s="14" t="s">
        <v>4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421.2</v>
      </c>
      <c r="I133" s="15">
        <v>0</v>
      </c>
      <c r="J133" s="15">
        <v>0</v>
      </c>
      <c r="K133" s="15">
        <v>105.49</v>
      </c>
      <c r="L133" s="15">
        <v>0</v>
      </c>
      <c r="M133" s="15">
        <v>0</v>
      </c>
      <c r="N133" s="17">
        <v>0</v>
      </c>
    </row>
    <row r="134" spans="1:14" x14ac:dyDescent="0.3">
      <c r="A134" s="16" t="s">
        <v>187</v>
      </c>
      <c r="B134" s="14" t="s">
        <v>4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147.66</v>
      </c>
      <c r="K134" s="15">
        <v>183.01</v>
      </c>
      <c r="L134" s="15">
        <v>183.76</v>
      </c>
      <c r="M134" s="15">
        <v>165.38399999999999</v>
      </c>
      <c r="N134" s="17">
        <v>202.136</v>
      </c>
    </row>
    <row r="135" spans="1:14" x14ac:dyDescent="0.3">
      <c r="A135" s="16" t="s">
        <v>188</v>
      </c>
      <c r="B135" s="14" t="s">
        <v>4</v>
      </c>
      <c r="C135" s="15">
        <v>0</v>
      </c>
      <c r="D135" s="15">
        <v>0</v>
      </c>
      <c r="E135" s="15">
        <v>0</v>
      </c>
      <c r="F135" s="15">
        <v>33.39</v>
      </c>
      <c r="G135" s="15">
        <v>268.36</v>
      </c>
      <c r="H135" s="15">
        <v>0</v>
      </c>
      <c r="I135" s="15">
        <v>0</v>
      </c>
      <c r="J135" s="15">
        <v>66.25</v>
      </c>
      <c r="K135" s="15">
        <v>0</v>
      </c>
      <c r="L135" s="15">
        <v>132.43</v>
      </c>
      <c r="M135" s="15">
        <v>119.18700000000001</v>
      </c>
      <c r="N135" s="17">
        <v>145.67300000000003</v>
      </c>
    </row>
    <row r="136" spans="1:14" x14ac:dyDescent="0.3">
      <c r="A136" s="16" t="s">
        <v>189</v>
      </c>
      <c r="B136" s="14" t="s">
        <v>4</v>
      </c>
      <c r="C136" s="15">
        <v>0</v>
      </c>
      <c r="D136" s="15">
        <v>0</v>
      </c>
      <c r="E136" s="15">
        <v>0</v>
      </c>
      <c r="F136" s="15">
        <v>162.71</v>
      </c>
      <c r="G136" s="15">
        <v>0</v>
      </c>
      <c r="H136" s="15">
        <v>0</v>
      </c>
      <c r="I136" s="15">
        <v>0</v>
      </c>
      <c r="J136" s="15">
        <v>0</v>
      </c>
      <c r="K136" s="15">
        <v>173.45</v>
      </c>
      <c r="L136" s="15">
        <v>163.55000000000001</v>
      </c>
      <c r="M136" s="15">
        <v>147.19500000000002</v>
      </c>
      <c r="N136" s="17">
        <v>179.90500000000003</v>
      </c>
    </row>
    <row r="137" spans="1:14" x14ac:dyDescent="0.3">
      <c r="A137" s="16" t="s">
        <v>190</v>
      </c>
      <c r="B137" s="14" t="s">
        <v>4</v>
      </c>
      <c r="C137" s="15">
        <v>100.05</v>
      </c>
      <c r="D137" s="15">
        <v>99.59</v>
      </c>
      <c r="E137" s="15">
        <v>99.62</v>
      </c>
      <c r="F137" s="15">
        <v>0</v>
      </c>
      <c r="G137" s="15">
        <v>0</v>
      </c>
      <c r="H137" s="15">
        <v>99.5</v>
      </c>
      <c r="I137" s="15">
        <v>0</v>
      </c>
      <c r="J137" s="15">
        <v>0</v>
      </c>
      <c r="K137" s="15">
        <v>32.979999999999997</v>
      </c>
      <c r="L137" s="15">
        <v>66.7</v>
      </c>
      <c r="M137" s="15">
        <v>60.03</v>
      </c>
      <c r="N137" s="17">
        <v>73.37</v>
      </c>
    </row>
    <row r="138" spans="1:14" x14ac:dyDescent="0.3">
      <c r="A138" s="16" t="s">
        <v>191</v>
      </c>
      <c r="B138" s="14" t="s">
        <v>4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188.66</v>
      </c>
      <c r="I138" s="15">
        <v>0</v>
      </c>
      <c r="J138" s="15">
        <v>0</v>
      </c>
      <c r="K138" s="15">
        <v>302.52999999999997</v>
      </c>
      <c r="L138" s="15">
        <v>0</v>
      </c>
      <c r="M138" s="15">
        <v>0</v>
      </c>
      <c r="N138" s="17">
        <v>0</v>
      </c>
    </row>
    <row r="139" spans="1:14" x14ac:dyDescent="0.3">
      <c r="A139" s="16" t="s">
        <v>192</v>
      </c>
      <c r="B139" s="14" t="s">
        <v>4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485.95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7">
        <v>0</v>
      </c>
    </row>
    <row r="140" spans="1:14" x14ac:dyDescent="0.3">
      <c r="A140" s="16" t="s">
        <v>193</v>
      </c>
      <c r="B140" s="14" t="s">
        <v>4</v>
      </c>
      <c r="C140" s="15">
        <v>0</v>
      </c>
      <c r="D140" s="15">
        <v>0</v>
      </c>
      <c r="E140" s="15">
        <v>74.47</v>
      </c>
      <c r="F140" s="15">
        <v>223.63</v>
      </c>
      <c r="G140" s="15">
        <v>0</v>
      </c>
      <c r="H140" s="15">
        <v>0</v>
      </c>
      <c r="I140" s="15">
        <v>186.95</v>
      </c>
      <c r="J140" s="15">
        <v>0</v>
      </c>
      <c r="K140" s="15">
        <v>0</v>
      </c>
      <c r="L140" s="15">
        <v>0</v>
      </c>
      <c r="M140" s="15">
        <v>0</v>
      </c>
      <c r="N140" s="17">
        <v>0</v>
      </c>
    </row>
    <row r="141" spans="1:14" x14ac:dyDescent="0.3">
      <c r="A141" s="16" t="s">
        <v>194</v>
      </c>
      <c r="B141" s="14" t="s">
        <v>4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483.98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7">
        <v>0</v>
      </c>
    </row>
    <row r="142" spans="1:14" x14ac:dyDescent="0.3">
      <c r="A142" s="16" t="s">
        <v>195</v>
      </c>
      <c r="B142" s="14" t="s">
        <v>4</v>
      </c>
      <c r="C142" s="15">
        <v>0</v>
      </c>
      <c r="D142" s="15">
        <v>0</v>
      </c>
      <c r="E142" s="15">
        <v>72.14</v>
      </c>
      <c r="F142" s="15">
        <v>117.23</v>
      </c>
      <c r="G142" s="15">
        <v>180.73</v>
      </c>
      <c r="H142" s="15">
        <v>0</v>
      </c>
      <c r="I142" s="15">
        <v>0</v>
      </c>
      <c r="J142" s="15">
        <v>0</v>
      </c>
      <c r="K142" s="15">
        <v>108.37</v>
      </c>
      <c r="L142" s="15">
        <v>0</v>
      </c>
      <c r="M142" s="15">
        <v>0</v>
      </c>
      <c r="N142" s="17">
        <v>0</v>
      </c>
    </row>
    <row r="143" spans="1:14" x14ac:dyDescent="0.3">
      <c r="A143" s="16" t="s">
        <v>196</v>
      </c>
      <c r="B143" s="14" t="s">
        <v>4</v>
      </c>
      <c r="C143" s="15">
        <v>0</v>
      </c>
      <c r="D143" s="15">
        <v>66.5</v>
      </c>
      <c r="E143" s="15">
        <v>133.18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266.54000000000002</v>
      </c>
      <c r="L143" s="15">
        <v>0</v>
      </c>
      <c r="M143" s="15">
        <v>0</v>
      </c>
      <c r="N143" s="17">
        <v>0</v>
      </c>
    </row>
    <row r="144" spans="1:14" x14ac:dyDescent="0.3">
      <c r="A144" s="16" t="s">
        <v>197</v>
      </c>
      <c r="B144" s="14" t="s">
        <v>4</v>
      </c>
      <c r="C144" s="15">
        <v>89.38</v>
      </c>
      <c r="D144" s="15">
        <v>72.61</v>
      </c>
      <c r="E144" s="15">
        <v>0</v>
      </c>
      <c r="F144" s="15">
        <v>0</v>
      </c>
      <c r="G144" s="15">
        <v>109.21</v>
      </c>
      <c r="H144" s="15">
        <v>0</v>
      </c>
      <c r="I144" s="15">
        <v>27.08</v>
      </c>
      <c r="J144" s="15">
        <v>108.36</v>
      </c>
      <c r="K144" s="15">
        <v>54.26</v>
      </c>
      <c r="L144" s="15">
        <v>0</v>
      </c>
      <c r="M144" s="15">
        <v>0</v>
      </c>
      <c r="N144" s="17">
        <v>0</v>
      </c>
    </row>
    <row r="145" spans="1:14" x14ac:dyDescent="0.3">
      <c r="A145" s="16" t="s">
        <v>198</v>
      </c>
      <c r="B145" s="14" t="s">
        <v>4</v>
      </c>
      <c r="C145" s="15">
        <v>0</v>
      </c>
      <c r="D145" s="15">
        <v>29.57</v>
      </c>
      <c r="E145" s="15">
        <v>59.19</v>
      </c>
      <c r="F145" s="15">
        <v>0</v>
      </c>
      <c r="G145" s="15">
        <v>59.46</v>
      </c>
      <c r="H145" s="15">
        <v>59.14</v>
      </c>
      <c r="I145" s="15">
        <v>88.7</v>
      </c>
      <c r="J145" s="15">
        <v>0</v>
      </c>
      <c r="K145" s="15">
        <v>59.85</v>
      </c>
      <c r="L145" s="15">
        <v>89.52</v>
      </c>
      <c r="M145" s="15">
        <v>80.567999999999998</v>
      </c>
      <c r="N145" s="17">
        <v>98.472000000000008</v>
      </c>
    </row>
    <row r="146" spans="1:14" x14ac:dyDescent="0.3">
      <c r="A146" s="16" t="s">
        <v>199</v>
      </c>
      <c r="B146" s="14" t="s">
        <v>4</v>
      </c>
      <c r="C146" s="15">
        <v>0</v>
      </c>
      <c r="D146" s="15">
        <v>0</v>
      </c>
      <c r="E146" s="15">
        <v>0</v>
      </c>
      <c r="F146" s="15">
        <v>34.1</v>
      </c>
      <c r="G146" s="15">
        <v>0</v>
      </c>
      <c r="H146" s="15">
        <v>0</v>
      </c>
      <c r="I146" s="15">
        <v>0</v>
      </c>
      <c r="J146" s="15">
        <v>169.68</v>
      </c>
      <c r="K146" s="15">
        <v>67.77</v>
      </c>
      <c r="L146" s="15">
        <v>169.7</v>
      </c>
      <c r="M146" s="15">
        <v>152.72999999999999</v>
      </c>
      <c r="N146" s="17">
        <v>186.67000000000002</v>
      </c>
    </row>
    <row r="147" spans="1:14" x14ac:dyDescent="0.3">
      <c r="A147" s="16" t="s">
        <v>200</v>
      </c>
      <c r="B147" s="14" t="s">
        <v>4</v>
      </c>
      <c r="C147" s="15">
        <v>0</v>
      </c>
      <c r="D147" s="15">
        <v>0</v>
      </c>
      <c r="E147" s="15">
        <v>142.31</v>
      </c>
      <c r="F147" s="15">
        <v>0</v>
      </c>
      <c r="G147" s="15">
        <v>0</v>
      </c>
      <c r="H147" s="15">
        <v>0</v>
      </c>
      <c r="I147" s="15">
        <v>0</v>
      </c>
      <c r="J147" s="15">
        <v>177.61</v>
      </c>
      <c r="K147" s="15">
        <v>0</v>
      </c>
      <c r="L147" s="15">
        <v>106.82</v>
      </c>
      <c r="M147" s="15">
        <v>96.137999999999991</v>
      </c>
      <c r="N147" s="17">
        <v>117.502</v>
      </c>
    </row>
    <row r="148" spans="1:14" x14ac:dyDescent="0.3">
      <c r="A148" s="16" t="s">
        <v>201</v>
      </c>
      <c r="B148" s="14" t="s">
        <v>4</v>
      </c>
      <c r="C148" s="15">
        <v>0</v>
      </c>
      <c r="D148" s="15">
        <v>143.46</v>
      </c>
      <c r="E148" s="15">
        <v>35.82</v>
      </c>
      <c r="F148" s="15">
        <v>0</v>
      </c>
      <c r="G148" s="15">
        <v>0</v>
      </c>
      <c r="H148" s="15">
        <v>0</v>
      </c>
      <c r="I148" s="15">
        <v>0</v>
      </c>
      <c r="J148" s="15">
        <v>239.2</v>
      </c>
      <c r="K148" s="15">
        <v>0</v>
      </c>
      <c r="L148" s="15">
        <v>0</v>
      </c>
      <c r="M148" s="15">
        <v>0</v>
      </c>
      <c r="N148" s="17">
        <v>0</v>
      </c>
    </row>
    <row r="149" spans="1:14" x14ac:dyDescent="0.3">
      <c r="A149" s="16" t="s">
        <v>202</v>
      </c>
      <c r="B149" s="14" t="s">
        <v>4</v>
      </c>
      <c r="C149" s="15">
        <v>0</v>
      </c>
      <c r="D149" s="15">
        <v>0</v>
      </c>
      <c r="E149" s="15">
        <v>170.84</v>
      </c>
      <c r="F149" s="15">
        <v>240.19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7">
        <v>0</v>
      </c>
    </row>
    <row r="150" spans="1:14" x14ac:dyDescent="0.3">
      <c r="A150" s="16" t="s">
        <v>203</v>
      </c>
      <c r="B150" s="14" t="s">
        <v>4</v>
      </c>
      <c r="C150" s="15">
        <v>0</v>
      </c>
      <c r="D150" s="15">
        <v>0</v>
      </c>
      <c r="E150" s="15">
        <v>113.57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285.10000000000002</v>
      </c>
      <c r="L150" s="15">
        <v>0</v>
      </c>
      <c r="M150" s="15">
        <v>0</v>
      </c>
      <c r="N150" s="17">
        <v>0</v>
      </c>
    </row>
    <row r="151" spans="1:14" x14ac:dyDescent="0.3">
      <c r="A151" s="16" t="s">
        <v>204</v>
      </c>
      <c r="B151" s="14" t="s">
        <v>4</v>
      </c>
      <c r="C151" s="15">
        <v>0</v>
      </c>
      <c r="D151" s="15">
        <v>0</v>
      </c>
      <c r="E151" s="15">
        <v>0</v>
      </c>
      <c r="F151" s="15">
        <v>0</v>
      </c>
      <c r="G151" s="15">
        <v>98.3</v>
      </c>
      <c r="H151" s="15">
        <v>0</v>
      </c>
      <c r="I151" s="15">
        <v>0</v>
      </c>
      <c r="J151" s="15">
        <v>197.65</v>
      </c>
      <c r="K151" s="15">
        <v>98.23</v>
      </c>
      <c r="L151" s="15">
        <v>0</v>
      </c>
      <c r="M151" s="15">
        <v>0</v>
      </c>
      <c r="N151" s="17">
        <v>0</v>
      </c>
    </row>
    <row r="152" spans="1:14" x14ac:dyDescent="0.3">
      <c r="A152" s="16" t="s">
        <v>205</v>
      </c>
      <c r="B152" s="14" t="s">
        <v>4</v>
      </c>
      <c r="C152" s="15">
        <v>0</v>
      </c>
      <c r="D152" s="15">
        <v>193.53</v>
      </c>
      <c r="E152" s="15">
        <v>110.78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83.11</v>
      </c>
      <c r="L152" s="15">
        <v>0</v>
      </c>
      <c r="M152" s="15">
        <v>0</v>
      </c>
      <c r="N152" s="17">
        <v>0</v>
      </c>
    </row>
    <row r="153" spans="1:14" x14ac:dyDescent="0.3">
      <c r="A153" s="16" t="s">
        <v>206</v>
      </c>
      <c r="B153" s="14" t="s">
        <v>4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35.96</v>
      </c>
      <c r="I153" s="15">
        <v>0</v>
      </c>
      <c r="J153" s="15">
        <v>108.1</v>
      </c>
      <c r="K153" s="15">
        <v>108.25</v>
      </c>
      <c r="L153" s="15">
        <v>131.02000000000001</v>
      </c>
      <c r="M153" s="15">
        <v>117.91800000000001</v>
      </c>
      <c r="N153" s="17">
        <v>144.12200000000001</v>
      </c>
    </row>
    <row r="154" spans="1:14" x14ac:dyDescent="0.3">
      <c r="A154" s="16" t="s">
        <v>207</v>
      </c>
      <c r="B154" s="14" t="s">
        <v>4</v>
      </c>
      <c r="C154" s="15">
        <v>0</v>
      </c>
      <c r="D154" s="15">
        <v>0</v>
      </c>
      <c r="E154" s="15">
        <v>0</v>
      </c>
      <c r="F154" s="15">
        <v>241.2</v>
      </c>
      <c r="G154" s="15">
        <v>26.68</v>
      </c>
      <c r="H154" s="15">
        <v>0</v>
      </c>
      <c r="I154" s="15">
        <v>53.53</v>
      </c>
      <c r="J154" s="15">
        <v>0</v>
      </c>
      <c r="K154" s="15">
        <v>53.69</v>
      </c>
      <c r="L154" s="15">
        <v>0</v>
      </c>
      <c r="M154" s="15">
        <v>0</v>
      </c>
      <c r="N154" s="17">
        <v>0</v>
      </c>
    </row>
    <row r="155" spans="1:14" x14ac:dyDescent="0.3">
      <c r="A155" s="16" t="s">
        <v>208</v>
      </c>
      <c r="B155" s="14" t="s">
        <v>4</v>
      </c>
      <c r="C155" s="15">
        <v>0</v>
      </c>
      <c r="D155" s="15">
        <v>60.93</v>
      </c>
      <c r="E155" s="15">
        <v>61.01</v>
      </c>
      <c r="F155" s="15">
        <v>30.45</v>
      </c>
      <c r="G155" s="15">
        <v>30.6</v>
      </c>
      <c r="H155" s="15">
        <v>30.45</v>
      </c>
      <c r="I155" s="15">
        <v>0</v>
      </c>
      <c r="J155" s="15">
        <v>0</v>
      </c>
      <c r="K155" s="15">
        <v>152.38</v>
      </c>
      <c r="L155" s="15">
        <v>0</v>
      </c>
      <c r="M155" s="15">
        <v>0</v>
      </c>
      <c r="N155" s="17">
        <v>0</v>
      </c>
    </row>
    <row r="156" spans="1:14" x14ac:dyDescent="0.3">
      <c r="A156" s="16" t="s">
        <v>209</v>
      </c>
      <c r="B156" s="14" t="s">
        <v>4</v>
      </c>
      <c r="C156" s="15">
        <v>0</v>
      </c>
      <c r="D156" s="15">
        <v>0</v>
      </c>
      <c r="E156" s="15">
        <v>0</v>
      </c>
      <c r="F156" s="15">
        <v>140.21</v>
      </c>
      <c r="G156" s="15">
        <v>0</v>
      </c>
      <c r="H156" s="15">
        <v>0</v>
      </c>
      <c r="I156" s="15">
        <v>0</v>
      </c>
      <c r="J156" s="15">
        <v>35.090000000000003</v>
      </c>
      <c r="K156" s="15">
        <v>175.42</v>
      </c>
      <c r="L156" s="15">
        <v>0</v>
      </c>
      <c r="M156" s="15">
        <v>0</v>
      </c>
      <c r="N156" s="17">
        <v>0</v>
      </c>
    </row>
    <row r="157" spans="1:14" x14ac:dyDescent="0.3">
      <c r="A157" s="16" t="s">
        <v>210</v>
      </c>
      <c r="B157" s="14" t="s">
        <v>4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68.64</v>
      </c>
      <c r="I157" s="15">
        <v>0</v>
      </c>
      <c r="J157" s="15">
        <v>68.16</v>
      </c>
      <c r="K157" s="15">
        <v>0</v>
      </c>
      <c r="L157" s="15">
        <v>204.91</v>
      </c>
      <c r="M157" s="15">
        <v>184.41900000000001</v>
      </c>
      <c r="N157" s="17">
        <v>225.40100000000001</v>
      </c>
    </row>
    <row r="158" spans="1:14" x14ac:dyDescent="0.3">
      <c r="A158" s="16" t="s">
        <v>211</v>
      </c>
      <c r="B158" s="14" t="s">
        <v>4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341.38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7">
        <v>0</v>
      </c>
    </row>
    <row r="159" spans="1:14" x14ac:dyDescent="0.3">
      <c r="A159" s="16" t="s">
        <v>212</v>
      </c>
      <c r="B159" s="14" t="s">
        <v>4</v>
      </c>
      <c r="C159" s="15">
        <v>70.8</v>
      </c>
      <c r="D159" s="15">
        <v>0</v>
      </c>
      <c r="E159" s="15">
        <v>0</v>
      </c>
      <c r="F159" s="15">
        <v>0</v>
      </c>
      <c r="G159" s="15">
        <v>0</v>
      </c>
      <c r="H159" s="15">
        <v>106.54</v>
      </c>
      <c r="I159" s="15">
        <v>0</v>
      </c>
      <c r="J159" s="15">
        <v>0</v>
      </c>
      <c r="K159" s="15">
        <v>0</v>
      </c>
      <c r="L159" s="15">
        <v>140.44</v>
      </c>
      <c r="M159" s="15">
        <v>126.396</v>
      </c>
      <c r="N159" s="17">
        <v>154.48400000000001</v>
      </c>
    </row>
    <row r="160" spans="1:14" x14ac:dyDescent="0.3">
      <c r="A160" s="16" t="s">
        <v>213</v>
      </c>
      <c r="B160" s="14" t="s">
        <v>4</v>
      </c>
      <c r="C160" s="15">
        <v>0</v>
      </c>
      <c r="D160" s="15">
        <v>0</v>
      </c>
      <c r="E160" s="15">
        <v>0</v>
      </c>
      <c r="F160" s="15">
        <v>86.62</v>
      </c>
      <c r="G160" s="15">
        <v>0</v>
      </c>
      <c r="H160" s="15">
        <v>86.83</v>
      </c>
      <c r="I160" s="15">
        <v>0</v>
      </c>
      <c r="J160" s="15">
        <v>0</v>
      </c>
      <c r="K160" s="15">
        <v>144.16999999999999</v>
      </c>
      <c r="L160" s="15">
        <v>0</v>
      </c>
      <c r="M160" s="15">
        <v>0</v>
      </c>
      <c r="N160" s="17">
        <v>0</v>
      </c>
    </row>
    <row r="161" spans="1:14" x14ac:dyDescent="0.3">
      <c r="A161" s="16" t="s">
        <v>214</v>
      </c>
      <c r="B161" s="14" t="s">
        <v>4</v>
      </c>
      <c r="C161" s="15">
        <v>0</v>
      </c>
      <c r="D161" s="15">
        <v>0</v>
      </c>
      <c r="E161" s="15">
        <v>64.209999999999994</v>
      </c>
      <c r="F161" s="15">
        <v>21.14</v>
      </c>
      <c r="G161" s="15">
        <v>32.03</v>
      </c>
      <c r="H161" s="15">
        <v>0</v>
      </c>
      <c r="I161" s="15">
        <v>0</v>
      </c>
      <c r="J161" s="15">
        <v>0</v>
      </c>
      <c r="K161" s="15">
        <v>192.87</v>
      </c>
      <c r="L161" s="15">
        <v>0</v>
      </c>
      <c r="M161" s="15">
        <v>0</v>
      </c>
      <c r="N161" s="17">
        <v>0</v>
      </c>
    </row>
    <row r="162" spans="1:14" x14ac:dyDescent="0.3">
      <c r="A162" s="16" t="s">
        <v>215</v>
      </c>
      <c r="B162" s="14" t="s">
        <v>4</v>
      </c>
      <c r="C162" s="15">
        <v>0</v>
      </c>
      <c r="D162" s="15">
        <v>0</v>
      </c>
      <c r="E162" s="15">
        <v>0</v>
      </c>
      <c r="F162" s="15">
        <v>0</v>
      </c>
      <c r="G162" s="15">
        <v>102.09</v>
      </c>
      <c r="H162" s="15">
        <v>34.07</v>
      </c>
      <c r="I162" s="15">
        <v>136.16</v>
      </c>
      <c r="J162" s="15">
        <v>34.049999999999997</v>
      </c>
      <c r="K162" s="15">
        <v>0</v>
      </c>
      <c r="L162" s="15">
        <v>0</v>
      </c>
      <c r="M162" s="15">
        <v>0</v>
      </c>
      <c r="N162" s="17">
        <v>0</v>
      </c>
    </row>
    <row r="163" spans="1:14" x14ac:dyDescent="0.3">
      <c r="A163" s="16" t="s">
        <v>216</v>
      </c>
      <c r="B163" s="14" t="s">
        <v>4</v>
      </c>
      <c r="C163" s="15">
        <v>0</v>
      </c>
      <c r="D163" s="15">
        <v>50.99</v>
      </c>
      <c r="E163" s="15">
        <v>0</v>
      </c>
      <c r="F163" s="15">
        <v>0</v>
      </c>
      <c r="G163" s="15">
        <v>0</v>
      </c>
      <c r="H163" s="15">
        <v>0</v>
      </c>
      <c r="I163" s="15">
        <v>127.35</v>
      </c>
      <c r="J163" s="15">
        <v>0</v>
      </c>
      <c r="K163" s="15">
        <v>127.21</v>
      </c>
      <c r="L163" s="15">
        <v>0</v>
      </c>
      <c r="M163" s="15">
        <v>0</v>
      </c>
      <c r="N163" s="17">
        <v>0</v>
      </c>
    </row>
    <row r="164" spans="1:14" x14ac:dyDescent="0.3">
      <c r="A164" s="16" t="s">
        <v>217</v>
      </c>
      <c r="B164" s="14" t="s">
        <v>4</v>
      </c>
      <c r="C164" s="15">
        <v>0</v>
      </c>
      <c r="D164" s="15">
        <v>0</v>
      </c>
      <c r="E164" s="15">
        <v>0</v>
      </c>
      <c r="F164" s="15">
        <v>0</v>
      </c>
      <c r="G164" s="15">
        <v>0</v>
      </c>
      <c r="H164" s="15">
        <v>301.69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7">
        <v>0</v>
      </c>
    </row>
    <row r="165" spans="1:14" x14ac:dyDescent="0.3">
      <c r="A165" s="16" t="s">
        <v>218</v>
      </c>
      <c r="B165" s="14" t="s">
        <v>4</v>
      </c>
      <c r="C165" s="15">
        <v>0</v>
      </c>
      <c r="D165" s="15">
        <v>119.82</v>
      </c>
      <c r="E165" s="15">
        <v>0</v>
      </c>
      <c r="F165" s="15">
        <v>180.07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7">
        <v>0</v>
      </c>
    </row>
    <row r="166" spans="1:14" x14ac:dyDescent="0.3">
      <c r="A166" s="16" t="s">
        <v>219</v>
      </c>
      <c r="B166" s="14" t="s">
        <v>4</v>
      </c>
      <c r="C166" s="15">
        <v>0</v>
      </c>
      <c r="D166" s="15">
        <v>29.61</v>
      </c>
      <c r="E166" s="15">
        <v>0</v>
      </c>
      <c r="F166" s="15">
        <v>0</v>
      </c>
      <c r="G166" s="15">
        <v>0</v>
      </c>
      <c r="H166" s="15">
        <v>59.86</v>
      </c>
      <c r="I166" s="15">
        <v>0</v>
      </c>
      <c r="J166" s="15">
        <v>60.08</v>
      </c>
      <c r="K166" s="15">
        <v>0</v>
      </c>
      <c r="L166" s="15">
        <v>149.87</v>
      </c>
      <c r="M166" s="15">
        <v>134.88300000000001</v>
      </c>
      <c r="N166" s="17">
        <v>164.85700000000003</v>
      </c>
    </row>
    <row r="167" spans="1:14" x14ac:dyDescent="0.3">
      <c r="A167" s="16" t="s">
        <v>220</v>
      </c>
      <c r="B167" s="14" t="s">
        <v>4</v>
      </c>
      <c r="C167" s="15">
        <v>0</v>
      </c>
      <c r="D167" s="15">
        <v>0</v>
      </c>
      <c r="E167" s="15">
        <v>59.42</v>
      </c>
      <c r="F167" s="15">
        <v>0</v>
      </c>
      <c r="G167" s="15">
        <v>59.8</v>
      </c>
      <c r="H167" s="15">
        <v>0</v>
      </c>
      <c r="I167" s="15">
        <v>119.63</v>
      </c>
      <c r="J167" s="15">
        <v>0</v>
      </c>
      <c r="K167" s="15">
        <v>59.69</v>
      </c>
      <c r="L167" s="15">
        <v>0</v>
      </c>
      <c r="M167" s="15">
        <v>0</v>
      </c>
      <c r="N167" s="17">
        <v>0</v>
      </c>
    </row>
    <row r="168" spans="1:14" x14ac:dyDescent="0.3">
      <c r="A168" s="16" t="s">
        <v>221</v>
      </c>
      <c r="B168" s="14" t="s">
        <v>4</v>
      </c>
      <c r="C168" s="15">
        <v>0</v>
      </c>
      <c r="D168" s="15">
        <v>0</v>
      </c>
      <c r="E168" s="15">
        <v>33.14</v>
      </c>
      <c r="F168" s="15">
        <v>0</v>
      </c>
      <c r="G168" s="15">
        <v>0</v>
      </c>
      <c r="H168" s="15">
        <v>99.19</v>
      </c>
      <c r="I168" s="15">
        <v>0</v>
      </c>
      <c r="J168" s="15">
        <v>0</v>
      </c>
      <c r="K168" s="15">
        <v>0</v>
      </c>
      <c r="L168" s="15">
        <v>165.49</v>
      </c>
      <c r="M168" s="15">
        <v>148.941</v>
      </c>
      <c r="N168" s="17">
        <v>182.03900000000002</v>
      </c>
    </row>
    <row r="169" spans="1:14" x14ac:dyDescent="0.3">
      <c r="A169" s="16" t="s">
        <v>222</v>
      </c>
      <c r="B169" s="14" t="s">
        <v>4</v>
      </c>
      <c r="C169" s="15">
        <v>0</v>
      </c>
      <c r="D169" s="15">
        <v>0</v>
      </c>
      <c r="E169" s="15">
        <v>68.44</v>
      </c>
      <c r="F169" s="15">
        <v>68.39</v>
      </c>
      <c r="G169" s="15">
        <v>57.1</v>
      </c>
      <c r="H169" s="15">
        <v>0</v>
      </c>
      <c r="I169" s="15">
        <v>68.44</v>
      </c>
      <c r="J169" s="15">
        <v>0</v>
      </c>
      <c r="K169" s="15">
        <v>0</v>
      </c>
      <c r="L169" s="15">
        <v>34.159999999999997</v>
      </c>
      <c r="M169" s="15">
        <v>30.743999999999996</v>
      </c>
      <c r="N169" s="17">
        <v>37.576000000000001</v>
      </c>
    </row>
    <row r="170" spans="1:14" x14ac:dyDescent="0.3">
      <c r="A170" s="16" t="s">
        <v>223</v>
      </c>
      <c r="B170" s="14" t="s">
        <v>4</v>
      </c>
      <c r="C170" s="15">
        <v>0</v>
      </c>
      <c r="D170" s="15">
        <v>0</v>
      </c>
      <c r="E170" s="15">
        <v>32.28</v>
      </c>
      <c r="F170" s="15">
        <v>0</v>
      </c>
      <c r="G170" s="15">
        <v>162.24</v>
      </c>
      <c r="H170" s="15">
        <v>0</v>
      </c>
      <c r="I170" s="15">
        <v>0</v>
      </c>
      <c r="J170" s="15">
        <v>0</v>
      </c>
      <c r="K170" s="15">
        <v>96.86</v>
      </c>
      <c r="L170" s="15">
        <v>0</v>
      </c>
      <c r="M170" s="15">
        <v>0</v>
      </c>
      <c r="N170" s="17">
        <v>0</v>
      </c>
    </row>
    <row r="171" spans="1:14" x14ac:dyDescent="0.3">
      <c r="A171" s="16" t="s">
        <v>224</v>
      </c>
      <c r="B171" s="14" t="s">
        <v>4</v>
      </c>
      <c r="C171" s="15">
        <v>0</v>
      </c>
      <c r="D171" s="15">
        <v>0</v>
      </c>
      <c r="E171" s="15">
        <v>0</v>
      </c>
      <c r="F171" s="15">
        <v>142.44999999999999</v>
      </c>
      <c r="G171" s="15">
        <v>0</v>
      </c>
      <c r="H171" s="15">
        <v>0</v>
      </c>
      <c r="I171" s="15">
        <v>0</v>
      </c>
      <c r="J171" s="15">
        <v>0</v>
      </c>
      <c r="K171" s="15">
        <v>148.75</v>
      </c>
      <c r="L171" s="15">
        <v>0</v>
      </c>
      <c r="M171" s="15">
        <v>0</v>
      </c>
      <c r="N171" s="17">
        <v>0</v>
      </c>
    </row>
    <row r="172" spans="1:14" x14ac:dyDescent="0.3">
      <c r="A172" s="16" t="s">
        <v>225</v>
      </c>
      <c r="B172" s="14" t="s">
        <v>4</v>
      </c>
      <c r="C172" s="15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282.99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7">
        <v>0</v>
      </c>
    </row>
    <row r="173" spans="1:14" x14ac:dyDescent="0.3">
      <c r="A173" s="16" t="s">
        <v>226</v>
      </c>
      <c r="B173" s="14" t="s">
        <v>4</v>
      </c>
      <c r="C173" s="15">
        <v>125.14</v>
      </c>
      <c r="D173" s="15">
        <v>156.80000000000001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7">
        <v>0</v>
      </c>
    </row>
    <row r="174" spans="1:14" x14ac:dyDescent="0.3">
      <c r="A174" s="16" t="s">
        <v>227</v>
      </c>
      <c r="B174" s="14" t="s">
        <v>4</v>
      </c>
      <c r="C174" s="15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279.62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7">
        <v>0</v>
      </c>
    </row>
    <row r="175" spans="1:14" x14ac:dyDescent="0.3">
      <c r="A175" s="16" t="s">
        <v>228</v>
      </c>
      <c r="B175" s="14" t="s">
        <v>4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69.8</v>
      </c>
      <c r="I175" s="15">
        <v>104.76</v>
      </c>
      <c r="J175" s="15">
        <v>104.88</v>
      </c>
      <c r="K175" s="15">
        <v>0</v>
      </c>
      <c r="L175" s="15">
        <v>0</v>
      </c>
      <c r="M175" s="15">
        <v>0</v>
      </c>
      <c r="N175" s="17">
        <v>0</v>
      </c>
    </row>
    <row r="176" spans="1:14" x14ac:dyDescent="0.3">
      <c r="A176" s="16" t="s">
        <v>229</v>
      </c>
      <c r="B176" s="14" t="s">
        <v>4</v>
      </c>
      <c r="C176" s="15">
        <v>0</v>
      </c>
      <c r="D176" s="15">
        <v>0</v>
      </c>
      <c r="E176" s="15">
        <v>0</v>
      </c>
      <c r="F176" s="15">
        <v>172.02</v>
      </c>
      <c r="G176" s="15">
        <v>0</v>
      </c>
      <c r="H176" s="15">
        <v>0</v>
      </c>
      <c r="I176" s="15">
        <v>69.88</v>
      </c>
      <c r="J176" s="15">
        <v>34.9</v>
      </c>
      <c r="K176" s="15">
        <v>0</v>
      </c>
      <c r="L176" s="15">
        <v>0</v>
      </c>
      <c r="M176" s="15">
        <v>0</v>
      </c>
      <c r="N176" s="17">
        <v>0</v>
      </c>
    </row>
    <row r="177" spans="1:14" x14ac:dyDescent="0.3">
      <c r="A177" s="16" t="s">
        <v>230</v>
      </c>
      <c r="B177" s="14" t="s">
        <v>4</v>
      </c>
      <c r="C177" s="15">
        <v>0</v>
      </c>
      <c r="D177" s="15">
        <v>0</v>
      </c>
      <c r="E177" s="15">
        <v>33.94</v>
      </c>
      <c r="F177" s="15">
        <v>0</v>
      </c>
      <c r="G177" s="15">
        <v>135.84</v>
      </c>
      <c r="H177" s="15">
        <v>67.77</v>
      </c>
      <c r="I177" s="15">
        <v>0</v>
      </c>
      <c r="J177" s="15">
        <v>0</v>
      </c>
      <c r="K177" s="15">
        <v>35.19</v>
      </c>
      <c r="L177" s="15">
        <v>0</v>
      </c>
      <c r="M177" s="15">
        <v>0</v>
      </c>
      <c r="N177" s="17">
        <v>0</v>
      </c>
    </row>
    <row r="178" spans="1:14" x14ac:dyDescent="0.3">
      <c r="A178" s="16" t="s">
        <v>231</v>
      </c>
      <c r="B178" s="14" t="s">
        <v>4</v>
      </c>
      <c r="C178" s="15">
        <v>0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101.32</v>
      </c>
      <c r="L178" s="15">
        <v>168.89</v>
      </c>
      <c r="M178" s="15">
        <v>152.001</v>
      </c>
      <c r="N178" s="17">
        <v>185.779</v>
      </c>
    </row>
    <row r="179" spans="1:14" x14ac:dyDescent="0.3">
      <c r="A179" s="16" t="s">
        <v>232</v>
      </c>
      <c r="B179" s="14" t="s">
        <v>4</v>
      </c>
      <c r="C179" s="15">
        <v>0</v>
      </c>
      <c r="D179" s="15">
        <v>0</v>
      </c>
      <c r="E179" s="15">
        <v>0</v>
      </c>
      <c r="F179" s="15">
        <v>31.19</v>
      </c>
      <c r="G179" s="15">
        <v>0</v>
      </c>
      <c r="H179" s="15">
        <v>92.69</v>
      </c>
      <c r="I179" s="15">
        <v>61.67</v>
      </c>
      <c r="J179" s="15">
        <v>0</v>
      </c>
      <c r="K179" s="15">
        <v>0</v>
      </c>
      <c r="L179" s="15">
        <v>82.11</v>
      </c>
      <c r="M179" s="15">
        <v>73.899000000000001</v>
      </c>
      <c r="N179" s="17">
        <v>90.321000000000012</v>
      </c>
    </row>
    <row r="180" spans="1:14" x14ac:dyDescent="0.3">
      <c r="A180" s="16" t="s">
        <v>233</v>
      </c>
      <c r="B180" s="14" t="s">
        <v>4</v>
      </c>
      <c r="C180" s="15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96.22</v>
      </c>
      <c r="L180" s="15">
        <v>171.36</v>
      </c>
      <c r="M180" s="15">
        <v>154.22400000000002</v>
      </c>
      <c r="N180" s="17">
        <v>188.49600000000004</v>
      </c>
    </row>
    <row r="181" spans="1:14" x14ac:dyDescent="0.3">
      <c r="A181" s="16" t="s">
        <v>234</v>
      </c>
      <c r="B181" s="14" t="s">
        <v>4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242.65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7">
        <v>0</v>
      </c>
    </row>
    <row r="182" spans="1:14" x14ac:dyDescent="0.3">
      <c r="A182" s="16" t="s">
        <v>235</v>
      </c>
      <c r="B182" s="14" t="s">
        <v>4</v>
      </c>
      <c r="C182" s="15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101.53</v>
      </c>
      <c r="I182" s="15">
        <v>0</v>
      </c>
      <c r="J182" s="15">
        <v>67.86</v>
      </c>
      <c r="K182" s="15">
        <v>67.94</v>
      </c>
      <c r="L182" s="15">
        <v>0</v>
      </c>
      <c r="M182" s="15">
        <v>0</v>
      </c>
      <c r="N182" s="17">
        <v>0</v>
      </c>
    </row>
    <row r="183" spans="1:14" x14ac:dyDescent="0.3">
      <c r="A183" s="16" t="s">
        <v>236</v>
      </c>
      <c r="B183" s="14" t="s">
        <v>4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66.86</v>
      </c>
      <c r="I183" s="15">
        <v>66.56</v>
      </c>
      <c r="J183" s="15">
        <v>0</v>
      </c>
      <c r="K183" s="15">
        <v>0</v>
      </c>
      <c r="L183" s="15">
        <v>100.47</v>
      </c>
      <c r="M183" s="15">
        <v>90.423000000000002</v>
      </c>
      <c r="N183" s="17">
        <v>110.51700000000001</v>
      </c>
    </row>
    <row r="184" spans="1:14" x14ac:dyDescent="0.3">
      <c r="A184" s="16" t="s">
        <v>237</v>
      </c>
      <c r="B184" s="14" t="s">
        <v>4</v>
      </c>
      <c r="C184" s="15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69.12</v>
      </c>
      <c r="J184" s="15">
        <v>161.66999999999999</v>
      </c>
      <c r="K184" s="15">
        <v>0</v>
      </c>
      <c r="L184" s="15">
        <v>0</v>
      </c>
      <c r="M184" s="15">
        <v>0</v>
      </c>
      <c r="N184" s="17">
        <v>0</v>
      </c>
    </row>
    <row r="185" spans="1:14" x14ac:dyDescent="0.3">
      <c r="A185" s="16" t="s">
        <v>238</v>
      </c>
      <c r="B185" s="14" t="s">
        <v>4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65.02</v>
      </c>
      <c r="I185" s="15">
        <v>0</v>
      </c>
      <c r="J185" s="15">
        <v>161.29</v>
      </c>
      <c r="K185" s="15">
        <v>0</v>
      </c>
      <c r="L185" s="15">
        <v>0</v>
      </c>
      <c r="M185" s="15">
        <v>0</v>
      </c>
      <c r="N185" s="17">
        <v>0</v>
      </c>
    </row>
    <row r="186" spans="1:14" x14ac:dyDescent="0.3">
      <c r="A186" s="16" t="s">
        <v>239</v>
      </c>
      <c r="B186" s="14" t="s">
        <v>4</v>
      </c>
      <c r="C186" s="15">
        <v>0</v>
      </c>
      <c r="D186" s="15">
        <v>0</v>
      </c>
      <c r="E186" s="15">
        <v>159.97999999999999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63.94</v>
      </c>
      <c r="M186" s="15">
        <v>57.545999999999999</v>
      </c>
      <c r="N186" s="17">
        <v>70.334000000000003</v>
      </c>
    </row>
    <row r="187" spans="1:14" x14ac:dyDescent="0.3">
      <c r="A187" s="16" t="s">
        <v>240</v>
      </c>
      <c r="B187" s="14" t="s">
        <v>4</v>
      </c>
      <c r="C187" s="15">
        <v>0</v>
      </c>
      <c r="D187" s="15">
        <v>0</v>
      </c>
      <c r="E187" s="15">
        <v>60.3</v>
      </c>
      <c r="F187" s="15">
        <v>0</v>
      </c>
      <c r="G187" s="15">
        <v>60.62</v>
      </c>
      <c r="H187" s="15">
        <v>60.68</v>
      </c>
      <c r="I187" s="15">
        <v>0</v>
      </c>
      <c r="J187" s="15">
        <v>0</v>
      </c>
      <c r="K187" s="15">
        <v>0</v>
      </c>
      <c r="L187" s="15">
        <v>29.95</v>
      </c>
      <c r="M187" s="15">
        <v>26.954999999999998</v>
      </c>
      <c r="N187" s="17">
        <v>32.945</v>
      </c>
    </row>
    <row r="188" spans="1:14" x14ac:dyDescent="0.3">
      <c r="A188" s="16" t="s">
        <v>241</v>
      </c>
      <c r="B188" s="14" t="s">
        <v>4</v>
      </c>
      <c r="C188" s="15">
        <v>0</v>
      </c>
      <c r="D188" s="15">
        <v>0</v>
      </c>
      <c r="E188" s="15">
        <v>0</v>
      </c>
      <c r="F188" s="15">
        <v>0</v>
      </c>
      <c r="G188" s="15">
        <v>0</v>
      </c>
      <c r="H188" s="15">
        <v>34.72</v>
      </c>
      <c r="I188" s="15">
        <v>0</v>
      </c>
      <c r="J188" s="15">
        <v>173.3</v>
      </c>
      <c r="K188" s="15">
        <v>0</v>
      </c>
      <c r="L188" s="15">
        <v>0</v>
      </c>
      <c r="M188" s="15">
        <v>0</v>
      </c>
      <c r="N188" s="17">
        <v>0</v>
      </c>
    </row>
    <row r="189" spans="1:14" x14ac:dyDescent="0.3">
      <c r="A189" s="16" t="s">
        <v>242</v>
      </c>
      <c r="B189" s="14" t="s">
        <v>4</v>
      </c>
      <c r="C189" s="15">
        <v>0</v>
      </c>
      <c r="D189" s="15">
        <v>0</v>
      </c>
      <c r="E189" s="15">
        <v>0</v>
      </c>
      <c r="F189" s="15">
        <v>0</v>
      </c>
      <c r="G189" s="15">
        <v>67.75</v>
      </c>
      <c r="H189" s="15">
        <v>0</v>
      </c>
      <c r="I189" s="15">
        <v>0</v>
      </c>
      <c r="J189" s="15">
        <v>135.22</v>
      </c>
      <c r="K189" s="15">
        <v>0</v>
      </c>
      <c r="L189" s="15">
        <v>0</v>
      </c>
      <c r="M189" s="15">
        <v>0</v>
      </c>
      <c r="N189" s="17">
        <v>0</v>
      </c>
    </row>
    <row r="190" spans="1:14" x14ac:dyDescent="0.3">
      <c r="A190" s="16" t="s">
        <v>243</v>
      </c>
      <c r="B190" s="14" t="s">
        <v>4</v>
      </c>
      <c r="C190" s="15">
        <v>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202.93</v>
      </c>
      <c r="M190" s="15">
        <v>182.637</v>
      </c>
      <c r="N190" s="17">
        <v>223.22300000000001</v>
      </c>
    </row>
    <row r="191" spans="1:14" x14ac:dyDescent="0.3">
      <c r="A191" s="16" t="s">
        <v>244</v>
      </c>
      <c r="B191" s="14" t="s">
        <v>4</v>
      </c>
      <c r="C191" s="15">
        <v>66.66</v>
      </c>
      <c r="D191" s="15">
        <v>0</v>
      </c>
      <c r="E191" s="15">
        <v>0</v>
      </c>
      <c r="F191" s="15">
        <v>0</v>
      </c>
      <c r="G191" s="15">
        <v>0</v>
      </c>
      <c r="H191" s="15">
        <v>11.37</v>
      </c>
      <c r="I191" s="15">
        <v>33.450000000000003</v>
      </c>
      <c r="J191" s="15">
        <v>0</v>
      </c>
      <c r="K191" s="15">
        <v>0</v>
      </c>
      <c r="L191" s="15">
        <v>78.05</v>
      </c>
      <c r="M191" s="15">
        <v>70.245000000000005</v>
      </c>
      <c r="N191" s="17">
        <v>85.855000000000004</v>
      </c>
    </row>
    <row r="192" spans="1:14" x14ac:dyDescent="0.3">
      <c r="A192" s="16" t="s">
        <v>245</v>
      </c>
      <c r="B192" s="14" t="s">
        <v>4</v>
      </c>
      <c r="C192" s="15">
        <v>0</v>
      </c>
      <c r="D192" s="15">
        <v>0</v>
      </c>
      <c r="E192" s="15">
        <v>0</v>
      </c>
      <c r="F192" s="15">
        <v>0</v>
      </c>
      <c r="G192" s="15">
        <v>0</v>
      </c>
      <c r="H192" s="15">
        <v>140.24</v>
      </c>
      <c r="I192" s="15">
        <v>0</v>
      </c>
      <c r="J192" s="15">
        <v>46.54</v>
      </c>
      <c r="K192" s="15">
        <v>0</v>
      </c>
      <c r="L192" s="15">
        <v>0</v>
      </c>
      <c r="M192" s="15">
        <v>0</v>
      </c>
      <c r="N192" s="17">
        <v>0</v>
      </c>
    </row>
    <row r="193" spans="1:14" x14ac:dyDescent="0.3">
      <c r="A193" s="16" t="s">
        <v>246</v>
      </c>
      <c r="B193" s="14" t="s">
        <v>4</v>
      </c>
      <c r="C193" s="15">
        <v>0</v>
      </c>
      <c r="D193" s="15">
        <v>0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184.67</v>
      </c>
      <c r="L193" s="15">
        <v>0</v>
      </c>
      <c r="M193" s="15">
        <v>0</v>
      </c>
      <c r="N193" s="17">
        <v>0</v>
      </c>
    </row>
    <row r="194" spans="1:14" x14ac:dyDescent="0.3">
      <c r="A194" s="16" t="s">
        <v>247</v>
      </c>
      <c r="B194" s="14" t="s">
        <v>4</v>
      </c>
      <c r="C194" s="15">
        <v>0</v>
      </c>
      <c r="D194" s="15">
        <v>0</v>
      </c>
      <c r="E194" s="15">
        <v>0</v>
      </c>
      <c r="F194" s="15">
        <v>0</v>
      </c>
      <c r="G194" s="15">
        <v>0</v>
      </c>
      <c r="H194" s="15">
        <v>182.69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7">
        <v>0</v>
      </c>
    </row>
    <row r="195" spans="1:14" x14ac:dyDescent="0.3">
      <c r="A195" s="16" t="s">
        <v>248</v>
      </c>
      <c r="B195" s="14" t="s">
        <v>4</v>
      </c>
      <c r="C195" s="15">
        <v>0</v>
      </c>
      <c r="D195" s="15">
        <v>0</v>
      </c>
      <c r="E195" s="15">
        <v>0</v>
      </c>
      <c r="F195" s="15">
        <v>0</v>
      </c>
      <c r="G195" s="15">
        <v>71.680000000000007</v>
      </c>
      <c r="H195" s="15">
        <v>107.91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7">
        <v>0</v>
      </c>
    </row>
    <row r="196" spans="1:14" x14ac:dyDescent="0.3">
      <c r="A196" s="16" t="s">
        <v>249</v>
      </c>
      <c r="B196" s="14" t="s">
        <v>4</v>
      </c>
      <c r="C196" s="15">
        <v>0</v>
      </c>
      <c r="D196" s="15">
        <v>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69.180000000000007</v>
      </c>
      <c r="K196" s="15">
        <v>69.150000000000006</v>
      </c>
      <c r="L196" s="15">
        <v>34.72</v>
      </c>
      <c r="M196" s="15">
        <v>31.248000000000001</v>
      </c>
      <c r="N196" s="17">
        <v>38.192</v>
      </c>
    </row>
    <row r="197" spans="1:14" x14ac:dyDescent="0.3">
      <c r="A197" s="16" t="s">
        <v>250</v>
      </c>
      <c r="B197" s="14" t="s">
        <v>4</v>
      </c>
      <c r="C197" s="15">
        <v>0</v>
      </c>
      <c r="D197" s="15">
        <v>0</v>
      </c>
      <c r="E197" s="15">
        <v>57.38</v>
      </c>
      <c r="F197" s="15">
        <v>115.09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7">
        <v>0</v>
      </c>
    </row>
    <row r="198" spans="1:14" x14ac:dyDescent="0.3">
      <c r="A198" s="16" t="s">
        <v>251</v>
      </c>
      <c r="B198" s="14" t="s">
        <v>4</v>
      </c>
      <c r="C198" s="15">
        <v>0</v>
      </c>
      <c r="D198" s="15">
        <v>0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172.47</v>
      </c>
      <c r="L198" s="15">
        <v>0</v>
      </c>
      <c r="M198" s="15">
        <v>0</v>
      </c>
      <c r="N198" s="17">
        <v>0</v>
      </c>
    </row>
    <row r="199" spans="1:14" x14ac:dyDescent="0.3">
      <c r="A199" s="16" t="s">
        <v>252</v>
      </c>
      <c r="B199" s="14" t="s">
        <v>4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170.62</v>
      </c>
      <c r="J199" s="15">
        <v>0</v>
      </c>
      <c r="K199" s="15">
        <v>0</v>
      </c>
      <c r="L199" s="15">
        <v>0</v>
      </c>
      <c r="M199" s="15">
        <v>0</v>
      </c>
      <c r="N199" s="17">
        <v>0</v>
      </c>
    </row>
    <row r="200" spans="1:14" x14ac:dyDescent="0.3">
      <c r="A200" s="16" t="s">
        <v>253</v>
      </c>
      <c r="B200" s="14" t="s">
        <v>4</v>
      </c>
      <c r="C200" s="15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166.86</v>
      </c>
      <c r="L200" s="15">
        <v>0</v>
      </c>
      <c r="M200" s="15">
        <v>0</v>
      </c>
      <c r="N200" s="17">
        <v>0</v>
      </c>
    </row>
    <row r="201" spans="1:14" x14ac:dyDescent="0.3">
      <c r="A201" s="16" t="s">
        <v>254</v>
      </c>
      <c r="B201" s="14" t="s">
        <v>4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166.35</v>
      </c>
      <c r="L201" s="15">
        <v>0</v>
      </c>
      <c r="M201" s="15">
        <v>0</v>
      </c>
      <c r="N201" s="17">
        <v>0</v>
      </c>
    </row>
    <row r="202" spans="1:14" x14ac:dyDescent="0.3">
      <c r="A202" s="16" t="s">
        <v>255</v>
      </c>
      <c r="B202" s="14" t="s">
        <v>4</v>
      </c>
      <c r="C202" s="15">
        <v>0</v>
      </c>
      <c r="D202" s="15">
        <v>0</v>
      </c>
      <c r="E202" s="15">
        <v>160.78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7">
        <v>0</v>
      </c>
    </row>
    <row r="203" spans="1:14" x14ac:dyDescent="0.3">
      <c r="A203" s="16" t="s">
        <v>256</v>
      </c>
      <c r="B203" s="14" t="s">
        <v>4</v>
      </c>
      <c r="C203" s="15">
        <v>0</v>
      </c>
      <c r="D203" s="15">
        <v>0</v>
      </c>
      <c r="E203" s="15">
        <v>0</v>
      </c>
      <c r="F203" s="15">
        <v>31.08</v>
      </c>
      <c r="G203" s="15">
        <v>0</v>
      </c>
      <c r="H203" s="15">
        <v>124.52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7">
        <v>0</v>
      </c>
    </row>
    <row r="204" spans="1:14" x14ac:dyDescent="0.3">
      <c r="A204" s="16" t="s">
        <v>257</v>
      </c>
      <c r="B204" s="14" t="s">
        <v>4</v>
      </c>
      <c r="C204" s="15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61</v>
      </c>
      <c r="I204" s="15">
        <v>0</v>
      </c>
      <c r="J204" s="15">
        <v>0</v>
      </c>
      <c r="K204" s="15">
        <v>91.27</v>
      </c>
      <c r="L204" s="15">
        <v>0</v>
      </c>
      <c r="M204" s="15">
        <v>0</v>
      </c>
      <c r="N204" s="17">
        <v>0</v>
      </c>
    </row>
    <row r="205" spans="1:14" x14ac:dyDescent="0.3">
      <c r="A205" s="16" t="s">
        <v>258</v>
      </c>
      <c r="B205" s="14" t="s">
        <v>4</v>
      </c>
      <c r="C205" s="15">
        <v>0</v>
      </c>
      <c r="D205" s="15">
        <v>0</v>
      </c>
      <c r="E205" s="15">
        <v>0</v>
      </c>
      <c r="F205" s="15">
        <v>0</v>
      </c>
      <c r="G205" s="15">
        <v>134.85</v>
      </c>
      <c r="H205" s="15">
        <v>0</v>
      </c>
      <c r="I205" s="15">
        <v>0</v>
      </c>
      <c r="J205" s="15">
        <v>0</v>
      </c>
      <c r="K205" s="15">
        <v>16.97</v>
      </c>
      <c r="L205" s="15">
        <v>0</v>
      </c>
      <c r="M205" s="15">
        <v>0</v>
      </c>
      <c r="N205" s="17">
        <v>0</v>
      </c>
    </row>
    <row r="206" spans="1:14" x14ac:dyDescent="0.3">
      <c r="A206" s="16" t="s">
        <v>259</v>
      </c>
      <c r="B206" s="14" t="s">
        <v>4</v>
      </c>
      <c r="C206" s="15">
        <v>0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147.07</v>
      </c>
      <c r="K206" s="15">
        <v>0</v>
      </c>
      <c r="L206" s="15">
        <v>0</v>
      </c>
      <c r="M206" s="15">
        <v>0</v>
      </c>
      <c r="N206" s="17">
        <v>0</v>
      </c>
    </row>
    <row r="207" spans="1:14" x14ac:dyDescent="0.3">
      <c r="A207" s="16" t="s">
        <v>260</v>
      </c>
      <c r="B207" s="14" t="s">
        <v>4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141.71</v>
      </c>
      <c r="K207" s="15">
        <v>0</v>
      </c>
      <c r="L207" s="15">
        <v>0</v>
      </c>
      <c r="M207" s="15">
        <v>0</v>
      </c>
      <c r="N207" s="17">
        <v>0</v>
      </c>
    </row>
    <row r="208" spans="1:14" x14ac:dyDescent="0.3">
      <c r="A208" s="16" t="s">
        <v>261</v>
      </c>
      <c r="B208" s="14" t="s">
        <v>4</v>
      </c>
      <c r="C208" s="15">
        <v>0</v>
      </c>
      <c r="D208" s="15">
        <v>0</v>
      </c>
      <c r="E208" s="15">
        <v>0</v>
      </c>
      <c r="F208" s="15">
        <v>0</v>
      </c>
      <c r="G208" s="15">
        <v>0</v>
      </c>
      <c r="H208" s="15">
        <v>139.94999999999999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7">
        <v>0</v>
      </c>
    </row>
    <row r="209" spans="1:14" x14ac:dyDescent="0.3">
      <c r="A209" s="16" t="s">
        <v>262</v>
      </c>
      <c r="B209" s="14" t="s">
        <v>4</v>
      </c>
      <c r="C209" s="15">
        <v>0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136.74</v>
      </c>
      <c r="M209" s="15">
        <v>123.06600000000002</v>
      </c>
      <c r="N209" s="17">
        <v>150.41400000000002</v>
      </c>
    </row>
    <row r="210" spans="1:14" x14ac:dyDescent="0.3">
      <c r="A210" s="16" t="s">
        <v>263</v>
      </c>
      <c r="B210" s="14" t="s">
        <v>4</v>
      </c>
      <c r="C210" s="15">
        <v>0</v>
      </c>
      <c r="D210" s="15">
        <v>0</v>
      </c>
      <c r="E210" s="15">
        <v>31.77</v>
      </c>
      <c r="F210" s="15">
        <v>0</v>
      </c>
      <c r="G210" s="15">
        <v>64.61</v>
      </c>
      <c r="H210" s="15">
        <v>38.869999999999997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7">
        <v>0</v>
      </c>
    </row>
    <row r="211" spans="1:14" x14ac:dyDescent="0.3">
      <c r="A211" s="16" t="s">
        <v>264</v>
      </c>
      <c r="B211" s="14" t="s">
        <v>4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67.260000000000005</v>
      </c>
      <c r="L211" s="15">
        <v>67.3</v>
      </c>
      <c r="M211" s="15">
        <v>60.57</v>
      </c>
      <c r="N211" s="17">
        <v>74.03</v>
      </c>
    </row>
    <row r="212" spans="1:14" x14ac:dyDescent="0.3">
      <c r="A212" s="16" t="s">
        <v>265</v>
      </c>
      <c r="B212" s="14" t="s">
        <v>4</v>
      </c>
      <c r="C212" s="15">
        <v>0</v>
      </c>
      <c r="D212" s="15">
        <v>0</v>
      </c>
      <c r="E212" s="15">
        <v>0</v>
      </c>
      <c r="F212" s="15">
        <v>0</v>
      </c>
      <c r="G212" s="15">
        <v>0</v>
      </c>
      <c r="H212" s="15">
        <v>134.07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7">
        <v>0</v>
      </c>
    </row>
    <row r="213" spans="1:14" x14ac:dyDescent="0.3">
      <c r="A213" s="16" t="s">
        <v>266</v>
      </c>
      <c r="B213" s="14" t="s">
        <v>4</v>
      </c>
      <c r="C213" s="15">
        <v>0</v>
      </c>
      <c r="D213" s="15">
        <v>127.84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7">
        <v>0</v>
      </c>
    </row>
    <row r="214" spans="1:14" x14ac:dyDescent="0.3">
      <c r="A214" s="16" t="s">
        <v>267</v>
      </c>
      <c r="B214" s="14" t="s">
        <v>4</v>
      </c>
      <c r="C214" s="15">
        <v>0</v>
      </c>
      <c r="D214" s="15">
        <v>0</v>
      </c>
      <c r="E214" s="15">
        <v>0</v>
      </c>
      <c r="F214" s="15">
        <v>0</v>
      </c>
      <c r="G214" s="15">
        <v>105.72</v>
      </c>
      <c r="H214" s="15">
        <v>0</v>
      </c>
      <c r="I214" s="15">
        <v>19.690000000000001</v>
      </c>
      <c r="J214" s="15">
        <v>0</v>
      </c>
      <c r="K214" s="15">
        <v>0</v>
      </c>
      <c r="L214" s="15">
        <v>0</v>
      </c>
      <c r="M214" s="15">
        <v>0</v>
      </c>
      <c r="N214" s="17">
        <v>0</v>
      </c>
    </row>
    <row r="215" spans="1:14" x14ac:dyDescent="0.3">
      <c r="A215" s="16" t="s">
        <v>268</v>
      </c>
      <c r="B215" s="14" t="s">
        <v>4</v>
      </c>
      <c r="C215" s="15">
        <v>30.64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92.47</v>
      </c>
      <c r="M215" s="15">
        <v>83.222999999999999</v>
      </c>
      <c r="N215" s="17">
        <v>101.71700000000001</v>
      </c>
    </row>
    <row r="216" spans="1:14" x14ac:dyDescent="0.3">
      <c r="A216" s="16" t="s">
        <v>269</v>
      </c>
      <c r="B216" s="14" t="s">
        <v>4</v>
      </c>
      <c r="C216" s="15">
        <v>0</v>
      </c>
      <c r="D216" s="15">
        <v>0</v>
      </c>
      <c r="E216" s="15">
        <v>0</v>
      </c>
      <c r="F216" s="15">
        <v>0</v>
      </c>
      <c r="G216" s="15">
        <v>0</v>
      </c>
      <c r="H216" s="15">
        <v>0</v>
      </c>
      <c r="I216" s="15">
        <v>112.36</v>
      </c>
      <c r="J216" s="15">
        <v>0</v>
      </c>
      <c r="K216" s="15">
        <v>0</v>
      </c>
      <c r="L216" s="15">
        <v>0</v>
      </c>
      <c r="M216" s="15">
        <v>0</v>
      </c>
      <c r="N216" s="17">
        <v>0</v>
      </c>
    </row>
    <row r="217" spans="1:14" x14ac:dyDescent="0.3">
      <c r="A217" s="16" t="s">
        <v>270</v>
      </c>
      <c r="B217" s="14" t="s">
        <v>4</v>
      </c>
      <c r="C217" s="15">
        <v>0</v>
      </c>
      <c r="D217" s="15">
        <v>0</v>
      </c>
      <c r="E217" s="15">
        <v>102.4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7">
        <v>0</v>
      </c>
    </row>
    <row r="218" spans="1:14" x14ac:dyDescent="0.3">
      <c r="A218" s="16" t="s">
        <v>271</v>
      </c>
      <c r="B218" s="14" t="s">
        <v>4</v>
      </c>
      <c r="C218" s="15">
        <v>0</v>
      </c>
      <c r="D218" s="15">
        <v>0</v>
      </c>
      <c r="E218" s="15">
        <v>0</v>
      </c>
      <c r="F218" s="15">
        <v>0</v>
      </c>
      <c r="G218" s="15">
        <v>0</v>
      </c>
      <c r="H218" s="15">
        <v>99.93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7">
        <v>0</v>
      </c>
    </row>
    <row r="219" spans="1:14" x14ac:dyDescent="0.3">
      <c r="A219" s="16" t="s">
        <v>272</v>
      </c>
      <c r="B219" s="14" t="s">
        <v>4</v>
      </c>
      <c r="C219" s="15">
        <v>0</v>
      </c>
      <c r="D219" s="15">
        <v>0</v>
      </c>
      <c r="E219" s="15">
        <v>0</v>
      </c>
      <c r="F219" s="15">
        <v>0</v>
      </c>
      <c r="G219" s="15">
        <v>64.53</v>
      </c>
      <c r="H219" s="15">
        <v>32.15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7">
        <v>0</v>
      </c>
    </row>
    <row r="220" spans="1:14" x14ac:dyDescent="0.3">
      <c r="A220" s="16" t="s">
        <v>273</v>
      </c>
      <c r="B220" s="14" t="s">
        <v>4</v>
      </c>
      <c r="C220" s="15">
        <v>63.53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32.21</v>
      </c>
      <c r="M220" s="15">
        <v>28.989000000000001</v>
      </c>
      <c r="N220" s="17">
        <v>35.431000000000004</v>
      </c>
    </row>
    <row r="221" spans="1:14" x14ac:dyDescent="0.3">
      <c r="A221" s="16" t="s">
        <v>274</v>
      </c>
      <c r="B221" s="14" t="s">
        <v>4</v>
      </c>
      <c r="C221" s="15">
        <v>0</v>
      </c>
      <c r="D221" s="15">
        <v>0</v>
      </c>
      <c r="E221" s="15">
        <v>0</v>
      </c>
      <c r="F221" s="15">
        <v>0</v>
      </c>
      <c r="G221" s="15">
        <v>95.45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7">
        <v>0</v>
      </c>
    </row>
    <row r="222" spans="1:14" x14ac:dyDescent="0.3">
      <c r="A222" s="16" t="s">
        <v>275</v>
      </c>
      <c r="B222" s="14" t="s">
        <v>4</v>
      </c>
      <c r="C222" s="15">
        <v>0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85.39</v>
      </c>
      <c r="M222" s="15">
        <v>76.850999999999999</v>
      </c>
      <c r="N222" s="17">
        <v>93.929000000000002</v>
      </c>
    </row>
    <row r="223" spans="1:14" x14ac:dyDescent="0.3">
      <c r="A223" s="16" t="s">
        <v>276</v>
      </c>
      <c r="B223" s="14" t="s">
        <v>4</v>
      </c>
      <c r="C223" s="15">
        <v>0</v>
      </c>
      <c r="D223" s="15">
        <v>56.91</v>
      </c>
      <c r="E223" s="15">
        <v>28.47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7">
        <v>0</v>
      </c>
    </row>
    <row r="224" spans="1:14" x14ac:dyDescent="0.3">
      <c r="A224" s="16" t="s">
        <v>277</v>
      </c>
      <c r="B224" s="14" t="s">
        <v>4</v>
      </c>
      <c r="C224" s="15">
        <v>0</v>
      </c>
      <c r="D224" s="15">
        <v>83.59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7">
        <v>0</v>
      </c>
    </row>
    <row r="225" spans="1:14" x14ac:dyDescent="0.3">
      <c r="A225" s="16" t="s">
        <v>278</v>
      </c>
      <c r="B225" s="14" t="s">
        <v>4</v>
      </c>
      <c r="C225" s="15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76.83</v>
      </c>
      <c r="M225" s="15">
        <v>69.147000000000006</v>
      </c>
      <c r="N225" s="17">
        <v>84.513000000000005</v>
      </c>
    </row>
    <row r="226" spans="1:14" x14ac:dyDescent="0.3">
      <c r="A226" s="16" t="s">
        <v>279</v>
      </c>
      <c r="B226" s="14" t="s">
        <v>4</v>
      </c>
      <c r="C226" s="15">
        <v>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70.84</v>
      </c>
      <c r="J226" s="15">
        <v>0</v>
      </c>
      <c r="K226" s="15">
        <v>0</v>
      </c>
      <c r="L226" s="15">
        <v>0</v>
      </c>
      <c r="M226" s="15">
        <v>0</v>
      </c>
      <c r="N226" s="17">
        <v>0</v>
      </c>
    </row>
    <row r="227" spans="1:14" x14ac:dyDescent="0.3">
      <c r="A227" s="16" t="s">
        <v>280</v>
      </c>
      <c r="B227" s="14" t="s">
        <v>4</v>
      </c>
      <c r="C227" s="15">
        <v>0</v>
      </c>
      <c r="D227" s="15">
        <v>0</v>
      </c>
      <c r="E227" s="15">
        <v>0</v>
      </c>
      <c r="F227" s="15">
        <v>68.53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7">
        <v>0</v>
      </c>
    </row>
    <row r="228" spans="1:14" x14ac:dyDescent="0.3">
      <c r="A228" s="16" t="s">
        <v>281</v>
      </c>
      <c r="B228" s="14" t="s">
        <v>4</v>
      </c>
      <c r="C228" s="15">
        <v>0</v>
      </c>
      <c r="D228" s="15">
        <v>0</v>
      </c>
      <c r="E228" s="15">
        <v>0</v>
      </c>
      <c r="F228" s="15">
        <v>68.38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7">
        <v>0</v>
      </c>
    </row>
    <row r="229" spans="1:14" x14ac:dyDescent="0.3">
      <c r="A229" s="16" t="s">
        <v>282</v>
      </c>
      <c r="B229" s="14" t="s">
        <v>4</v>
      </c>
      <c r="C229" s="15">
        <v>0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67.89</v>
      </c>
      <c r="K229" s="15">
        <v>0</v>
      </c>
      <c r="L229" s="15">
        <v>0</v>
      </c>
      <c r="M229" s="15">
        <v>0</v>
      </c>
      <c r="N229" s="17">
        <v>0</v>
      </c>
    </row>
    <row r="230" spans="1:14" x14ac:dyDescent="0.3">
      <c r="A230" s="16" t="s">
        <v>283</v>
      </c>
      <c r="B230" s="14" t="s">
        <v>4</v>
      </c>
      <c r="C230" s="15">
        <v>0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66.540000000000006</v>
      </c>
      <c r="M230" s="15">
        <v>59.88600000000001</v>
      </c>
      <c r="N230" s="17">
        <v>73.194000000000017</v>
      </c>
    </row>
    <row r="231" spans="1:14" x14ac:dyDescent="0.3">
      <c r="A231" s="16" t="s">
        <v>284</v>
      </c>
      <c r="B231" s="14" t="s">
        <v>4</v>
      </c>
      <c r="C231" s="15">
        <v>0</v>
      </c>
      <c r="D231" s="15">
        <v>0</v>
      </c>
      <c r="E231" s="15">
        <v>0</v>
      </c>
      <c r="F231" s="15">
        <v>30.44</v>
      </c>
      <c r="G231" s="15">
        <v>0</v>
      </c>
      <c r="H231" s="15">
        <v>0</v>
      </c>
      <c r="I231" s="15">
        <v>30.41</v>
      </c>
      <c r="J231" s="15">
        <v>0</v>
      </c>
      <c r="K231" s="15">
        <v>0</v>
      </c>
      <c r="L231" s="15">
        <v>0</v>
      </c>
      <c r="M231" s="15">
        <v>0</v>
      </c>
      <c r="N231" s="17">
        <v>0</v>
      </c>
    </row>
    <row r="232" spans="1:14" x14ac:dyDescent="0.3">
      <c r="A232" s="16" t="s">
        <v>285</v>
      </c>
      <c r="B232" s="14" t="s">
        <v>4</v>
      </c>
      <c r="C232" s="15">
        <v>0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59.3</v>
      </c>
      <c r="L232" s="15">
        <v>0</v>
      </c>
      <c r="M232" s="15">
        <v>0</v>
      </c>
      <c r="N232" s="17">
        <v>0</v>
      </c>
    </row>
    <row r="233" spans="1:14" x14ac:dyDescent="0.3">
      <c r="A233" s="16" t="s">
        <v>286</v>
      </c>
      <c r="B233" s="14" t="s">
        <v>4</v>
      </c>
      <c r="C233" s="15">
        <v>0</v>
      </c>
      <c r="D233" s="15">
        <v>54.98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7">
        <v>0</v>
      </c>
    </row>
    <row r="234" spans="1:14" x14ac:dyDescent="0.3">
      <c r="A234" s="16" t="s">
        <v>287</v>
      </c>
      <c r="B234" s="14" t="s">
        <v>4</v>
      </c>
      <c r="C234" s="15">
        <v>0</v>
      </c>
      <c r="D234" s="15">
        <v>0</v>
      </c>
      <c r="E234" s="15">
        <v>0</v>
      </c>
      <c r="F234" s="15">
        <v>0</v>
      </c>
      <c r="G234" s="15">
        <v>0</v>
      </c>
      <c r="H234" s="15">
        <v>0</v>
      </c>
      <c r="I234" s="15">
        <v>54.76</v>
      </c>
      <c r="J234" s="15">
        <v>0</v>
      </c>
      <c r="K234" s="15">
        <v>0</v>
      </c>
      <c r="L234" s="15">
        <v>0</v>
      </c>
      <c r="M234" s="15">
        <v>0</v>
      </c>
      <c r="N234" s="17">
        <v>0</v>
      </c>
    </row>
    <row r="235" spans="1:14" x14ac:dyDescent="0.3">
      <c r="A235" s="16" t="s">
        <v>288</v>
      </c>
      <c r="B235" s="14" t="s">
        <v>4</v>
      </c>
      <c r="C235" s="15">
        <v>0</v>
      </c>
      <c r="D235" s="15">
        <v>0</v>
      </c>
      <c r="E235" s="15">
        <v>0</v>
      </c>
      <c r="F235" s="15">
        <v>0</v>
      </c>
      <c r="G235" s="15">
        <v>0</v>
      </c>
      <c r="H235" s="15">
        <v>46.65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7">
        <v>0</v>
      </c>
    </row>
    <row r="236" spans="1:14" x14ac:dyDescent="0.3">
      <c r="A236" s="16" t="s">
        <v>289</v>
      </c>
      <c r="B236" s="14" t="s">
        <v>4</v>
      </c>
      <c r="C236" s="15">
        <v>0</v>
      </c>
      <c r="D236" s="15">
        <v>0</v>
      </c>
      <c r="E236" s="15">
        <v>0</v>
      </c>
      <c r="F236" s="15">
        <v>0</v>
      </c>
      <c r="G236" s="15">
        <v>0</v>
      </c>
      <c r="H236" s="15">
        <v>0</v>
      </c>
      <c r="I236" s="15">
        <v>37.53</v>
      </c>
      <c r="J236" s="15">
        <v>0</v>
      </c>
      <c r="K236" s="15">
        <v>0</v>
      </c>
      <c r="L236" s="15">
        <v>0</v>
      </c>
      <c r="M236" s="15">
        <v>0</v>
      </c>
      <c r="N236" s="17">
        <v>0</v>
      </c>
    </row>
    <row r="237" spans="1:14" x14ac:dyDescent="0.3">
      <c r="A237" s="16" t="s">
        <v>290</v>
      </c>
      <c r="B237" s="14" t="s">
        <v>4</v>
      </c>
      <c r="C237" s="15">
        <v>0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34.39</v>
      </c>
      <c r="M237" s="15">
        <v>30.951000000000001</v>
      </c>
      <c r="N237" s="17">
        <v>37.829000000000001</v>
      </c>
    </row>
    <row r="238" spans="1:14" x14ac:dyDescent="0.3">
      <c r="A238" s="16" t="s">
        <v>291</v>
      </c>
      <c r="B238" s="14" t="s">
        <v>4</v>
      </c>
      <c r="C238" s="15">
        <v>0</v>
      </c>
      <c r="D238" s="15">
        <v>0</v>
      </c>
      <c r="E238" s="15">
        <v>0</v>
      </c>
      <c r="F238" s="15">
        <v>0</v>
      </c>
      <c r="G238" s="15">
        <v>32.619999999999997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7">
        <v>0</v>
      </c>
    </row>
    <row r="239" spans="1:14" x14ac:dyDescent="0.3">
      <c r="A239" s="16" t="s">
        <v>292</v>
      </c>
      <c r="B239" s="14" t="s">
        <v>4</v>
      </c>
      <c r="C239" s="15">
        <v>0</v>
      </c>
      <c r="D239" s="15">
        <v>0</v>
      </c>
      <c r="E239" s="15">
        <v>0</v>
      </c>
      <c r="F239" s="15">
        <v>29.07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7">
        <v>0</v>
      </c>
    </row>
    <row r="240" spans="1:14" x14ac:dyDescent="0.3">
      <c r="A240" s="16" t="s">
        <v>293</v>
      </c>
      <c r="B240" s="14" t="s">
        <v>4</v>
      </c>
      <c r="C240" s="15">
        <v>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28</v>
      </c>
      <c r="M240" s="15">
        <v>25.2</v>
      </c>
      <c r="N240" s="17">
        <v>30.800000000000004</v>
      </c>
    </row>
    <row r="241" spans="1:14" x14ac:dyDescent="0.3">
      <c r="A241" s="16" t="s">
        <v>294</v>
      </c>
      <c r="B241" s="14" t="s">
        <v>4</v>
      </c>
      <c r="C241" s="15">
        <v>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15.4</v>
      </c>
      <c r="L241" s="15">
        <v>0</v>
      </c>
      <c r="M241" s="15">
        <v>0</v>
      </c>
      <c r="N241" s="17">
        <v>0</v>
      </c>
    </row>
    <row r="242" spans="1:14" ht="15" thickBot="1" x14ac:dyDescent="0.35">
      <c r="A242" s="27" t="s">
        <v>295</v>
      </c>
      <c r="B242" s="28" t="s">
        <v>4</v>
      </c>
      <c r="C242" s="29">
        <v>0</v>
      </c>
      <c r="D242" s="29">
        <v>0</v>
      </c>
      <c r="E242" s="29">
        <v>0</v>
      </c>
      <c r="F242" s="29">
        <v>0</v>
      </c>
      <c r="G242" s="29">
        <v>0</v>
      </c>
      <c r="H242" s="29">
        <v>0</v>
      </c>
      <c r="I242" s="29">
        <v>0</v>
      </c>
      <c r="J242" s="29">
        <v>10.82</v>
      </c>
      <c r="K242" s="29">
        <v>0</v>
      </c>
      <c r="L242" s="29">
        <v>0</v>
      </c>
      <c r="M242" s="29">
        <v>0</v>
      </c>
      <c r="N242" s="30">
        <v>0</v>
      </c>
    </row>
    <row r="243" spans="1:14" ht="15" thickBot="1" x14ac:dyDescent="0.35">
      <c r="A243" s="31" t="s">
        <v>1</v>
      </c>
      <c r="B243" s="32"/>
      <c r="C243" s="33">
        <v>21044.680000000004</v>
      </c>
      <c r="D243" s="33">
        <v>32814.119999999995</v>
      </c>
      <c r="E243" s="33">
        <v>67769.140000000014</v>
      </c>
      <c r="F243" s="33">
        <v>82235.31</v>
      </c>
      <c r="G243" s="33">
        <v>49759.419999999991</v>
      </c>
      <c r="H243" s="33">
        <v>83058.539999999979</v>
      </c>
      <c r="I243" s="33">
        <v>36023.469999999987</v>
      </c>
      <c r="J243" s="33">
        <v>66462</v>
      </c>
      <c r="K243" s="33">
        <v>81723.680000000008</v>
      </c>
      <c r="L243" s="33">
        <v>58603.160000000018</v>
      </c>
      <c r="M243" s="33">
        <f>SUM(M3:M242)</f>
        <v>52941.746999999967</v>
      </c>
      <c r="N243" s="34">
        <f>SUM(N3:N242)</f>
        <v>64781.913000000008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6E9D-CA5D-4CE5-9A2C-8EFD70A953C3}">
  <dimension ref="A3:D30"/>
  <sheetViews>
    <sheetView workbookViewId="0">
      <selection activeCell="G20" sqref="G20"/>
    </sheetView>
  </sheetViews>
  <sheetFormatPr defaultRowHeight="14.4" x14ac:dyDescent="0.3"/>
  <cols>
    <col min="1" max="1" width="10.77734375" style="138" bestFit="1" customWidth="1"/>
    <col min="2" max="2" width="6.6640625" bestFit="1" customWidth="1"/>
    <col min="3" max="3" width="9.44140625" bestFit="1" customWidth="1"/>
    <col min="4" max="4" width="8.6640625" bestFit="1" customWidth="1"/>
  </cols>
  <sheetData>
    <row r="3" spans="1:4" x14ac:dyDescent="0.3">
      <c r="A3" s="144" t="s">
        <v>323</v>
      </c>
      <c r="B3" t="s">
        <v>325</v>
      </c>
      <c r="C3" t="s">
        <v>326</v>
      </c>
      <c r="D3" t="s">
        <v>324</v>
      </c>
    </row>
    <row r="4" spans="1:4" x14ac:dyDescent="0.3">
      <c r="A4" s="138" t="s">
        <v>2</v>
      </c>
      <c r="B4" s="140">
        <v>33</v>
      </c>
      <c r="C4" s="139">
        <v>476586.53</v>
      </c>
      <c r="D4" s="3">
        <v>0.68355534497873416</v>
      </c>
    </row>
    <row r="5" spans="1:4" x14ac:dyDescent="0.3">
      <c r="A5" s="138" t="s">
        <v>3</v>
      </c>
      <c r="B5" s="140">
        <v>91</v>
      </c>
      <c r="C5" s="139">
        <v>183993.70000000004</v>
      </c>
      <c r="D5" s="3">
        <v>0.26389725508485046</v>
      </c>
    </row>
    <row r="6" spans="1:4" x14ac:dyDescent="0.3">
      <c r="A6" s="138" t="s">
        <v>4</v>
      </c>
      <c r="B6" s="140">
        <v>116</v>
      </c>
      <c r="C6" s="139">
        <v>36636.950000000004</v>
      </c>
      <c r="D6" s="3">
        <v>5.2547399936415815E-2</v>
      </c>
    </row>
    <row r="7" spans="1:4" x14ac:dyDescent="0.3">
      <c r="A7" s="138" t="s">
        <v>1</v>
      </c>
      <c r="B7" s="140">
        <v>240</v>
      </c>
      <c r="C7" s="139">
        <v>697217.17999999982</v>
      </c>
      <c r="D7" s="3">
        <v>1</v>
      </c>
    </row>
    <row r="10" spans="1:4" x14ac:dyDescent="0.3">
      <c r="A10" s="143" t="s">
        <v>328</v>
      </c>
    </row>
    <row r="11" spans="1:4" x14ac:dyDescent="0.3">
      <c r="A11" s="144" t="s">
        <v>327</v>
      </c>
      <c r="B11" t="s">
        <v>325</v>
      </c>
      <c r="C11" t="s">
        <v>326</v>
      </c>
      <c r="D11" t="s">
        <v>324</v>
      </c>
    </row>
    <row r="12" spans="1:4" x14ac:dyDescent="0.3">
      <c r="A12" s="142">
        <v>8</v>
      </c>
      <c r="B12" s="140">
        <v>12</v>
      </c>
      <c r="C12" s="139">
        <v>283362.39999999997</v>
      </c>
      <c r="D12" s="3">
        <v>0.40641913040639654</v>
      </c>
    </row>
    <row r="13" spans="1:4" x14ac:dyDescent="0.3">
      <c r="A13" s="142">
        <v>16</v>
      </c>
      <c r="B13" s="140">
        <v>28</v>
      </c>
      <c r="C13" s="139">
        <v>229561.58000000002</v>
      </c>
      <c r="D13" s="3">
        <v>0.32925404964920696</v>
      </c>
    </row>
    <row r="14" spans="1:4" x14ac:dyDescent="0.3">
      <c r="A14" s="142">
        <v>32</v>
      </c>
      <c r="B14" s="140">
        <v>178</v>
      </c>
      <c r="C14" s="139">
        <v>166168.55000000002</v>
      </c>
      <c r="D14" s="3">
        <v>0.2383311180025714</v>
      </c>
    </row>
    <row r="15" spans="1:4" x14ac:dyDescent="0.3">
      <c r="A15" s="142">
        <v>64</v>
      </c>
      <c r="B15" s="140">
        <v>22</v>
      </c>
      <c r="C15" s="139">
        <v>18124.650000000001</v>
      </c>
      <c r="D15" s="3">
        <v>2.5995701941825367E-2</v>
      </c>
    </row>
    <row r="16" spans="1:4" x14ac:dyDescent="0.3">
      <c r="A16" s="141" t="s">
        <v>1</v>
      </c>
      <c r="B16" s="140">
        <v>240</v>
      </c>
      <c r="C16" s="139">
        <v>697217.17999999982</v>
      </c>
      <c r="D16" s="3">
        <v>1</v>
      </c>
    </row>
    <row r="20" spans="1:4" x14ac:dyDescent="0.3">
      <c r="A20" s="143" t="s">
        <v>329</v>
      </c>
    </row>
    <row r="21" spans="1:4" x14ac:dyDescent="0.3">
      <c r="A21" s="137" t="s">
        <v>327</v>
      </c>
      <c r="B21" t="s">
        <v>325</v>
      </c>
      <c r="C21" t="s">
        <v>326</v>
      </c>
      <c r="D21" t="s">
        <v>324</v>
      </c>
    </row>
    <row r="22" spans="1:4" x14ac:dyDescent="0.3">
      <c r="A22" s="145">
        <v>1</v>
      </c>
      <c r="B22" s="140">
        <v>7</v>
      </c>
      <c r="C22" s="139">
        <v>193838.34999999998</v>
      </c>
      <c r="D22" s="3">
        <v>0.27801717393137104</v>
      </c>
    </row>
    <row r="23" spans="1:4" x14ac:dyDescent="0.3">
      <c r="A23" s="145">
        <v>2</v>
      </c>
      <c r="B23" s="140">
        <v>19</v>
      </c>
      <c r="C23" s="139">
        <v>235197.51999999996</v>
      </c>
      <c r="D23" s="3">
        <v>0.33733752802821071</v>
      </c>
    </row>
    <row r="24" spans="1:4" x14ac:dyDescent="0.3">
      <c r="A24" s="145">
        <v>3</v>
      </c>
      <c r="B24" s="140">
        <v>17</v>
      </c>
      <c r="C24" s="139">
        <v>95499.190000000017</v>
      </c>
      <c r="D24" s="3">
        <v>0.13697194036440702</v>
      </c>
    </row>
    <row r="25" spans="1:4" x14ac:dyDescent="0.3">
      <c r="A25" s="145">
        <v>4</v>
      </c>
      <c r="B25" s="140">
        <v>19</v>
      </c>
      <c r="C25" s="139">
        <v>54691.979999999996</v>
      </c>
      <c r="D25" s="3">
        <v>7.8443247769654806E-2</v>
      </c>
    </row>
    <row r="26" spans="1:4" x14ac:dyDescent="0.3">
      <c r="A26" s="145">
        <v>5</v>
      </c>
      <c r="B26" s="140">
        <v>22</v>
      </c>
      <c r="C26" s="139">
        <v>40026.480000000003</v>
      </c>
      <c r="D26" s="3">
        <v>5.7408912385090702E-2</v>
      </c>
    </row>
    <row r="27" spans="1:4" x14ac:dyDescent="0.3">
      <c r="A27" s="145">
        <v>6</v>
      </c>
      <c r="B27" s="140">
        <v>18</v>
      </c>
      <c r="C27" s="139">
        <v>23513.629999999997</v>
      </c>
      <c r="D27" s="3">
        <v>3.3724972181551814E-2</v>
      </c>
    </row>
    <row r="28" spans="1:4" x14ac:dyDescent="0.3">
      <c r="A28" s="145">
        <v>7</v>
      </c>
      <c r="B28" s="140">
        <v>17</v>
      </c>
      <c r="C28" s="139">
        <v>15221.140000000001</v>
      </c>
      <c r="D28" s="3">
        <v>2.1831275012471733E-2</v>
      </c>
    </row>
    <row r="29" spans="1:4" x14ac:dyDescent="0.3">
      <c r="A29" s="145">
        <v>8</v>
      </c>
      <c r="B29" s="140">
        <v>121</v>
      </c>
      <c r="C29" s="139">
        <v>39228.889999999992</v>
      </c>
      <c r="D29" s="3">
        <v>5.6264950327242373E-2</v>
      </c>
    </row>
    <row r="30" spans="1:4" x14ac:dyDescent="0.3">
      <c r="A30" s="145" t="s">
        <v>1</v>
      </c>
      <c r="B30" s="140">
        <v>240</v>
      </c>
      <c r="C30" s="139">
        <v>697217.17999999982</v>
      </c>
      <c r="D30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7CFB-EF8E-4811-BFE8-1948BCD19BB9}">
  <dimension ref="A1:AI246"/>
  <sheetViews>
    <sheetView tabSelected="1" topLeftCell="R1" zoomScale="115" zoomScaleNormal="115" workbookViewId="0">
      <selection activeCell="X3" sqref="X3"/>
    </sheetView>
  </sheetViews>
  <sheetFormatPr defaultColWidth="9.109375" defaultRowHeight="14.4" x14ac:dyDescent="0.3"/>
  <cols>
    <col min="1" max="1" width="12.44140625" style="6" bestFit="1" customWidth="1"/>
    <col min="2" max="2" width="9.33203125" style="6" bestFit="1" customWidth="1"/>
    <col min="3" max="3" width="7.88671875" style="6" bestFit="1" customWidth="1"/>
    <col min="4" max="6" width="8" style="6" customWidth="1"/>
    <col min="7" max="7" width="8.5546875" style="6" customWidth="1"/>
    <col min="8" max="8" width="11.33203125" style="6" customWidth="1"/>
    <col min="9" max="9" width="9.33203125" style="6" customWidth="1"/>
    <col min="10" max="10" width="11.33203125" style="6" customWidth="1"/>
    <col min="11" max="11" width="10.5546875" style="6" customWidth="1"/>
    <col min="12" max="14" width="9.44140625" style="6" customWidth="1"/>
    <col min="15" max="15" width="9.44140625" style="6" bestFit="1" customWidth="1"/>
    <col min="16" max="16" width="9.109375" style="6" customWidth="1"/>
    <col min="17" max="17" width="10.5546875" style="6" customWidth="1"/>
    <col min="18" max="18" width="9.109375" style="6" customWidth="1"/>
    <col min="19" max="20" width="11.33203125" style="6" customWidth="1"/>
    <col min="21" max="21" width="9.6640625" style="6" customWidth="1"/>
    <col min="22" max="22" width="11.109375" style="6" customWidth="1"/>
    <col min="23" max="23" width="9.5546875" style="6" customWidth="1"/>
    <col min="24" max="24" width="7.88671875" style="6" customWidth="1"/>
    <col min="25" max="25" width="9.109375" style="6" customWidth="1"/>
    <col min="26" max="26" width="12" style="6" customWidth="1"/>
    <col min="27" max="27" width="9.109375" style="6" bestFit="1" customWidth="1"/>
    <col min="28" max="28" width="9.5546875" style="6" bestFit="1" customWidth="1"/>
    <col min="29" max="29" width="9.109375" style="6"/>
    <col min="30" max="30" width="9.5546875" style="6" bestFit="1" customWidth="1"/>
    <col min="31" max="33" width="9.109375" style="6"/>
    <col min="34" max="34" width="9.88671875" style="6" customWidth="1"/>
    <col min="35" max="16384" width="9.109375" style="6"/>
  </cols>
  <sheetData>
    <row r="1" spans="1:35" ht="15" thickBot="1" x14ac:dyDescent="0.35">
      <c r="P1" t="s">
        <v>46</v>
      </c>
      <c r="Q1" s="5">
        <f>+Policy!$C$2</f>
        <v>5.440534834623505</v>
      </c>
      <c r="S1" s="1" t="s">
        <v>15</v>
      </c>
      <c r="T1" s="133">
        <v>250</v>
      </c>
      <c r="V1"/>
      <c r="X1" s="1" t="s">
        <v>296</v>
      </c>
      <c r="Y1" s="133">
        <f>AB1-AA1</f>
        <v>365</v>
      </c>
      <c r="AA1" s="11">
        <v>43556</v>
      </c>
      <c r="AB1" s="11">
        <v>43921</v>
      </c>
    </row>
    <row r="2" spans="1:35" ht="15" thickBot="1" x14ac:dyDescent="0.35">
      <c r="P2" t="s">
        <v>45</v>
      </c>
      <c r="Q2" s="5">
        <f>Policy!$C$3</f>
        <v>1.058242362055628</v>
      </c>
      <c r="S2" s="1" t="s">
        <v>16</v>
      </c>
      <c r="T2" s="147">
        <v>0.2</v>
      </c>
      <c r="V2" s="10"/>
      <c r="X2" s="1" t="s">
        <v>14</v>
      </c>
      <c r="Y2" s="150">
        <f>(365/12)</f>
        <v>30.416666666666668</v>
      </c>
    </row>
    <row r="3" spans="1:35" ht="15" thickBot="1" x14ac:dyDescent="0.35">
      <c r="S3" s="7" t="s">
        <v>44</v>
      </c>
      <c r="T3" s="148">
        <v>150</v>
      </c>
    </row>
    <row r="4" spans="1:35" ht="15" thickBot="1" x14ac:dyDescent="0.35">
      <c r="A4" s="7" t="s">
        <v>5</v>
      </c>
      <c r="S4" s="7" t="s">
        <v>43</v>
      </c>
      <c r="T4" s="149">
        <v>8</v>
      </c>
    </row>
    <row r="5" spans="1:35" ht="43.8" thickBot="1" x14ac:dyDescent="0.35">
      <c r="A5" s="22" t="s">
        <v>0</v>
      </c>
      <c r="B5" s="23" t="s">
        <v>55</v>
      </c>
      <c r="C5" s="24">
        <v>43556</v>
      </c>
      <c r="D5" s="24">
        <v>43586</v>
      </c>
      <c r="E5" s="24">
        <v>43617</v>
      </c>
      <c r="F5" s="24">
        <v>43647</v>
      </c>
      <c r="G5" s="24">
        <v>43678</v>
      </c>
      <c r="H5" s="24">
        <v>43709</v>
      </c>
      <c r="I5" s="24">
        <v>43739</v>
      </c>
      <c r="J5" s="24">
        <v>43770</v>
      </c>
      <c r="K5" s="24">
        <v>43800</v>
      </c>
      <c r="L5" s="24">
        <v>43831</v>
      </c>
      <c r="M5" s="24">
        <v>43862</v>
      </c>
      <c r="N5" s="36">
        <v>43891</v>
      </c>
      <c r="O5" s="22" t="s">
        <v>6</v>
      </c>
      <c r="P5" s="23" t="s">
        <v>7</v>
      </c>
      <c r="Q5" s="67" t="s">
        <v>8</v>
      </c>
      <c r="R5" s="26" t="s">
        <v>9</v>
      </c>
      <c r="S5" s="22" t="s">
        <v>11</v>
      </c>
      <c r="T5" s="146" t="s">
        <v>51</v>
      </c>
      <c r="U5" s="23" t="s">
        <v>10</v>
      </c>
      <c r="V5" s="68" t="s">
        <v>12</v>
      </c>
      <c r="W5" s="68" t="s">
        <v>13</v>
      </c>
      <c r="X5" s="68" t="s">
        <v>28</v>
      </c>
      <c r="Y5" s="68" t="s">
        <v>29</v>
      </c>
      <c r="Z5" s="68" t="s">
        <v>20</v>
      </c>
      <c r="AA5" s="68" t="s">
        <v>21</v>
      </c>
      <c r="AB5" s="68" t="s">
        <v>18</v>
      </c>
      <c r="AC5" s="68" t="s">
        <v>52</v>
      </c>
      <c r="AD5" s="68" t="s">
        <v>17</v>
      </c>
      <c r="AE5" s="69" t="s">
        <v>19</v>
      </c>
      <c r="AF5" s="70" t="s">
        <v>322</v>
      </c>
      <c r="AG5" s="68" t="s">
        <v>22</v>
      </c>
      <c r="AH5" s="68" t="s">
        <v>23</v>
      </c>
      <c r="AI5" s="71" t="s">
        <v>24</v>
      </c>
    </row>
    <row r="6" spans="1:35" x14ac:dyDescent="0.3">
      <c r="A6" s="18" t="s">
        <v>56</v>
      </c>
      <c r="B6" s="19" t="s">
        <v>2</v>
      </c>
      <c r="C6" s="20">
        <v>2209.08</v>
      </c>
      <c r="D6" s="20">
        <v>1791.44</v>
      </c>
      <c r="E6" s="20">
        <v>6814.77</v>
      </c>
      <c r="F6" s="20">
        <v>7613.62</v>
      </c>
      <c r="G6" s="20">
        <v>3588.19</v>
      </c>
      <c r="H6" s="20">
        <v>6450.61</v>
      </c>
      <c r="I6" s="20">
        <v>2245.48</v>
      </c>
      <c r="J6" s="20">
        <v>2981.71</v>
      </c>
      <c r="K6" s="20">
        <v>4542.13</v>
      </c>
      <c r="L6" s="20">
        <v>3464.2</v>
      </c>
      <c r="M6" s="20">
        <v>3117.7799999999997</v>
      </c>
      <c r="N6" s="37">
        <v>3810.62</v>
      </c>
      <c r="O6" s="54">
        <f>SUM(C6:N6)</f>
        <v>48629.63</v>
      </c>
      <c r="P6" s="20">
        <f>AVERAGE(C6:N6)</f>
        <v>4052.4691666666663</v>
      </c>
      <c r="Q6" s="55">
        <f>STDEV(C6:N6)</f>
        <v>1923.9819151553106</v>
      </c>
      <c r="R6" s="56">
        <f>Q6/P6</f>
        <v>0.47476781093879861</v>
      </c>
      <c r="S6" s="57">
        <f>SQRT(2*$T$1*O6*(365/$Y$1)/(($T$3+$T$4)*$T$2))</f>
        <v>877.18650860924436</v>
      </c>
      <c r="T6" s="58"/>
      <c r="U6" s="59">
        <f>VLOOKUP(B6,Policy!$B$5:$J$8,9,FALSE)</f>
        <v>5.440534834623505</v>
      </c>
      <c r="V6" s="20">
        <f>(O6/$Y$1)*U6</f>
        <v>724.85259180781429</v>
      </c>
      <c r="W6" s="20">
        <f t="shared" ref="W6:W69" si="0">SQRT($Q$1*(Q6/SQRT($Y$2))^2+(O6/$Y$1)^2*($Q$2)^2)</f>
        <v>825.82769207339845</v>
      </c>
      <c r="X6" s="59">
        <f>VLOOKUP(B6,Policy!$B$5:$F$8,5,FALSE)</f>
        <v>1.6448536269514715</v>
      </c>
      <c r="Y6" s="60">
        <f>_xlfn.NORM.DIST(X6,0,1,0)-X6*(1-_xlfn.NORM.DIST(X6,0,1,1))</f>
        <v>2.0892959027797683E-2</v>
      </c>
      <c r="Z6" s="65">
        <f>W6*Y6</f>
        <v>17.253984134510237</v>
      </c>
      <c r="AA6" s="61">
        <f>1-Z6/S6</f>
        <v>0.9803303129207197</v>
      </c>
      <c r="AB6" s="20">
        <f>V6+X6*W6</f>
        <v>2083.2182663517069</v>
      </c>
      <c r="AC6" s="59"/>
      <c r="AD6" s="20">
        <f>+X6*W6</f>
        <v>1358.3656745438925</v>
      </c>
      <c r="AE6" s="62">
        <f>IF(B6="C",(T6/2),(S6/2))</f>
        <v>438.59325430462218</v>
      </c>
      <c r="AF6" s="63">
        <f>S6/(O6/$Y$1)</f>
        <v>6.5839093499657357</v>
      </c>
      <c r="AG6" s="64">
        <f>2^ROUNDUP((LN(AF6/SQRT(2))/LN(2)),0)</f>
        <v>8</v>
      </c>
      <c r="AH6" s="65">
        <f>O6*$T$3/10^5</f>
        <v>72.944445000000002</v>
      </c>
      <c r="AI6" s="66">
        <f>IF(AH6&gt;=Policy!$E$13,Policy!$C$13,IF(Solution!AH6&gt;=Policy!$E$14,Policy!$C$14,IF(Solution!AH6&gt;=Policy!$E$15,Policy!$C$15,IF(Solution!AH6&gt;=Policy!$E$16,Policy!$C$16,IF(Solution!AH6&gt;=Policy!$E$17,Policy!$C$17,IF(Solution!AH6&gt;=Policy!$E$18,Policy!$C$18))))))</f>
        <v>1</v>
      </c>
    </row>
    <row r="7" spans="1:35" x14ac:dyDescent="0.3">
      <c r="A7" s="16" t="s">
        <v>57</v>
      </c>
      <c r="B7" s="14" t="s">
        <v>2</v>
      </c>
      <c r="C7" s="15">
        <v>1112.67</v>
      </c>
      <c r="D7" s="15">
        <v>1919.88</v>
      </c>
      <c r="E7" s="15">
        <v>3929.51</v>
      </c>
      <c r="F7" s="15">
        <v>3278.98</v>
      </c>
      <c r="G7" s="15">
        <v>1075.58</v>
      </c>
      <c r="H7" s="15">
        <v>1887.73</v>
      </c>
      <c r="I7" s="15">
        <v>421.01</v>
      </c>
      <c r="J7" s="15">
        <v>2217.37</v>
      </c>
      <c r="K7" s="15">
        <v>2729.03</v>
      </c>
      <c r="L7" s="15">
        <v>2591.02</v>
      </c>
      <c r="M7" s="15">
        <v>2331.9180000000001</v>
      </c>
      <c r="N7" s="38">
        <v>2850.1220000000003</v>
      </c>
      <c r="O7" s="41">
        <f t="shared" ref="O7:O70" si="1">SUM(C7:N7)</f>
        <v>26344.82</v>
      </c>
      <c r="P7" s="15">
        <f t="shared" ref="P7:P70" si="2">AVERAGE(C7:N7)</f>
        <v>2195.4016666666666</v>
      </c>
      <c r="Q7" s="42">
        <f t="shared" ref="Q7:Q70" si="3">STDEV(C7:N7)</f>
        <v>991.58610633188357</v>
      </c>
      <c r="R7" s="44">
        <f t="shared" ref="R7:R70" si="4">Q7/P7</f>
        <v>0.45166500571962925</v>
      </c>
      <c r="S7" s="49">
        <f t="shared" ref="S6:S37" si="5">SQRT(2*$T$1*O7*(365/$Y$1)/(($T$3+$T$4)*$T$2))</f>
        <v>645.63799278041165</v>
      </c>
      <c r="T7" s="45"/>
      <c r="U7" s="46">
        <f>VLOOKUP(B7,Policy!$B$5:$J$8,9,FALSE)</f>
        <v>5.440534834623505</v>
      </c>
      <c r="V7" s="15">
        <f t="shared" ref="V6:V69" si="6">(O7/$Y$1)*U7</f>
        <v>392.68468745722191</v>
      </c>
      <c r="W7" s="15">
        <f t="shared" si="0"/>
        <v>426.26721987189796</v>
      </c>
      <c r="X7" s="46">
        <f>VLOOKUP(B7,Policy!$B$5:$F$8,5,FALSE)</f>
        <v>1.6448536269514715</v>
      </c>
      <c r="Y7" s="47">
        <f t="shared" ref="Y7:Y70" si="7">_xlfn.NORM.DIST(X7,0,1,0)-X7*(1-_xlfn.NORM.DIST(X7,0,1,1))</f>
        <v>2.0892959027797683E-2</v>
      </c>
      <c r="Z7" s="43">
        <f t="shared" ref="Z7:Z70" si="8">W7*Y7</f>
        <v>8.9059835596767911</v>
      </c>
      <c r="AA7" s="48">
        <f t="shared" ref="AA7:AA70" si="9">1-Z7/S7</f>
        <v>0.98620591777549593</v>
      </c>
      <c r="AB7" s="15">
        <f t="shared" ref="AB7:AB70" si="10">V7+X7*W7</f>
        <v>1093.8318701140338</v>
      </c>
      <c r="AC7" s="46"/>
      <c r="AD7" s="15">
        <f t="shared" ref="AD7:AD70" si="11">+X7*W7</f>
        <v>701.14718265681176</v>
      </c>
      <c r="AE7" s="50">
        <f t="shared" ref="AE6:AE69" si="12">IF(B7="C",(T7/2),(S7/2))</f>
        <v>322.81899639020583</v>
      </c>
      <c r="AF7" s="52">
        <f t="shared" ref="AF6:AF37" si="13">S7/(O7/$Y$1)</f>
        <v>8.9451310490961902</v>
      </c>
      <c r="AG7" s="51">
        <f t="shared" ref="AG7:AG70" si="14">2^ROUNDUP((LN(AF7/SQRT(2))/LN(2)),0)</f>
        <v>8</v>
      </c>
      <c r="AH7" s="43">
        <f>O7*$T$3/10^5</f>
        <v>39.517229999999998</v>
      </c>
      <c r="AI7" s="53">
        <f>IF(AH7&gt;=Policy!$E$13,Policy!$C$13,IF(Solution!AH7&gt;=Policy!$E$14,Policy!$C$14,IF(Solution!AH7&gt;=Policy!$E$15,Policy!$C$15,IF(Solution!AH7&gt;=Policy!$E$16,Policy!$C$16,IF(Solution!AH7&gt;=Policy!$E$17,Policy!$C$17,IF(Solution!AH7&gt;=Policy!$E$18,Policy!$C$18))))))</f>
        <v>1</v>
      </c>
    </row>
    <row r="8" spans="1:35" x14ac:dyDescent="0.3">
      <c r="A8" s="16" t="s">
        <v>58</v>
      </c>
      <c r="B8" s="14" t="s">
        <v>2</v>
      </c>
      <c r="C8" s="15">
        <v>512.53</v>
      </c>
      <c r="D8" s="15">
        <v>1140.21</v>
      </c>
      <c r="E8" s="15">
        <v>2634.3</v>
      </c>
      <c r="F8" s="15">
        <v>3558.18</v>
      </c>
      <c r="G8" s="15">
        <v>960.91</v>
      </c>
      <c r="H8" s="15">
        <v>2880.78</v>
      </c>
      <c r="I8" s="15">
        <v>1460.83</v>
      </c>
      <c r="J8" s="15">
        <v>2507.7199999999998</v>
      </c>
      <c r="K8" s="15">
        <v>2849.28</v>
      </c>
      <c r="L8" s="15">
        <v>1546.54</v>
      </c>
      <c r="M8" s="15">
        <v>1391.886</v>
      </c>
      <c r="N8" s="38">
        <v>1701.1940000000002</v>
      </c>
      <c r="O8" s="41">
        <f t="shared" si="1"/>
        <v>23144.359999999997</v>
      </c>
      <c r="P8" s="15">
        <f t="shared" si="2"/>
        <v>1928.6966666666665</v>
      </c>
      <c r="Q8" s="42">
        <f t="shared" si="3"/>
        <v>929.85887197509078</v>
      </c>
      <c r="R8" s="44">
        <f t="shared" si="4"/>
        <v>0.48211773683528475</v>
      </c>
      <c r="S8" s="49">
        <f t="shared" si="5"/>
        <v>605.15140902760947</v>
      </c>
      <c r="T8" s="45"/>
      <c r="U8" s="46">
        <f>VLOOKUP(B8,Policy!$B$5:$J$8,9,FALSE)</f>
        <v>5.440534834623505</v>
      </c>
      <c r="V8" s="15">
        <f t="shared" si="6"/>
        <v>344.97999124675852</v>
      </c>
      <c r="W8" s="15">
        <f t="shared" si="0"/>
        <v>398.94580039739219</v>
      </c>
      <c r="X8" s="46">
        <f>VLOOKUP(B8,Policy!$B$5:$F$8,5,FALSE)</f>
        <v>1.6448536269514715</v>
      </c>
      <c r="Y8" s="47">
        <f t="shared" si="7"/>
        <v>2.0892959027797683E-2</v>
      </c>
      <c r="Z8" s="43">
        <f t="shared" si="8"/>
        <v>8.3351582620146676</v>
      </c>
      <c r="AA8" s="48">
        <f t="shared" si="9"/>
        <v>0.98622632594476145</v>
      </c>
      <c r="AB8" s="15">
        <f t="shared" si="10"/>
        <v>1001.1874379874669</v>
      </c>
      <c r="AC8" s="46"/>
      <c r="AD8" s="15">
        <f t="shared" si="11"/>
        <v>656.20744674070841</v>
      </c>
      <c r="AE8" s="50">
        <f t="shared" si="12"/>
        <v>302.57570451380474</v>
      </c>
      <c r="AF8" s="52">
        <f t="shared" si="13"/>
        <v>9.5435892068338664</v>
      </c>
      <c r="AG8" s="51">
        <f t="shared" si="14"/>
        <v>8</v>
      </c>
      <c r="AH8" s="43">
        <f t="shared" ref="AH8:AH71" si="15">O8*$T$3/10^5</f>
        <v>34.716539999999995</v>
      </c>
      <c r="AI8" s="53">
        <f>IF(AH8&gt;=Policy!$E$13,Policy!$C$13,IF(Solution!AH8&gt;=Policy!$E$14,Policy!$C$14,IF(Solution!AH8&gt;=Policy!$E$15,Policy!$C$15,IF(Solution!AH8&gt;=Policy!$E$16,Policy!$C$16,IF(Solution!AH8&gt;=Policy!$E$17,Policy!$C$17,IF(Solution!AH8&gt;=Policy!$E$18,Policy!$C$18))))))</f>
        <v>1</v>
      </c>
    </row>
    <row r="9" spans="1:35" x14ac:dyDescent="0.3">
      <c r="A9" s="16" t="s">
        <v>59</v>
      </c>
      <c r="B9" s="14" t="s">
        <v>2</v>
      </c>
      <c r="C9" s="15">
        <v>607.47</v>
      </c>
      <c r="D9" s="15">
        <v>1212.45</v>
      </c>
      <c r="E9" s="15">
        <v>1247.07</v>
      </c>
      <c r="F9" s="15">
        <v>2999.88</v>
      </c>
      <c r="G9" s="15">
        <v>607.62</v>
      </c>
      <c r="H9" s="15">
        <v>5840.42</v>
      </c>
      <c r="I9" s="15">
        <v>303.48</v>
      </c>
      <c r="J9" s="15">
        <v>2694.75</v>
      </c>
      <c r="K9" s="15">
        <v>3000.64</v>
      </c>
      <c r="L9" s="15">
        <v>1392.98</v>
      </c>
      <c r="M9" s="15">
        <v>1253.682</v>
      </c>
      <c r="N9" s="38">
        <v>1532.2780000000002</v>
      </c>
      <c r="O9" s="41">
        <f t="shared" si="1"/>
        <v>22692.720000000001</v>
      </c>
      <c r="P9" s="15">
        <f t="shared" si="2"/>
        <v>1891.0600000000002</v>
      </c>
      <c r="Q9" s="42">
        <f t="shared" si="3"/>
        <v>1542.6522895092078</v>
      </c>
      <c r="R9" s="44">
        <f t="shared" si="4"/>
        <v>0.81576062605586686</v>
      </c>
      <c r="S9" s="49">
        <f t="shared" si="5"/>
        <v>599.21784462452024</v>
      </c>
      <c r="T9" s="45"/>
      <c r="U9" s="46">
        <f>VLOOKUP(B9,Policy!$B$5:$J$8,9,FALSE)</f>
        <v>5.440534834623505</v>
      </c>
      <c r="V9" s="15">
        <f t="shared" si="6"/>
        <v>338.2480374037192</v>
      </c>
      <c r="W9" s="15">
        <f t="shared" si="0"/>
        <v>655.73765322924874</v>
      </c>
      <c r="X9" s="46">
        <f>VLOOKUP(B9,Policy!$B$5:$F$8,5,FALSE)</f>
        <v>1.6448536269514715</v>
      </c>
      <c r="Y9" s="47">
        <f t="shared" si="7"/>
        <v>2.0892959027797683E-2</v>
      </c>
      <c r="Z9" s="43">
        <f t="shared" si="8"/>
        <v>13.700299921902898</v>
      </c>
      <c r="AA9" s="48">
        <f t="shared" si="9"/>
        <v>0.97713636193446851</v>
      </c>
      <c r="AB9" s="15">
        <f t="shared" si="10"/>
        <v>1416.8404946464952</v>
      </c>
      <c r="AC9" s="46"/>
      <c r="AD9" s="15">
        <f t="shared" si="11"/>
        <v>1078.5924572427762</v>
      </c>
      <c r="AE9" s="50">
        <f t="shared" si="12"/>
        <v>299.60892231226012</v>
      </c>
      <c r="AF9" s="52">
        <f t="shared" si="13"/>
        <v>9.6380915680425208</v>
      </c>
      <c r="AG9" s="51">
        <f t="shared" si="14"/>
        <v>8</v>
      </c>
      <c r="AH9" s="43">
        <f t="shared" si="15"/>
        <v>34.039079999999998</v>
      </c>
      <c r="AI9" s="53">
        <f>IF(AH9&gt;=Policy!$E$13,Policy!$C$13,IF(Solution!AH9&gt;=Policy!$E$14,Policy!$C$14,IF(Solution!AH9&gt;=Policy!$E$15,Policy!$C$15,IF(Solution!AH9&gt;=Policy!$E$16,Policy!$C$16,IF(Solution!AH9&gt;=Policy!$E$17,Policy!$C$17,IF(Solution!AH9&gt;=Policy!$E$18,Policy!$C$18))))))</f>
        <v>1</v>
      </c>
    </row>
    <row r="10" spans="1:35" x14ac:dyDescent="0.3">
      <c r="A10" s="16" t="s">
        <v>60</v>
      </c>
      <c r="B10" s="14" t="s">
        <v>2</v>
      </c>
      <c r="C10" s="15">
        <v>560.99</v>
      </c>
      <c r="D10" s="15">
        <v>1123.9100000000001</v>
      </c>
      <c r="E10" s="15">
        <v>925.17</v>
      </c>
      <c r="F10" s="15">
        <v>2080.27</v>
      </c>
      <c r="G10" s="15">
        <v>1617.43</v>
      </c>
      <c r="H10" s="15">
        <v>3073.42</v>
      </c>
      <c r="I10" s="15">
        <v>164.58</v>
      </c>
      <c r="J10" s="15">
        <v>3170.78</v>
      </c>
      <c r="K10" s="15">
        <v>2542.1</v>
      </c>
      <c r="L10" s="15">
        <v>4055.79</v>
      </c>
      <c r="M10" s="15">
        <v>3650.2110000000002</v>
      </c>
      <c r="N10" s="38">
        <v>4461.3690000000006</v>
      </c>
      <c r="O10" s="41">
        <f t="shared" si="1"/>
        <v>27426.020000000004</v>
      </c>
      <c r="P10" s="15">
        <f t="shared" si="2"/>
        <v>2285.501666666667</v>
      </c>
      <c r="Q10" s="42">
        <f t="shared" si="3"/>
        <v>1425.7888779341722</v>
      </c>
      <c r="R10" s="44">
        <f t="shared" si="4"/>
        <v>0.62384066427465834</v>
      </c>
      <c r="S10" s="49">
        <f t="shared" si="5"/>
        <v>658.75337772054559</v>
      </c>
      <c r="T10" s="45"/>
      <c r="U10" s="46">
        <f>VLOOKUP(B10,Policy!$B$5:$J$8,9,FALSE)</f>
        <v>5.440534834623505</v>
      </c>
      <c r="V10" s="15">
        <f t="shared" si="6"/>
        <v>408.80059502761912</v>
      </c>
      <c r="W10" s="15">
        <f t="shared" si="0"/>
        <v>608.22418916028005</v>
      </c>
      <c r="X10" s="46">
        <f>VLOOKUP(B10,Policy!$B$5:$F$8,5,FALSE)</f>
        <v>1.6448536269514715</v>
      </c>
      <c r="Y10" s="47">
        <f t="shared" si="7"/>
        <v>2.0892959027797683E-2</v>
      </c>
      <c r="Z10" s="43">
        <f t="shared" si="8"/>
        <v>12.7076030638412</v>
      </c>
      <c r="AA10" s="48">
        <f t="shared" si="9"/>
        <v>0.98070961987654204</v>
      </c>
      <c r="AB10" s="15">
        <f t="shared" si="10"/>
        <v>1409.2403585675238</v>
      </c>
      <c r="AC10" s="46"/>
      <c r="AD10" s="15">
        <f t="shared" si="11"/>
        <v>1000.4397635399046</v>
      </c>
      <c r="AE10" s="50">
        <f t="shared" si="12"/>
        <v>329.37668886027279</v>
      </c>
      <c r="AF10" s="52">
        <f t="shared" si="13"/>
        <v>8.7670388509889179</v>
      </c>
      <c r="AG10" s="51">
        <f t="shared" si="14"/>
        <v>8</v>
      </c>
      <c r="AH10" s="43">
        <f t="shared" si="15"/>
        <v>41.139030000000005</v>
      </c>
      <c r="AI10" s="53">
        <f>IF(AH10&gt;=Policy!$E$13,Policy!$C$13,IF(Solution!AH10&gt;=Policy!$E$14,Policy!$C$14,IF(Solution!AH10&gt;=Policy!$E$15,Policy!$C$15,IF(Solution!AH10&gt;=Policy!$E$16,Policy!$C$16,IF(Solution!AH10&gt;=Policy!$E$17,Policy!$C$17,IF(Solution!AH10&gt;=Policy!$E$18,Policy!$C$18))))))</f>
        <v>1</v>
      </c>
    </row>
    <row r="11" spans="1:35" x14ac:dyDescent="0.3">
      <c r="A11" s="16" t="s">
        <v>61</v>
      </c>
      <c r="B11" s="14" t="s">
        <v>2</v>
      </c>
      <c r="C11" s="15">
        <v>632.16999999999996</v>
      </c>
      <c r="D11" s="15">
        <v>1046.06</v>
      </c>
      <c r="E11" s="15">
        <v>3484.49</v>
      </c>
      <c r="F11" s="15">
        <v>3732.53</v>
      </c>
      <c r="G11" s="15">
        <v>411.36</v>
      </c>
      <c r="H11" s="15">
        <v>2701.68</v>
      </c>
      <c r="I11" s="15">
        <v>1077.04</v>
      </c>
      <c r="J11" s="15">
        <v>1805.23</v>
      </c>
      <c r="K11" s="15">
        <v>2951.48</v>
      </c>
      <c r="L11" s="15">
        <v>1432.33</v>
      </c>
      <c r="M11" s="15">
        <v>1488</v>
      </c>
      <c r="N11" s="38">
        <v>1894</v>
      </c>
      <c r="O11" s="41">
        <f t="shared" si="1"/>
        <v>22656.370000000003</v>
      </c>
      <c r="P11" s="15">
        <f t="shared" si="2"/>
        <v>1888.0308333333335</v>
      </c>
      <c r="Q11" s="42">
        <f t="shared" si="3"/>
        <v>1097.2176326712474</v>
      </c>
      <c r="R11" s="44">
        <f t="shared" si="4"/>
        <v>0.58114391634913132</v>
      </c>
      <c r="S11" s="49">
        <f t="shared" si="5"/>
        <v>598.73772813194898</v>
      </c>
      <c r="T11" s="45"/>
      <c r="U11" s="46">
        <f>VLOOKUP(B11,Policy!$B$5:$J$8,9,FALSE)</f>
        <v>5.440534834623505</v>
      </c>
      <c r="V11" s="15">
        <f t="shared" si="6"/>
        <v>337.70621975649027</v>
      </c>
      <c r="W11" s="15">
        <f t="shared" si="0"/>
        <v>468.66864171738661</v>
      </c>
      <c r="X11" s="46">
        <f>VLOOKUP(B11,Policy!$B$5:$F$8,5,FALSE)</f>
        <v>1.6448536269514715</v>
      </c>
      <c r="Y11" s="47">
        <f t="shared" si="7"/>
        <v>2.0892959027797683E-2</v>
      </c>
      <c r="Z11" s="43">
        <f t="shared" si="8"/>
        <v>9.7918747290149497</v>
      </c>
      <c r="AA11" s="48">
        <f t="shared" si="9"/>
        <v>0.98364580304707805</v>
      </c>
      <c r="AB11" s="15">
        <f t="shared" si="10"/>
        <v>1108.5975349237533</v>
      </c>
      <c r="AC11" s="46"/>
      <c r="AD11" s="15">
        <f t="shared" si="11"/>
        <v>770.89131516726309</v>
      </c>
      <c r="AE11" s="50">
        <f t="shared" si="12"/>
        <v>299.36886406597449</v>
      </c>
      <c r="AF11" s="52">
        <f t="shared" si="13"/>
        <v>9.6458201719057968</v>
      </c>
      <c r="AG11" s="51">
        <f t="shared" si="14"/>
        <v>8</v>
      </c>
      <c r="AH11" s="43">
        <f t="shared" si="15"/>
        <v>33.984555000000007</v>
      </c>
      <c r="AI11" s="53">
        <f>IF(AH11&gt;=Policy!$E$13,Policy!$C$13,IF(Solution!AH11&gt;=Policy!$E$14,Policy!$C$14,IF(Solution!AH11&gt;=Policy!$E$15,Policy!$C$15,IF(Solution!AH11&gt;=Policy!$E$16,Policy!$C$16,IF(Solution!AH11&gt;=Policy!$E$17,Policy!$C$17,IF(Solution!AH11&gt;=Policy!$E$18,Policy!$C$18))))))</f>
        <v>1</v>
      </c>
    </row>
    <row r="12" spans="1:35" x14ac:dyDescent="0.3">
      <c r="A12" s="16" t="s">
        <v>62</v>
      </c>
      <c r="B12" s="14" t="s">
        <v>2</v>
      </c>
      <c r="C12" s="15">
        <v>411.04</v>
      </c>
      <c r="D12" s="15">
        <v>724.62</v>
      </c>
      <c r="E12" s="15">
        <v>1729.99</v>
      </c>
      <c r="F12" s="15">
        <v>2236.4899999999998</v>
      </c>
      <c r="G12" s="15">
        <v>1903.84</v>
      </c>
      <c r="H12" s="15">
        <v>2771.61</v>
      </c>
      <c r="I12" s="15">
        <v>946.21</v>
      </c>
      <c r="J12" s="15">
        <v>2052.2399999999998</v>
      </c>
      <c r="K12" s="15">
        <v>3979.03</v>
      </c>
      <c r="L12" s="15">
        <v>2063.12</v>
      </c>
      <c r="M12" s="15">
        <v>1856.808</v>
      </c>
      <c r="N12" s="38">
        <v>2269.4320000000002</v>
      </c>
      <c r="O12" s="41">
        <f t="shared" si="1"/>
        <v>22944.43</v>
      </c>
      <c r="P12" s="15">
        <f t="shared" si="2"/>
        <v>1912.0358333333334</v>
      </c>
      <c r="Q12" s="42">
        <f t="shared" si="3"/>
        <v>949.58561091283229</v>
      </c>
      <c r="R12" s="44">
        <f t="shared" si="4"/>
        <v>0.49663588639831052</v>
      </c>
      <c r="S12" s="49">
        <f t="shared" si="5"/>
        <v>602.53197299480519</v>
      </c>
      <c r="T12" s="45"/>
      <c r="U12" s="46">
        <f>VLOOKUP(B12,Policy!$B$5:$J$8,9,FALSE)</f>
        <v>5.440534834623505</v>
      </c>
      <c r="V12" s="15">
        <f t="shared" si="6"/>
        <v>341.99991965912488</v>
      </c>
      <c r="W12" s="15">
        <f t="shared" si="0"/>
        <v>407.07719292202461</v>
      </c>
      <c r="X12" s="46">
        <f>VLOOKUP(B12,Policy!$B$5:$F$8,5,FALSE)</f>
        <v>1.6448536269514715</v>
      </c>
      <c r="Y12" s="47">
        <f t="shared" si="7"/>
        <v>2.0892959027797683E-2</v>
      </c>
      <c r="Z12" s="43">
        <f t="shared" si="8"/>
        <v>8.5050471128707539</v>
      </c>
      <c r="AA12" s="48">
        <f t="shared" si="9"/>
        <v>0.98588448830259157</v>
      </c>
      <c r="AB12" s="15">
        <f t="shared" si="10"/>
        <v>1011.5823168861409</v>
      </c>
      <c r="AC12" s="46"/>
      <c r="AD12" s="15">
        <f t="shared" si="11"/>
        <v>669.58239722701603</v>
      </c>
      <c r="AE12" s="50">
        <f t="shared" si="12"/>
        <v>301.26598649740259</v>
      </c>
      <c r="AF12" s="52">
        <f t="shared" si="13"/>
        <v>9.5850788249306653</v>
      </c>
      <c r="AG12" s="51">
        <f t="shared" si="14"/>
        <v>8</v>
      </c>
      <c r="AH12" s="43">
        <f t="shared" si="15"/>
        <v>34.416645000000003</v>
      </c>
      <c r="AI12" s="53">
        <f>IF(AH12&gt;=Policy!$E$13,Policy!$C$13,IF(Solution!AH12&gt;=Policy!$E$14,Policy!$C$14,IF(Solution!AH12&gt;=Policy!$E$15,Policy!$C$15,IF(Solution!AH12&gt;=Policy!$E$16,Policy!$C$16,IF(Solution!AH12&gt;=Policy!$E$17,Policy!$C$17,IF(Solution!AH12&gt;=Policy!$E$18,Policy!$C$18))))))</f>
        <v>1</v>
      </c>
    </row>
    <row r="13" spans="1:35" x14ac:dyDescent="0.3">
      <c r="A13" s="16" t="s">
        <v>63</v>
      </c>
      <c r="B13" s="14" t="s">
        <v>2</v>
      </c>
      <c r="C13" s="15">
        <v>209.84</v>
      </c>
      <c r="D13" s="15">
        <v>384.51</v>
      </c>
      <c r="E13" s="15">
        <v>2224.41</v>
      </c>
      <c r="F13" s="15">
        <v>1913.14</v>
      </c>
      <c r="G13" s="15">
        <v>2995.95</v>
      </c>
      <c r="H13" s="15">
        <v>2106.33</v>
      </c>
      <c r="I13" s="15">
        <v>105.12</v>
      </c>
      <c r="J13" s="15">
        <v>4251.4399999999996</v>
      </c>
      <c r="K13" s="15">
        <v>2620.5700000000002</v>
      </c>
      <c r="L13" s="15">
        <v>418.83</v>
      </c>
      <c r="M13" s="15">
        <v>376.947</v>
      </c>
      <c r="N13" s="38">
        <v>460.71300000000002</v>
      </c>
      <c r="O13" s="41">
        <f t="shared" si="1"/>
        <v>18067.800000000003</v>
      </c>
      <c r="P13" s="15">
        <f t="shared" si="2"/>
        <v>1505.6500000000003</v>
      </c>
      <c r="Q13" s="42">
        <f t="shared" si="3"/>
        <v>1364.867231830727</v>
      </c>
      <c r="R13" s="44">
        <f t="shared" si="4"/>
        <v>0.90649701579432584</v>
      </c>
      <c r="S13" s="49">
        <f t="shared" si="5"/>
        <v>534.68019543686592</v>
      </c>
      <c r="T13" s="45"/>
      <c r="U13" s="46">
        <f>VLOOKUP(B13,Policy!$B$5:$J$8,9,FALSE)</f>
        <v>5.440534834623505</v>
      </c>
      <c r="V13" s="15">
        <f t="shared" si="6"/>
        <v>269.31094598633035</v>
      </c>
      <c r="W13" s="15">
        <f t="shared" si="0"/>
        <v>579.61066100086362</v>
      </c>
      <c r="X13" s="46">
        <f>VLOOKUP(B13,Policy!$B$5:$F$8,5,FALSE)</f>
        <v>1.6448536269514715</v>
      </c>
      <c r="Y13" s="47">
        <f t="shared" si="7"/>
        <v>2.0892959027797683E-2</v>
      </c>
      <c r="Z13" s="43">
        <f t="shared" si="8"/>
        <v>12.109781792365776</v>
      </c>
      <c r="AA13" s="48">
        <f t="shared" si="9"/>
        <v>0.97735135526672845</v>
      </c>
      <c r="AB13" s="15">
        <f t="shared" si="10"/>
        <v>1222.6856439533408</v>
      </c>
      <c r="AC13" s="46"/>
      <c r="AD13" s="15">
        <f t="shared" si="11"/>
        <v>953.37469796701032</v>
      </c>
      <c r="AE13" s="50">
        <f t="shared" si="12"/>
        <v>267.34009771843296</v>
      </c>
      <c r="AF13" s="52">
        <f t="shared" si="13"/>
        <v>10.801440758390951</v>
      </c>
      <c r="AG13" s="51">
        <f t="shared" si="14"/>
        <v>8</v>
      </c>
      <c r="AH13" s="43">
        <f t="shared" si="15"/>
        <v>27.101700000000005</v>
      </c>
      <c r="AI13" s="53">
        <f>IF(AH13&gt;=Policy!$E$13,Policy!$C$13,IF(Solution!AH13&gt;=Policy!$E$14,Policy!$C$14,IF(Solution!AH13&gt;=Policy!$E$15,Policy!$C$15,IF(Solution!AH13&gt;=Policy!$E$16,Policy!$C$16,IF(Solution!AH13&gt;=Policy!$E$17,Policy!$C$17,IF(Solution!AH13&gt;=Policy!$E$18,Policy!$C$18))))))</f>
        <v>2</v>
      </c>
    </row>
    <row r="14" spans="1:35" x14ac:dyDescent="0.3">
      <c r="A14" s="16" t="s">
        <v>64</v>
      </c>
      <c r="B14" s="14" t="s">
        <v>2</v>
      </c>
      <c r="C14" s="15">
        <v>568.69000000000005</v>
      </c>
      <c r="D14" s="15">
        <v>469.25</v>
      </c>
      <c r="E14" s="15">
        <v>1908.38</v>
      </c>
      <c r="F14" s="15">
        <v>2745.46</v>
      </c>
      <c r="G14" s="15">
        <v>616.08000000000004</v>
      </c>
      <c r="H14" s="15">
        <v>2503.1</v>
      </c>
      <c r="I14" s="15">
        <v>719.69</v>
      </c>
      <c r="J14" s="15">
        <v>1993.06</v>
      </c>
      <c r="K14" s="15">
        <v>2972.43</v>
      </c>
      <c r="L14" s="15">
        <v>1412.39</v>
      </c>
      <c r="M14" s="15">
        <v>1271.1510000000001</v>
      </c>
      <c r="N14" s="38">
        <v>1553.6290000000001</v>
      </c>
      <c r="O14" s="41">
        <f t="shared" si="1"/>
        <v>18733.310000000001</v>
      </c>
      <c r="P14" s="15">
        <f t="shared" si="2"/>
        <v>1561.1091666666669</v>
      </c>
      <c r="Q14" s="42">
        <f t="shared" si="3"/>
        <v>877.67287026201814</v>
      </c>
      <c r="R14" s="44">
        <f t="shared" si="4"/>
        <v>0.56221107979018214</v>
      </c>
      <c r="S14" s="49">
        <f t="shared" si="5"/>
        <v>544.43836465792197</v>
      </c>
      <c r="T14" s="45"/>
      <c r="U14" s="46">
        <f>VLOOKUP(B14,Policy!$B$5:$J$8,9,FALSE)</f>
        <v>5.440534834623505</v>
      </c>
      <c r="V14" s="15">
        <f t="shared" si="6"/>
        <v>279.23075513096126</v>
      </c>
      <c r="W14" s="15">
        <f t="shared" si="0"/>
        <v>375.1437644371623</v>
      </c>
      <c r="X14" s="46">
        <f>VLOOKUP(B14,Policy!$B$5:$F$8,5,FALSE)</f>
        <v>1.6448536269514715</v>
      </c>
      <c r="Y14" s="47">
        <f t="shared" si="7"/>
        <v>2.0892959027797683E-2</v>
      </c>
      <c r="Z14" s="43">
        <f t="shared" si="8"/>
        <v>7.8378632999194178</v>
      </c>
      <c r="AA14" s="48">
        <f t="shared" si="9"/>
        <v>0.98560376378904879</v>
      </c>
      <c r="AB14" s="15">
        <f t="shared" si="10"/>
        <v>896.28733669365613</v>
      </c>
      <c r="AC14" s="46"/>
      <c r="AD14" s="15">
        <f t="shared" si="11"/>
        <v>617.05658156269487</v>
      </c>
      <c r="AE14" s="50">
        <f t="shared" si="12"/>
        <v>272.21918232896098</v>
      </c>
      <c r="AF14" s="52">
        <f t="shared" si="13"/>
        <v>10.60784255959793</v>
      </c>
      <c r="AG14" s="51">
        <f t="shared" si="14"/>
        <v>8</v>
      </c>
      <c r="AH14" s="43">
        <f t="shared" si="15"/>
        <v>28.099965000000001</v>
      </c>
      <c r="AI14" s="53">
        <f>IF(AH14&gt;=Policy!$E$13,Policy!$C$13,IF(Solution!AH14&gt;=Policy!$E$14,Policy!$C$14,IF(Solution!AH14&gt;=Policy!$E$15,Policy!$C$15,IF(Solution!AH14&gt;=Policy!$E$16,Policy!$C$16,IF(Solution!AH14&gt;=Policy!$E$17,Policy!$C$17,IF(Solution!AH14&gt;=Policy!$E$18,Policy!$C$18))))))</f>
        <v>2</v>
      </c>
    </row>
    <row r="15" spans="1:35" x14ac:dyDescent="0.3">
      <c r="A15" s="16" t="s">
        <v>65</v>
      </c>
      <c r="B15" s="14" t="s">
        <v>2</v>
      </c>
      <c r="C15" s="15">
        <v>0</v>
      </c>
      <c r="D15" s="15">
        <v>0</v>
      </c>
      <c r="E15" s="15">
        <v>1461.37</v>
      </c>
      <c r="F15" s="15">
        <v>1573.79</v>
      </c>
      <c r="G15" s="15">
        <v>1931.99</v>
      </c>
      <c r="H15" s="15">
        <v>691.69</v>
      </c>
      <c r="I15" s="15">
        <v>5770.22</v>
      </c>
      <c r="J15" s="15">
        <v>2935.67</v>
      </c>
      <c r="K15" s="15">
        <v>609.08000000000004</v>
      </c>
      <c r="L15" s="15">
        <v>747.42</v>
      </c>
      <c r="M15" s="15">
        <v>672.678</v>
      </c>
      <c r="N15" s="38">
        <v>822.16200000000003</v>
      </c>
      <c r="O15" s="41">
        <f t="shared" si="1"/>
        <v>17216.070000000003</v>
      </c>
      <c r="P15" s="15">
        <f t="shared" si="2"/>
        <v>1434.6725000000004</v>
      </c>
      <c r="Q15" s="42">
        <f t="shared" si="3"/>
        <v>1598.1715067866835</v>
      </c>
      <c r="R15" s="44">
        <f t="shared" si="4"/>
        <v>1.1139625989810797</v>
      </c>
      <c r="S15" s="49">
        <f t="shared" si="5"/>
        <v>521.92544571622102</v>
      </c>
      <c r="T15" s="45"/>
      <c r="U15" s="46">
        <f>VLOOKUP(B15,Policy!$B$5:$J$8,9,FALSE)</f>
        <v>5.440534834623505</v>
      </c>
      <c r="V15" s="15">
        <f t="shared" si="6"/>
        <v>256.61542068579917</v>
      </c>
      <c r="W15" s="15">
        <f t="shared" si="0"/>
        <v>677.74975390605948</v>
      </c>
      <c r="X15" s="46">
        <f>VLOOKUP(B15,Policy!$B$5:$F$8,5,FALSE)</f>
        <v>1.6448536269514715</v>
      </c>
      <c r="Y15" s="47">
        <f t="shared" si="7"/>
        <v>2.0892959027797683E-2</v>
      </c>
      <c r="Z15" s="43">
        <f t="shared" si="8"/>
        <v>14.160197839459263</v>
      </c>
      <c r="AA15" s="48">
        <f t="shared" si="9"/>
        <v>0.97286930929372928</v>
      </c>
      <c r="AB15" s="15">
        <f t="shared" si="10"/>
        <v>1371.4145615636482</v>
      </c>
      <c r="AC15" s="46"/>
      <c r="AD15" s="15">
        <f t="shared" si="11"/>
        <v>1114.7991408778491</v>
      </c>
      <c r="AE15" s="50">
        <f t="shared" si="12"/>
        <v>260.96272285811051</v>
      </c>
      <c r="AF15" s="52">
        <f t="shared" si="13"/>
        <v>11.06540503648165</v>
      </c>
      <c r="AG15" s="51">
        <f t="shared" si="14"/>
        <v>8</v>
      </c>
      <c r="AH15" s="43">
        <f t="shared" si="15"/>
        <v>25.824105000000003</v>
      </c>
      <c r="AI15" s="53">
        <f>IF(AH15&gt;=Policy!$E$13,Policy!$C$13,IF(Solution!AH15&gt;=Policy!$E$14,Policy!$C$14,IF(Solution!AH15&gt;=Policy!$E$15,Policy!$C$15,IF(Solution!AH15&gt;=Policy!$E$16,Policy!$C$16,IF(Solution!AH15&gt;=Policy!$E$17,Policy!$C$17,IF(Solution!AH15&gt;=Policy!$E$18,Policy!$C$18))))))</f>
        <v>2</v>
      </c>
    </row>
    <row r="16" spans="1:35" x14ac:dyDescent="0.3">
      <c r="A16" s="16" t="s">
        <v>66</v>
      </c>
      <c r="B16" s="14" t="s">
        <v>2</v>
      </c>
      <c r="C16" s="15">
        <v>876.07</v>
      </c>
      <c r="D16" s="15">
        <v>505.19</v>
      </c>
      <c r="E16" s="15">
        <v>2959.8</v>
      </c>
      <c r="F16" s="15">
        <v>2941.82</v>
      </c>
      <c r="G16" s="15">
        <v>1080.8699999999999</v>
      </c>
      <c r="H16" s="15">
        <v>1964.77</v>
      </c>
      <c r="I16" s="15">
        <v>1324.01</v>
      </c>
      <c r="J16" s="15">
        <v>611.22</v>
      </c>
      <c r="K16" s="15">
        <v>2266.23</v>
      </c>
      <c r="L16" s="15">
        <v>1181.04</v>
      </c>
      <c r="M16" s="15">
        <v>1062.9359999999999</v>
      </c>
      <c r="N16" s="38">
        <v>1299.144</v>
      </c>
      <c r="O16" s="41">
        <f t="shared" si="1"/>
        <v>18073.100000000002</v>
      </c>
      <c r="P16" s="15">
        <f t="shared" si="2"/>
        <v>1506.0916666666669</v>
      </c>
      <c r="Q16" s="42">
        <f t="shared" si="3"/>
        <v>837.80810767787841</v>
      </c>
      <c r="R16" s="44">
        <f t="shared" si="4"/>
        <v>0.55627962508559903</v>
      </c>
      <c r="S16" s="49">
        <f t="shared" si="5"/>
        <v>534.75861110588835</v>
      </c>
      <c r="T16" s="45"/>
      <c r="U16" s="46">
        <f>VLOOKUP(B16,Policy!$B$5:$J$8,9,FALSE)</f>
        <v>5.440534834623505</v>
      </c>
      <c r="V16" s="15">
        <f t="shared" si="6"/>
        <v>269.38994553324403</v>
      </c>
      <c r="W16" s="15">
        <f t="shared" si="0"/>
        <v>358.18482231414396</v>
      </c>
      <c r="X16" s="46">
        <f>VLOOKUP(B16,Policy!$B$5:$F$8,5,FALSE)</f>
        <v>1.6448536269514715</v>
      </c>
      <c r="Y16" s="47">
        <f t="shared" si="7"/>
        <v>2.0892959027797683E-2</v>
      </c>
      <c r="Z16" s="43">
        <f t="shared" si="8"/>
        <v>7.4835408169884028</v>
      </c>
      <c r="AA16" s="48">
        <f t="shared" si="9"/>
        <v>0.98600575911903066</v>
      </c>
      <c r="AB16" s="15">
        <f t="shared" si="10"/>
        <v>858.55154963563211</v>
      </c>
      <c r="AC16" s="46"/>
      <c r="AD16" s="15">
        <f t="shared" si="11"/>
        <v>589.16160410238808</v>
      </c>
      <c r="AE16" s="50">
        <f t="shared" si="12"/>
        <v>267.37930555294417</v>
      </c>
      <c r="AF16" s="52">
        <f t="shared" si="13"/>
        <v>10.79985686205738</v>
      </c>
      <c r="AG16" s="51">
        <f t="shared" si="14"/>
        <v>8</v>
      </c>
      <c r="AH16" s="43">
        <f t="shared" si="15"/>
        <v>27.109650000000006</v>
      </c>
      <c r="AI16" s="53">
        <f>IF(AH16&gt;=Policy!$E$13,Policy!$C$13,IF(Solution!AH16&gt;=Policy!$E$14,Policy!$C$14,IF(Solution!AH16&gt;=Policy!$E$15,Policy!$C$15,IF(Solution!AH16&gt;=Policy!$E$16,Policy!$C$16,IF(Solution!AH16&gt;=Policy!$E$17,Policy!$C$17,IF(Solution!AH16&gt;=Policy!$E$18,Policy!$C$18))))))</f>
        <v>2</v>
      </c>
    </row>
    <row r="17" spans="1:35" x14ac:dyDescent="0.3">
      <c r="A17" s="16" t="s">
        <v>67</v>
      </c>
      <c r="B17" s="14" t="s">
        <v>2</v>
      </c>
      <c r="C17" s="15">
        <v>532.88</v>
      </c>
      <c r="D17" s="15">
        <v>1120.3499999999999</v>
      </c>
      <c r="E17" s="15">
        <v>2096.88</v>
      </c>
      <c r="F17" s="15">
        <v>1795.1</v>
      </c>
      <c r="G17" s="15">
        <v>1065.99</v>
      </c>
      <c r="H17" s="15">
        <v>1882.05</v>
      </c>
      <c r="I17" s="15">
        <v>965.25</v>
      </c>
      <c r="J17" s="15">
        <v>1442.14</v>
      </c>
      <c r="K17" s="15">
        <v>1380.93</v>
      </c>
      <c r="L17" s="15">
        <v>1717.4</v>
      </c>
      <c r="M17" s="15">
        <v>1545.66</v>
      </c>
      <c r="N17" s="38">
        <v>1889.1400000000003</v>
      </c>
      <c r="O17" s="41">
        <f t="shared" si="1"/>
        <v>17433.77</v>
      </c>
      <c r="P17" s="15">
        <f t="shared" si="2"/>
        <v>1452.8141666666668</v>
      </c>
      <c r="Q17" s="42">
        <f t="shared" si="3"/>
        <v>460.69851625663063</v>
      </c>
      <c r="R17" s="44">
        <f t="shared" si="4"/>
        <v>0.31710767063461126</v>
      </c>
      <c r="S17" s="49">
        <f t="shared" si="5"/>
        <v>525.21499515840219</v>
      </c>
      <c r="T17" s="45"/>
      <c r="U17" s="46">
        <f>VLOOKUP(B17,Policy!$B$5:$J$8,9,FALSE)</f>
        <v>5.440534834623505</v>
      </c>
      <c r="V17" s="15">
        <f t="shared" si="6"/>
        <v>259.86036433921709</v>
      </c>
      <c r="W17" s="15">
        <f t="shared" si="0"/>
        <v>201.29115625848669</v>
      </c>
      <c r="X17" s="46">
        <f>VLOOKUP(B17,Policy!$B$5:$F$8,5,FALSE)</f>
        <v>1.6448536269514715</v>
      </c>
      <c r="Y17" s="47">
        <f t="shared" si="7"/>
        <v>2.0892959027797683E-2</v>
      </c>
      <c r="Z17" s="43">
        <f t="shared" si="8"/>
        <v>4.2055678803665835</v>
      </c>
      <c r="AA17" s="48">
        <f t="shared" si="9"/>
        <v>0.99199267363054211</v>
      </c>
      <c r="AB17" s="15">
        <f t="shared" si="10"/>
        <v>590.95485278424439</v>
      </c>
      <c r="AC17" s="46"/>
      <c r="AD17" s="15">
        <f t="shared" si="11"/>
        <v>331.09448844502725</v>
      </c>
      <c r="AE17" s="50">
        <f t="shared" si="12"/>
        <v>262.60749757920109</v>
      </c>
      <c r="AF17" s="52">
        <f t="shared" si="13"/>
        <v>10.996099709518756</v>
      </c>
      <c r="AG17" s="51">
        <f t="shared" si="14"/>
        <v>8</v>
      </c>
      <c r="AH17" s="43">
        <f t="shared" si="15"/>
        <v>26.150655</v>
      </c>
      <c r="AI17" s="53">
        <f>IF(AH17&gt;=Policy!$E$13,Policy!$C$13,IF(Solution!AH17&gt;=Policy!$E$14,Policy!$C$14,IF(Solution!AH17&gt;=Policy!$E$15,Policy!$C$15,IF(Solution!AH17&gt;=Policy!$E$16,Policy!$C$16,IF(Solution!AH17&gt;=Policy!$E$17,Policy!$C$17,IF(Solution!AH17&gt;=Policy!$E$18,Policy!$C$18))))))</f>
        <v>2</v>
      </c>
    </row>
    <row r="18" spans="1:35" x14ac:dyDescent="0.3">
      <c r="A18" s="16" t="s">
        <v>68</v>
      </c>
      <c r="B18" s="14" t="s">
        <v>2</v>
      </c>
      <c r="C18" s="15">
        <v>155.19999999999999</v>
      </c>
      <c r="D18" s="15">
        <v>2080.27</v>
      </c>
      <c r="E18" s="15">
        <v>933.3</v>
      </c>
      <c r="F18" s="15">
        <v>2480.52</v>
      </c>
      <c r="G18" s="15">
        <v>557.4</v>
      </c>
      <c r="H18" s="15">
        <v>1209.06</v>
      </c>
      <c r="I18" s="15">
        <v>716.92</v>
      </c>
      <c r="J18" s="15">
        <v>1169.75</v>
      </c>
      <c r="K18" s="15">
        <v>1335.43</v>
      </c>
      <c r="L18" s="15">
        <v>1089.31</v>
      </c>
      <c r="M18" s="15">
        <v>980.37900000000002</v>
      </c>
      <c r="N18" s="38">
        <v>1198.241</v>
      </c>
      <c r="O18" s="41">
        <f t="shared" si="1"/>
        <v>13905.779999999999</v>
      </c>
      <c r="P18" s="15">
        <f t="shared" si="2"/>
        <v>1158.8149999999998</v>
      </c>
      <c r="Q18" s="42">
        <f t="shared" si="3"/>
        <v>623.99857618004785</v>
      </c>
      <c r="R18" s="44">
        <f t="shared" si="4"/>
        <v>0.53847989211396807</v>
      </c>
      <c r="S18" s="49">
        <f t="shared" si="5"/>
        <v>469.07159854009706</v>
      </c>
      <c r="T18" s="45"/>
      <c r="U18" s="46">
        <f>VLOOKUP(B18,Policy!$B$5:$J$8,9,FALSE)</f>
        <v>5.440534834623505</v>
      </c>
      <c r="V18" s="15">
        <f t="shared" si="6"/>
        <v>207.27364518523515</v>
      </c>
      <c r="W18" s="15">
        <f t="shared" si="0"/>
        <v>266.96744348272108</v>
      </c>
      <c r="X18" s="46">
        <f>VLOOKUP(B18,Policy!$B$5:$F$8,5,FALSE)</f>
        <v>1.6448536269514715</v>
      </c>
      <c r="Y18" s="47">
        <f t="shared" si="7"/>
        <v>2.0892959027797683E-2</v>
      </c>
      <c r="Z18" s="43">
        <f t="shared" si="8"/>
        <v>5.5777398584403848</v>
      </c>
      <c r="AA18" s="48">
        <f t="shared" si="9"/>
        <v>0.98810897978943912</v>
      </c>
      <c r="AB18" s="15">
        <f t="shared" si="10"/>
        <v>646.3960128757509</v>
      </c>
      <c r="AC18" s="46"/>
      <c r="AD18" s="15">
        <f t="shared" si="11"/>
        <v>439.12236769051577</v>
      </c>
      <c r="AE18" s="50">
        <f t="shared" si="12"/>
        <v>234.53579927004853</v>
      </c>
      <c r="AF18" s="52">
        <f t="shared" si="13"/>
        <v>12.312227970465193</v>
      </c>
      <c r="AG18" s="51">
        <f t="shared" si="14"/>
        <v>16</v>
      </c>
      <c r="AH18" s="43">
        <f t="shared" si="15"/>
        <v>20.858669999999996</v>
      </c>
      <c r="AI18" s="53">
        <f>IF(AH18&gt;=Policy!$E$13,Policy!$C$13,IF(Solution!AH18&gt;=Policy!$E$14,Policy!$C$14,IF(Solution!AH18&gt;=Policy!$E$15,Policy!$C$15,IF(Solution!AH18&gt;=Policy!$E$16,Policy!$C$16,IF(Solution!AH18&gt;=Policy!$E$17,Policy!$C$17,IF(Solution!AH18&gt;=Policy!$E$18,Policy!$C$18))))))</f>
        <v>2</v>
      </c>
    </row>
    <row r="19" spans="1:35" x14ac:dyDescent="0.3">
      <c r="A19" s="16" t="s">
        <v>69</v>
      </c>
      <c r="B19" s="14" t="s">
        <v>2</v>
      </c>
      <c r="C19" s="15">
        <v>641.22</v>
      </c>
      <c r="D19" s="15">
        <v>964.25</v>
      </c>
      <c r="E19" s="15">
        <v>1575.35</v>
      </c>
      <c r="F19" s="15">
        <v>1040.43</v>
      </c>
      <c r="G19" s="15">
        <v>1265.72</v>
      </c>
      <c r="H19" s="15">
        <v>929.1</v>
      </c>
      <c r="I19" s="15">
        <v>861.64</v>
      </c>
      <c r="J19" s="15">
        <v>1704.78</v>
      </c>
      <c r="K19" s="15">
        <v>1729.32</v>
      </c>
      <c r="L19" s="15">
        <v>969.76</v>
      </c>
      <c r="M19" s="15">
        <v>872.78399999999999</v>
      </c>
      <c r="N19" s="38">
        <v>1066.7360000000001</v>
      </c>
      <c r="O19" s="41">
        <f t="shared" si="1"/>
        <v>13621.090000000002</v>
      </c>
      <c r="P19" s="15">
        <f t="shared" si="2"/>
        <v>1135.0908333333334</v>
      </c>
      <c r="Q19" s="42">
        <f t="shared" si="3"/>
        <v>355.30025075390404</v>
      </c>
      <c r="R19" s="44">
        <f t="shared" si="4"/>
        <v>0.31301481812739274</v>
      </c>
      <c r="S19" s="49">
        <f t="shared" si="5"/>
        <v>464.24516793324528</v>
      </c>
      <c r="T19" s="45"/>
      <c r="U19" s="46">
        <f>VLOOKUP(B19,Policy!$B$5:$J$8,9,FALSE)</f>
        <v>5.440534834623505</v>
      </c>
      <c r="V19" s="15">
        <f t="shared" si="6"/>
        <v>203.03017706997778</v>
      </c>
      <c r="W19" s="15">
        <f t="shared" si="0"/>
        <v>155.3686897847864</v>
      </c>
      <c r="X19" s="46">
        <f>VLOOKUP(B19,Policy!$B$5:$F$8,5,FALSE)</f>
        <v>1.6448536269514715</v>
      </c>
      <c r="Y19" s="47">
        <f t="shared" si="7"/>
        <v>2.0892959027797683E-2</v>
      </c>
      <c r="Z19" s="43">
        <f t="shared" si="8"/>
        <v>3.2461116698761505</v>
      </c>
      <c r="AA19" s="48">
        <f t="shared" si="9"/>
        <v>0.99300776422869974</v>
      </c>
      <c r="AB19" s="15">
        <f t="shared" si="10"/>
        <v>458.58892997718169</v>
      </c>
      <c r="AC19" s="46"/>
      <c r="AD19" s="15">
        <f t="shared" si="11"/>
        <v>255.55875290720394</v>
      </c>
      <c r="AE19" s="50">
        <f t="shared" si="12"/>
        <v>232.12258396662264</v>
      </c>
      <c r="AF19" s="52">
        <f t="shared" si="13"/>
        <v>12.440229548122396</v>
      </c>
      <c r="AG19" s="51">
        <f t="shared" si="14"/>
        <v>16</v>
      </c>
      <c r="AH19" s="43">
        <f t="shared" si="15"/>
        <v>20.431635000000004</v>
      </c>
      <c r="AI19" s="53">
        <f>IF(AH19&gt;=Policy!$E$13,Policy!$C$13,IF(Solution!AH19&gt;=Policy!$E$14,Policy!$C$14,IF(Solution!AH19&gt;=Policy!$E$15,Policy!$C$15,IF(Solution!AH19&gt;=Policy!$E$16,Policy!$C$16,IF(Solution!AH19&gt;=Policy!$E$17,Policy!$C$17,IF(Solution!AH19&gt;=Policy!$E$18,Policy!$C$18))))))</f>
        <v>2</v>
      </c>
    </row>
    <row r="20" spans="1:35" x14ac:dyDescent="0.3">
      <c r="A20" s="16" t="s">
        <v>70</v>
      </c>
      <c r="B20" s="14" t="s">
        <v>2</v>
      </c>
      <c r="C20" s="15">
        <v>546.98</v>
      </c>
      <c r="D20" s="15">
        <v>582.12</v>
      </c>
      <c r="E20" s="15">
        <v>764.35</v>
      </c>
      <c r="F20" s="15">
        <v>1528.55</v>
      </c>
      <c r="G20" s="15">
        <v>872.29</v>
      </c>
      <c r="H20" s="15">
        <v>2261.9</v>
      </c>
      <c r="I20" s="15">
        <v>546.53</v>
      </c>
      <c r="J20" s="15">
        <v>1531.96</v>
      </c>
      <c r="K20" s="15">
        <v>1204.6400000000001</v>
      </c>
      <c r="L20" s="15">
        <v>1091.54</v>
      </c>
      <c r="M20" s="15">
        <v>982.38599999999997</v>
      </c>
      <c r="N20" s="38">
        <v>1200.694</v>
      </c>
      <c r="O20" s="41">
        <f t="shared" si="1"/>
        <v>13113.94</v>
      </c>
      <c r="P20" s="15">
        <f t="shared" si="2"/>
        <v>1092.8283333333334</v>
      </c>
      <c r="Q20" s="42">
        <f t="shared" si="3"/>
        <v>504.48038240970521</v>
      </c>
      <c r="R20" s="44">
        <f t="shared" si="4"/>
        <v>0.46162820547573513</v>
      </c>
      <c r="S20" s="49">
        <f t="shared" si="5"/>
        <v>455.52063689026363</v>
      </c>
      <c r="T20" s="45"/>
      <c r="U20" s="46">
        <f>VLOOKUP(B20,Policy!$B$5:$J$8,9,FALSE)</f>
        <v>5.440534834623505</v>
      </c>
      <c r="V20" s="15">
        <f t="shared" si="6"/>
        <v>195.47081476482896</v>
      </c>
      <c r="W20" s="15">
        <f t="shared" si="0"/>
        <v>216.7194422345361</v>
      </c>
      <c r="X20" s="46">
        <f>VLOOKUP(B20,Policy!$B$5:$F$8,5,FALSE)</f>
        <v>1.6448536269514715</v>
      </c>
      <c r="Y20" s="47">
        <f t="shared" si="7"/>
        <v>2.0892959027797683E-2</v>
      </c>
      <c r="Z20" s="43">
        <f t="shared" si="8"/>
        <v>4.5279104271333299</v>
      </c>
      <c r="AA20" s="48">
        <f t="shared" si="9"/>
        <v>0.99005992251406139</v>
      </c>
      <c r="AB20" s="15">
        <f t="shared" si="10"/>
        <v>551.94257535520558</v>
      </c>
      <c r="AC20" s="46"/>
      <c r="AD20" s="15">
        <f t="shared" si="11"/>
        <v>356.47176059037662</v>
      </c>
      <c r="AE20" s="50">
        <f t="shared" si="12"/>
        <v>227.76031844513182</v>
      </c>
      <c r="AF20" s="52">
        <f t="shared" si="13"/>
        <v>12.6784957430754</v>
      </c>
      <c r="AG20" s="51">
        <f t="shared" si="14"/>
        <v>16</v>
      </c>
      <c r="AH20" s="43">
        <f t="shared" si="15"/>
        <v>19.670909999999999</v>
      </c>
      <c r="AI20" s="53">
        <f>IF(AH20&gt;=Policy!$E$13,Policy!$C$13,IF(Solution!AH20&gt;=Policy!$E$14,Policy!$C$14,IF(Solution!AH20&gt;=Policy!$E$15,Policy!$C$15,IF(Solution!AH20&gt;=Policy!$E$16,Policy!$C$16,IF(Solution!AH20&gt;=Policy!$E$17,Policy!$C$17,IF(Solution!AH20&gt;=Policy!$E$18,Policy!$C$18))))))</f>
        <v>2</v>
      </c>
    </row>
    <row r="21" spans="1:35" x14ac:dyDescent="0.3">
      <c r="A21" s="16" t="s">
        <v>71</v>
      </c>
      <c r="B21" s="14" t="s">
        <v>2</v>
      </c>
      <c r="C21" s="15">
        <v>590.14</v>
      </c>
      <c r="D21" s="15">
        <v>472.38</v>
      </c>
      <c r="E21" s="15">
        <v>1063.56</v>
      </c>
      <c r="F21" s="15">
        <v>1559.52</v>
      </c>
      <c r="G21" s="15">
        <v>738.91</v>
      </c>
      <c r="H21" s="15">
        <v>1104.44</v>
      </c>
      <c r="I21" s="15">
        <v>568.13</v>
      </c>
      <c r="J21" s="15">
        <v>1110.79</v>
      </c>
      <c r="K21" s="15">
        <v>1486.51</v>
      </c>
      <c r="L21" s="15">
        <v>742.3</v>
      </c>
      <c r="M21" s="15">
        <v>668.06999999999994</v>
      </c>
      <c r="N21" s="38">
        <v>816.53</v>
      </c>
      <c r="O21" s="41">
        <f t="shared" si="1"/>
        <v>10921.28</v>
      </c>
      <c r="P21" s="15">
        <f t="shared" si="2"/>
        <v>910.10666666666668</v>
      </c>
      <c r="Q21" s="42">
        <f t="shared" si="3"/>
        <v>355.64317025849823</v>
      </c>
      <c r="R21" s="44">
        <f t="shared" si="4"/>
        <v>0.39077086597010413</v>
      </c>
      <c r="S21" s="49">
        <f t="shared" si="5"/>
        <v>415.69828396463129</v>
      </c>
      <c r="T21" s="45"/>
      <c r="U21" s="46">
        <f>VLOOKUP(B21,Policy!$B$5:$J$8,9,FALSE)</f>
        <v>5.440534834623505</v>
      </c>
      <c r="V21" s="15">
        <f t="shared" si="6"/>
        <v>162.78795692788219</v>
      </c>
      <c r="W21" s="15">
        <f t="shared" si="0"/>
        <v>153.70772172696601</v>
      </c>
      <c r="X21" s="46">
        <f>VLOOKUP(B21,Policy!$B$5:$F$8,5,FALSE)</f>
        <v>1.6448536269514715</v>
      </c>
      <c r="Y21" s="47">
        <f t="shared" si="7"/>
        <v>2.0892959027797683E-2</v>
      </c>
      <c r="Z21" s="43">
        <f t="shared" si="8"/>
        <v>3.2114091322976286</v>
      </c>
      <c r="AA21" s="48">
        <f t="shared" si="9"/>
        <v>0.99227466348508941</v>
      </c>
      <c r="AB21" s="15">
        <f t="shared" si="10"/>
        <v>415.61466050092974</v>
      </c>
      <c r="AC21" s="46"/>
      <c r="AD21" s="15">
        <f t="shared" si="11"/>
        <v>252.82670357304755</v>
      </c>
      <c r="AE21" s="50">
        <f t="shared" si="12"/>
        <v>207.84914198231564</v>
      </c>
      <c r="AF21" s="52">
        <f t="shared" si="13"/>
        <v>13.893048584697985</v>
      </c>
      <c r="AG21" s="51">
        <f t="shared" si="14"/>
        <v>16</v>
      </c>
      <c r="AH21" s="43">
        <f t="shared" si="15"/>
        <v>16.381920000000001</v>
      </c>
      <c r="AI21" s="53">
        <f>IF(AH21&gt;=Policy!$E$13,Policy!$C$13,IF(Solution!AH21&gt;=Policy!$E$14,Policy!$C$14,IF(Solution!AH21&gt;=Policy!$E$15,Policy!$C$15,IF(Solution!AH21&gt;=Policy!$E$16,Policy!$C$16,IF(Solution!AH21&gt;=Policy!$E$17,Policy!$C$17,IF(Solution!AH21&gt;=Policy!$E$18,Policy!$C$18))))))</f>
        <v>2</v>
      </c>
    </row>
    <row r="22" spans="1:35" x14ac:dyDescent="0.3">
      <c r="A22" s="16" t="s">
        <v>72</v>
      </c>
      <c r="B22" s="14" t="s">
        <v>2</v>
      </c>
      <c r="C22" s="15">
        <v>492.55</v>
      </c>
      <c r="D22" s="15">
        <v>131.66</v>
      </c>
      <c r="E22" s="15">
        <v>1051.01</v>
      </c>
      <c r="F22" s="15">
        <v>1147.3499999999999</v>
      </c>
      <c r="G22" s="15">
        <v>950.38</v>
      </c>
      <c r="H22" s="15">
        <v>921.23</v>
      </c>
      <c r="I22" s="15">
        <v>728.68</v>
      </c>
      <c r="J22" s="15">
        <v>1265.0999999999999</v>
      </c>
      <c r="K22" s="15">
        <v>1963.93</v>
      </c>
      <c r="L22" s="15">
        <v>427.82</v>
      </c>
      <c r="M22" s="15">
        <v>385.03800000000001</v>
      </c>
      <c r="N22" s="38">
        <v>470.60200000000003</v>
      </c>
      <c r="O22" s="41">
        <f t="shared" si="1"/>
        <v>9935.3500000000022</v>
      </c>
      <c r="P22" s="15">
        <f t="shared" si="2"/>
        <v>827.94583333333355</v>
      </c>
      <c r="Q22" s="42">
        <f t="shared" si="3"/>
        <v>499.83207874242078</v>
      </c>
      <c r="R22" s="44">
        <f t="shared" si="4"/>
        <v>0.60370142419834705</v>
      </c>
      <c r="S22" s="49">
        <f t="shared" si="5"/>
        <v>396.49073767654545</v>
      </c>
      <c r="T22" s="45"/>
      <c r="U22" s="46">
        <f>VLOOKUP(B22,Policy!$B$5:$J$8,9,FALSE)</f>
        <v>5.440534834623505</v>
      </c>
      <c r="V22" s="15">
        <f t="shared" si="6"/>
        <v>148.0921034771963</v>
      </c>
      <c r="W22" s="15">
        <f t="shared" si="0"/>
        <v>213.34584857949025</v>
      </c>
      <c r="X22" s="46">
        <f>VLOOKUP(B22,Policy!$B$5:$F$8,5,FALSE)</f>
        <v>1.6448536269514715</v>
      </c>
      <c r="Y22" s="47">
        <f t="shared" si="7"/>
        <v>2.0892959027797683E-2</v>
      </c>
      <c r="Z22" s="43">
        <f t="shared" si="8"/>
        <v>4.4574260731220186</v>
      </c>
      <c r="AA22" s="48">
        <f t="shared" si="9"/>
        <v>0.98875780529138524</v>
      </c>
      <c r="AB22" s="15">
        <f t="shared" si="10"/>
        <v>499.01479630821029</v>
      </c>
      <c r="AC22" s="46"/>
      <c r="AD22" s="15">
        <f t="shared" si="11"/>
        <v>350.92269283101399</v>
      </c>
      <c r="AE22" s="50">
        <f t="shared" si="12"/>
        <v>198.24536883827273</v>
      </c>
      <c r="AF22" s="52">
        <f t="shared" si="13"/>
        <v>14.566081643016004</v>
      </c>
      <c r="AG22" s="51">
        <f t="shared" si="14"/>
        <v>16</v>
      </c>
      <c r="AH22" s="43">
        <f t="shared" si="15"/>
        <v>14.903025000000003</v>
      </c>
      <c r="AI22" s="53">
        <f>IF(AH22&gt;=Policy!$E$13,Policy!$C$13,IF(Solution!AH22&gt;=Policy!$E$14,Policy!$C$14,IF(Solution!AH22&gt;=Policy!$E$15,Policy!$C$15,IF(Solution!AH22&gt;=Policy!$E$16,Policy!$C$16,IF(Solution!AH22&gt;=Policy!$E$17,Policy!$C$17,IF(Solution!AH22&gt;=Policy!$E$18,Policy!$C$18))))))</f>
        <v>2</v>
      </c>
    </row>
    <row r="23" spans="1:35" x14ac:dyDescent="0.3">
      <c r="A23" s="16" t="s">
        <v>73</v>
      </c>
      <c r="B23" s="14" t="s">
        <v>2</v>
      </c>
      <c r="C23" s="15">
        <v>333.78</v>
      </c>
      <c r="D23" s="15">
        <v>834.7</v>
      </c>
      <c r="E23" s="15">
        <v>970.28</v>
      </c>
      <c r="F23" s="15">
        <v>1500.45</v>
      </c>
      <c r="G23" s="15">
        <v>697.48</v>
      </c>
      <c r="H23" s="15">
        <v>1262.1400000000001</v>
      </c>
      <c r="I23" s="15">
        <v>266.27</v>
      </c>
      <c r="J23" s="15">
        <v>799.35</v>
      </c>
      <c r="K23" s="15">
        <v>1495.26</v>
      </c>
      <c r="L23" s="15">
        <v>627.74</v>
      </c>
      <c r="M23" s="15">
        <v>564.96600000000001</v>
      </c>
      <c r="N23" s="38">
        <v>690.51400000000001</v>
      </c>
      <c r="O23" s="41">
        <f t="shared" si="1"/>
        <v>10042.93</v>
      </c>
      <c r="P23" s="15">
        <f t="shared" si="2"/>
        <v>836.91083333333336</v>
      </c>
      <c r="Q23" s="42">
        <f t="shared" si="3"/>
        <v>405.76322583537967</v>
      </c>
      <c r="R23" s="44">
        <f t="shared" si="4"/>
        <v>0.48483447659443568</v>
      </c>
      <c r="S23" s="49">
        <f t="shared" si="5"/>
        <v>398.63155952980509</v>
      </c>
      <c r="T23" s="45"/>
      <c r="U23" s="46">
        <f>VLOOKUP(B23,Policy!$B$5:$J$8,9,FALSE)</f>
        <v>5.440534834623505</v>
      </c>
      <c r="V23" s="15">
        <f t="shared" si="6"/>
        <v>149.69564522379571</v>
      </c>
      <c r="W23" s="15">
        <f t="shared" si="0"/>
        <v>174.06076103457167</v>
      </c>
      <c r="X23" s="46">
        <f>VLOOKUP(B23,Policy!$B$5:$F$8,5,FALSE)</f>
        <v>1.6448536269514715</v>
      </c>
      <c r="Y23" s="47">
        <f t="shared" si="7"/>
        <v>2.0892959027797683E-2</v>
      </c>
      <c r="Z23" s="43">
        <f t="shared" si="8"/>
        <v>3.6366443486425895</v>
      </c>
      <c r="AA23" s="48">
        <f t="shared" si="9"/>
        <v>0.99087717903486594</v>
      </c>
      <c r="AB23" s="15">
        <f t="shared" si="10"/>
        <v>436.00011932144423</v>
      </c>
      <c r="AC23" s="46"/>
      <c r="AD23" s="15">
        <f t="shared" si="11"/>
        <v>286.30447409764855</v>
      </c>
      <c r="AE23" s="50">
        <f t="shared" si="12"/>
        <v>199.31577976490254</v>
      </c>
      <c r="AF23" s="52">
        <f t="shared" si="13"/>
        <v>14.487855558923426</v>
      </c>
      <c r="AG23" s="51">
        <f t="shared" si="14"/>
        <v>16</v>
      </c>
      <c r="AH23" s="43">
        <f t="shared" si="15"/>
        <v>15.064394999999999</v>
      </c>
      <c r="AI23" s="53">
        <f>IF(AH23&gt;=Policy!$E$13,Policy!$C$13,IF(Solution!AH23&gt;=Policy!$E$14,Policy!$C$14,IF(Solution!AH23&gt;=Policy!$E$15,Policy!$C$15,IF(Solution!AH23&gt;=Policy!$E$16,Policy!$C$16,IF(Solution!AH23&gt;=Policy!$E$17,Policy!$C$17,IF(Solution!AH23&gt;=Policy!$E$18,Policy!$C$18))))))</f>
        <v>2</v>
      </c>
    </row>
    <row r="24" spans="1:35" x14ac:dyDescent="0.3">
      <c r="A24" s="16" t="s">
        <v>74</v>
      </c>
      <c r="B24" s="14" t="s">
        <v>2</v>
      </c>
      <c r="C24" s="15">
        <v>224.13</v>
      </c>
      <c r="D24" s="15">
        <v>486.34</v>
      </c>
      <c r="E24" s="15">
        <v>1227.72</v>
      </c>
      <c r="F24" s="15">
        <v>2320.13</v>
      </c>
      <c r="G24" s="15">
        <v>1156.0999999999999</v>
      </c>
      <c r="H24" s="15">
        <v>1270.6099999999999</v>
      </c>
      <c r="I24" s="15">
        <v>794.47</v>
      </c>
      <c r="J24" s="15">
        <v>186.6</v>
      </c>
      <c r="K24" s="15">
        <v>931.14</v>
      </c>
      <c r="L24" s="15">
        <v>111.8</v>
      </c>
      <c r="M24" s="15">
        <v>100.62</v>
      </c>
      <c r="N24" s="38">
        <v>122.98</v>
      </c>
      <c r="O24" s="41">
        <f t="shared" si="1"/>
        <v>8932.64</v>
      </c>
      <c r="P24" s="15">
        <f t="shared" si="2"/>
        <v>744.38666666666666</v>
      </c>
      <c r="Q24" s="42">
        <f t="shared" si="3"/>
        <v>677.52966262248151</v>
      </c>
      <c r="R24" s="44">
        <f t="shared" si="4"/>
        <v>0.91018511341213548</v>
      </c>
      <c r="S24" s="49">
        <f t="shared" si="5"/>
        <v>375.95111451667373</v>
      </c>
      <c r="T24" s="45"/>
      <c r="U24" s="46">
        <f>VLOOKUP(B24,Policy!$B$5:$J$8,9,FALSE)</f>
        <v>5.440534834623505</v>
      </c>
      <c r="V24" s="15">
        <f t="shared" si="6"/>
        <v>133.14613447986659</v>
      </c>
      <c r="W24" s="15">
        <f t="shared" si="0"/>
        <v>287.71329186008433</v>
      </c>
      <c r="X24" s="46">
        <f>VLOOKUP(B24,Policy!$B$5:$F$8,5,FALSE)</f>
        <v>1.6448536269514715</v>
      </c>
      <c r="Y24" s="47">
        <f t="shared" si="7"/>
        <v>2.0892959027797683E-2</v>
      </c>
      <c r="Z24" s="43">
        <f t="shared" si="8"/>
        <v>6.0111820185855382</v>
      </c>
      <c r="AA24" s="48">
        <f t="shared" si="9"/>
        <v>0.98401073494272373</v>
      </c>
      <c r="AB24" s="15">
        <f t="shared" si="10"/>
        <v>606.39238611807355</v>
      </c>
      <c r="AC24" s="46"/>
      <c r="AD24" s="15">
        <f t="shared" si="11"/>
        <v>473.24625163820701</v>
      </c>
      <c r="AE24" s="50">
        <f t="shared" si="12"/>
        <v>187.97555725833686</v>
      </c>
      <c r="AF24" s="52">
        <f t="shared" si="13"/>
        <v>15.36188145929825</v>
      </c>
      <c r="AG24" s="51">
        <f t="shared" si="14"/>
        <v>16</v>
      </c>
      <c r="AH24" s="43">
        <f t="shared" si="15"/>
        <v>13.398960000000001</v>
      </c>
      <c r="AI24" s="53">
        <f>IF(AH24&gt;=Policy!$E$13,Policy!$C$13,IF(Solution!AH24&gt;=Policy!$E$14,Policy!$C$14,IF(Solution!AH24&gt;=Policy!$E$15,Policy!$C$15,IF(Solution!AH24&gt;=Policy!$E$16,Policy!$C$16,IF(Solution!AH24&gt;=Policy!$E$17,Policy!$C$17,IF(Solution!AH24&gt;=Policy!$E$18,Policy!$C$18))))))</f>
        <v>2</v>
      </c>
    </row>
    <row r="25" spans="1:35" x14ac:dyDescent="0.3">
      <c r="A25" s="16" t="s">
        <v>75</v>
      </c>
      <c r="B25" s="14" t="s">
        <v>2</v>
      </c>
      <c r="C25" s="15">
        <v>0</v>
      </c>
      <c r="D25" s="15">
        <v>154.71</v>
      </c>
      <c r="E25" s="15">
        <v>248.3</v>
      </c>
      <c r="F25" s="15">
        <v>1243.75</v>
      </c>
      <c r="G25" s="15">
        <v>1337.61</v>
      </c>
      <c r="H25" s="15">
        <v>2005.19</v>
      </c>
      <c r="I25" s="15">
        <v>335.32</v>
      </c>
      <c r="J25" s="15">
        <v>533.91999999999996</v>
      </c>
      <c r="K25" s="15">
        <v>971.08</v>
      </c>
      <c r="L25" s="15">
        <v>1681.83</v>
      </c>
      <c r="M25" s="15">
        <v>1513.6469999999999</v>
      </c>
      <c r="N25" s="38">
        <v>1850.0130000000001</v>
      </c>
      <c r="O25" s="41">
        <f t="shared" si="1"/>
        <v>11875.37</v>
      </c>
      <c r="P25" s="15">
        <f t="shared" si="2"/>
        <v>989.61416666666673</v>
      </c>
      <c r="Q25" s="42">
        <f t="shared" si="3"/>
        <v>711.79600775845779</v>
      </c>
      <c r="R25" s="44">
        <f t="shared" si="4"/>
        <v>0.71926618649368335</v>
      </c>
      <c r="S25" s="49">
        <f t="shared" si="5"/>
        <v>433.47597863161104</v>
      </c>
      <c r="T25" s="45"/>
      <c r="U25" s="46">
        <f>VLOOKUP(B25,Policy!$B$5:$J$8,9,FALSE)</f>
        <v>5.440534834623505</v>
      </c>
      <c r="V25" s="15">
        <f t="shared" si="6"/>
        <v>177.00921687409024</v>
      </c>
      <c r="W25" s="15">
        <f t="shared" si="0"/>
        <v>302.99998087752135</v>
      </c>
      <c r="X25" s="46">
        <f>VLOOKUP(B25,Policy!$B$5:$F$8,5,FALSE)</f>
        <v>1.6448536269514715</v>
      </c>
      <c r="Y25" s="47">
        <f t="shared" si="7"/>
        <v>2.0892959027797683E-2</v>
      </c>
      <c r="Z25" s="43">
        <f t="shared" si="8"/>
        <v>6.3305661858975348</v>
      </c>
      <c r="AA25" s="48">
        <f t="shared" si="9"/>
        <v>0.98539580853849906</v>
      </c>
      <c r="AB25" s="15">
        <f t="shared" si="10"/>
        <v>675.39983438670777</v>
      </c>
      <c r="AC25" s="46"/>
      <c r="AD25" s="15">
        <f t="shared" si="11"/>
        <v>498.3906175126175</v>
      </c>
      <c r="AE25" s="50">
        <f t="shared" si="12"/>
        <v>216.73798931580552</v>
      </c>
      <c r="AF25" s="52">
        <f t="shared" si="13"/>
        <v>13.323267586655239</v>
      </c>
      <c r="AG25" s="51">
        <f t="shared" si="14"/>
        <v>16</v>
      </c>
      <c r="AH25" s="43">
        <f t="shared" si="15"/>
        <v>17.813055000000002</v>
      </c>
      <c r="AI25" s="53">
        <f>IF(AH25&gt;=Policy!$E$13,Policy!$C$13,IF(Solution!AH25&gt;=Policy!$E$14,Policy!$C$14,IF(Solution!AH25&gt;=Policy!$E$15,Policy!$C$15,IF(Solution!AH25&gt;=Policy!$E$16,Policy!$C$16,IF(Solution!AH25&gt;=Policy!$E$17,Policy!$C$17,IF(Solution!AH25&gt;=Policy!$E$18,Policy!$C$18))))))</f>
        <v>2</v>
      </c>
    </row>
    <row r="26" spans="1:35" x14ac:dyDescent="0.3">
      <c r="A26" s="16" t="s">
        <v>76</v>
      </c>
      <c r="B26" s="14" t="s">
        <v>2</v>
      </c>
      <c r="C26" s="15">
        <v>445.11</v>
      </c>
      <c r="D26" s="15">
        <v>501.93</v>
      </c>
      <c r="E26" s="15">
        <v>1267.08</v>
      </c>
      <c r="F26" s="15">
        <v>1610.26</v>
      </c>
      <c r="G26" s="15">
        <v>687.87</v>
      </c>
      <c r="H26" s="15">
        <v>1448.49</v>
      </c>
      <c r="I26" s="15">
        <v>719.42</v>
      </c>
      <c r="J26" s="15">
        <v>686.4</v>
      </c>
      <c r="K26" s="15">
        <v>515.05999999999995</v>
      </c>
      <c r="L26" s="15">
        <v>546.71</v>
      </c>
      <c r="M26" s="15">
        <v>492.03900000000004</v>
      </c>
      <c r="N26" s="38">
        <v>601.38100000000009</v>
      </c>
      <c r="O26" s="41">
        <f t="shared" si="1"/>
        <v>9521.7499999999982</v>
      </c>
      <c r="P26" s="15">
        <f t="shared" si="2"/>
        <v>793.47916666666652</v>
      </c>
      <c r="Q26" s="42">
        <f t="shared" si="3"/>
        <v>406.88551009452163</v>
      </c>
      <c r="R26" s="44">
        <f t="shared" si="4"/>
        <v>0.5127866328284465</v>
      </c>
      <c r="S26" s="49">
        <f t="shared" si="5"/>
        <v>388.15023027923445</v>
      </c>
      <c r="T26" s="45"/>
      <c r="U26" s="46">
        <f>VLOOKUP(B26,Policy!$B$5:$J$8,9,FALSE)</f>
        <v>5.440534834623505</v>
      </c>
      <c r="V26" s="15">
        <f t="shared" si="6"/>
        <v>141.9271577029489</v>
      </c>
      <c r="W26" s="15">
        <f t="shared" si="0"/>
        <v>174.28300709557936</v>
      </c>
      <c r="X26" s="46">
        <f>VLOOKUP(B26,Policy!$B$5:$F$8,5,FALSE)</f>
        <v>1.6448536269514715</v>
      </c>
      <c r="Y26" s="47">
        <f t="shared" si="7"/>
        <v>2.0892959027797683E-2</v>
      </c>
      <c r="Z26" s="43">
        <f t="shared" si="8"/>
        <v>3.6412877264893124</v>
      </c>
      <c r="AA26" s="48">
        <f t="shared" si="9"/>
        <v>0.99061887011152927</v>
      </c>
      <c r="AB26" s="15">
        <f t="shared" si="10"/>
        <v>428.59719404012162</v>
      </c>
      <c r="AC26" s="46"/>
      <c r="AD26" s="15">
        <f t="shared" si="11"/>
        <v>286.67003633717275</v>
      </c>
      <c r="AE26" s="50">
        <f t="shared" si="12"/>
        <v>194.07511513961722</v>
      </c>
      <c r="AF26" s="52">
        <f t="shared" si="13"/>
        <v>14.879075175458356</v>
      </c>
      <c r="AG26" s="51">
        <f t="shared" si="14"/>
        <v>16</v>
      </c>
      <c r="AH26" s="43">
        <f t="shared" si="15"/>
        <v>14.282624999999998</v>
      </c>
      <c r="AI26" s="53">
        <f>IF(AH26&gt;=Policy!$E$13,Policy!$C$13,IF(Solution!AH26&gt;=Policy!$E$14,Policy!$C$14,IF(Solution!AH26&gt;=Policy!$E$15,Policy!$C$15,IF(Solution!AH26&gt;=Policy!$E$16,Policy!$C$16,IF(Solution!AH26&gt;=Policy!$E$17,Policy!$C$17,IF(Solution!AH26&gt;=Policy!$E$18,Policy!$C$18))))))</f>
        <v>2</v>
      </c>
    </row>
    <row r="27" spans="1:35" x14ac:dyDescent="0.3">
      <c r="A27" s="16" t="s">
        <v>77</v>
      </c>
      <c r="B27" s="14" t="s">
        <v>2</v>
      </c>
      <c r="C27" s="15">
        <v>815.13</v>
      </c>
      <c r="D27" s="15">
        <v>465.82</v>
      </c>
      <c r="E27" s="15">
        <v>1690.15</v>
      </c>
      <c r="F27" s="15">
        <v>1407.9</v>
      </c>
      <c r="G27" s="15">
        <v>263.33999999999997</v>
      </c>
      <c r="H27" s="15">
        <v>701.58</v>
      </c>
      <c r="I27" s="15">
        <v>437.61</v>
      </c>
      <c r="J27" s="15">
        <v>817.12</v>
      </c>
      <c r="K27" s="15">
        <v>1076.8</v>
      </c>
      <c r="L27" s="15">
        <v>610.41</v>
      </c>
      <c r="M27" s="15">
        <v>549.36900000000003</v>
      </c>
      <c r="N27" s="38">
        <v>671.45100000000002</v>
      </c>
      <c r="O27" s="41">
        <f t="shared" si="1"/>
        <v>9506.68</v>
      </c>
      <c r="P27" s="15">
        <f t="shared" si="2"/>
        <v>792.22333333333336</v>
      </c>
      <c r="Q27" s="42">
        <f t="shared" si="3"/>
        <v>414.98108537713864</v>
      </c>
      <c r="R27" s="44">
        <f t="shared" si="4"/>
        <v>0.52381830718249311</v>
      </c>
      <c r="S27" s="49">
        <f t="shared" si="5"/>
        <v>387.84294746550978</v>
      </c>
      <c r="T27" s="45"/>
      <c r="U27" s="46">
        <f>VLOOKUP(B27,Policy!$B$5:$J$8,9,FALSE)</f>
        <v>5.440534834623505</v>
      </c>
      <c r="V27" s="15">
        <f t="shared" si="6"/>
        <v>141.70253068936597</v>
      </c>
      <c r="W27" s="15">
        <f t="shared" si="0"/>
        <v>177.65765941438335</v>
      </c>
      <c r="X27" s="46">
        <f>VLOOKUP(B27,Policy!$B$5:$F$8,5,FALSE)</f>
        <v>1.6448536269514715</v>
      </c>
      <c r="Y27" s="47">
        <f t="shared" si="7"/>
        <v>2.0892959027797683E-2</v>
      </c>
      <c r="Z27" s="43">
        <f t="shared" si="8"/>
        <v>3.7117941991191468</v>
      </c>
      <c r="AA27" s="48">
        <f t="shared" si="9"/>
        <v>0.99042964626951424</v>
      </c>
      <c r="AB27" s="15">
        <f t="shared" si="10"/>
        <v>433.92337613282365</v>
      </c>
      <c r="AC27" s="46"/>
      <c r="AD27" s="15">
        <f t="shared" si="11"/>
        <v>292.22084544345768</v>
      </c>
      <c r="AE27" s="50">
        <f t="shared" si="12"/>
        <v>193.92147373275489</v>
      </c>
      <c r="AF27" s="52">
        <f t="shared" si="13"/>
        <v>14.890863669010745</v>
      </c>
      <c r="AG27" s="51">
        <f t="shared" si="14"/>
        <v>16</v>
      </c>
      <c r="AH27" s="43">
        <f t="shared" si="15"/>
        <v>14.260020000000001</v>
      </c>
      <c r="AI27" s="53">
        <f>IF(AH27&gt;=Policy!$E$13,Policy!$C$13,IF(Solution!AH27&gt;=Policy!$E$14,Policy!$C$14,IF(Solution!AH27&gt;=Policy!$E$15,Policy!$C$15,IF(Solution!AH27&gt;=Policy!$E$16,Policy!$C$16,IF(Solution!AH27&gt;=Policy!$E$17,Policy!$C$17,IF(Solution!AH27&gt;=Policy!$E$18,Policy!$C$18))))))</f>
        <v>2</v>
      </c>
    </row>
    <row r="28" spans="1:35" x14ac:dyDescent="0.3">
      <c r="A28" s="16" t="s">
        <v>78</v>
      </c>
      <c r="B28" s="14" t="s">
        <v>2</v>
      </c>
      <c r="C28" s="15">
        <v>324.01</v>
      </c>
      <c r="D28" s="15">
        <v>193.17</v>
      </c>
      <c r="E28" s="15">
        <v>522.20000000000005</v>
      </c>
      <c r="F28" s="15">
        <v>813.42</v>
      </c>
      <c r="G28" s="15">
        <v>878.76</v>
      </c>
      <c r="H28" s="15">
        <v>1110.28</v>
      </c>
      <c r="I28" s="15">
        <v>739.56</v>
      </c>
      <c r="J28" s="15">
        <v>1050.3499999999999</v>
      </c>
      <c r="K28" s="15">
        <v>1542.19</v>
      </c>
      <c r="L28" s="15">
        <v>919.62</v>
      </c>
      <c r="M28" s="15">
        <v>827.65800000000002</v>
      </c>
      <c r="N28" s="38">
        <v>1011.5820000000001</v>
      </c>
      <c r="O28" s="41">
        <f t="shared" si="1"/>
        <v>9932.8000000000011</v>
      </c>
      <c r="P28" s="15">
        <f t="shared" si="2"/>
        <v>827.73333333333346</v>
      </c>
      <c r="Q28" s="42">
        <f t="shared" si="3"/>
        <v>362.11803604935545</v>
      </c>
      <c r="R28" s="44">
        <f t="shared" si="4"/>
        <v>0.4374815190673591</v>
      </c>
      <c r="S28" s="49">
        <f t="shared" si="5"/>
        <v>396.43985289325462</v>
      </c>
      <c r="T28" s="45"/>
      <c r="U28" s="46">
        <f>VLOOKUP(B28,Policy!$B$5:$J$8,9,FALSE)</f>
        <v>5.440534834623505</v>
      </c>
      <c r="V28" s="15">
        <f t="shared" si="6"/>
        <v>148.05409426122836</v>
      </c>
      <c r="W28" s="15">
        <f t="shared" si="0"/>
        <v>155.83341445555664</v>
      </c>
      <c r="X28" s="46">
        <f>VLOOKUP(B28,Policy!$B$5:$F$8,5,FALSE)</f>
        <v>1.6448536269514715</v>
      </c>
      <c r="Y28" s="47">
        <f t="shared" si="7"/>
        <v>2.0892959027797683E-2</v>
      </c>
      <c r="Z28" s="43">
        <f t="shared" si="8"/>
        <v>3.2558211433817599</v>
      </c>
      <c r="AA28" s="48">
        <f t="shared" si="9"/>
        <v>0.99178735155000064</v>
      </c>
      <c r="AB28" s="15">
        <f t="shared" si="10"/>
        <v>404.37725122868255</v>
      </c>
      <c r="AC28" s="46"/>
      <c r="AD28" s="15">
        <f t="shared" si="11"/>
        <v>256.32315696745422</v>
      </c>
      <c r="AE28" s="50">
        <f t="shared" si="12"/>
        <v>198.21992644662731</v>
      </c>
      <c r="AF28" s="52">
        <f t="shared" si="13"/>
        <v>14.56795126309177</v>
      </c>
      <c r="AG28" s="51">
        <f t="shared" si="14"/>
        <v>16</v>
      </c>
      <c r="AH28" s="43">
        <f t="shared" si="15"/>
        <v>14.899200000000002</v>
      </c>
      <c r="AI28" s="53">
        <f>IF(AH28&gt;=Policy!$E$13,Policy!$C$13,IF(Solution!AH28&gt;=Policy!$E$14,Policy!$C$14,IF(Solution!AH28&gt;=Policy!$E$15,Policy!$C$15,IF(Solution!AH28&gt;=Policy!$E$16,Policy!$C$16,IF(Solution!AH28&gt;=Policy!$E$17,Policy!$C$17,IF(Solution!AH28&gt;=Policy!$E$18,Policy!$C$18))))))</f>
        <v>2</v>
      </c>
    </row>
    <row r="29" spans="1:35" x14ac:dyDescent="0.3">
      <c r="A29" s="16" t="s">
        <v>79</v>
      </c>
      <c r="B29" s="14" t="s">
        <v>2</v>
      </c>
      <c r="C29" s="15">
        <v>0</v>
      </c>
      <c r="D29" s="15">
        <v>581.05999999999995</v>
      </c>
      <c r="E29" s="15">
        <v>833.23</v>
      </c>
      <c r="F29" s="15">
        <v>1195.23</v>
      </c>
      <c r="G29" s="15">
        <v>894.26</v>
      </c>
      <c r="H29" s="15">
        <v>1051.1500000000001</v>
      </c>
      <c r="I29" s="15">
        <v>108.86</v>
      </c>
      <c r="J29" s="15">
        <v>1083.81</v>
      </c>
      <c r="K29" s="15">
        <v>1127.43</v>
      </c>
      <c r="L29" s="15">
        <v>323.25</v>
      </c>
      <c r="M29" s="15">
        <v>290.92500000000001</v>
      </c>
      <c r="N29" s="38">
        <v>355.57500000000005</v>
      </c>
      <c r="O29" s="41">
        <f t="shared" si="1"/>
        <v>7844.7800000000007</v>
      </c>
      <c r="P29" s="15">
        <f t="shared" si="2"/>
        <v>653.73166666666668</v>
      </c>
      <c r="Q29" s="42">
        <f t="shared" si="3"/>
        <v>427.45211266257297</v>
      </c>
      <c r="R29" s="44">
        <f t="shared" si="4"/>
        <v>0.65386478039548279</v>
      </c>
      <c r="S29" s="49">
        <f t="shared" si="5"/>
        <v>352.31557703681625</v>
      </c>
      <c r="T29" s="45"/>
      <c r="U29" s="46">
        <f>VLOOKUP(B29,Policy!$B$5:$J$8,9,FALSE)</f>
        <v>5.440534834623505</v>
      </c>
      <c r="V29" s="15">
        <f t="shared" si="6"/>
        <v>116.93095578070624</v>
      </c>
      <c r="W29" s="15">
        <f t="shared" si="0"/>
        <v>182.205995782385</v>
      </c>
      <c r="X29" s="46">
        <f>VLOOKUP(B29,Policy!$B$5:$F$8,5,FALSE)</f>
        <v>1.6448536269514715</v>
      </c>
      <c r="Y29" s="47">
        <f t="shared" si="7"/>
        <v>2.0892959027797683E-2</v>
      </c>
      <c r="Z29" s="43">
        <f t="shared" si="8"/>
        <v>3.8068224045004473</v>
      </c>
      <c r="AA29" s="48">
        <f t="shared" si="9"/>
        <v>0.98919485071730839</v>
      </c>
      <c r="AB29" s="15">
        <f t="shared" si="10"/>
        <v>416.63314879566673</v>
      </c>
      <c r="AC29" s="46"/>
      <c r="AD29" s="15">
        <f t="shared" si="11"/>
        <v>299.70219301496047</v>
      </c>
      <c r="AE29" s="50">
        <f t="shared" si="12"/>
        <v>176.15778851840813</v>
      </c>
      <c r="AF29" s="52">
        <f t="shared" si="13"/>
        <v>16.392452767118762</v>
      </c>
      <c r="AG29" s="51">
        <f t="shared" si="14"/>
        <v>16</v>
      </c>
      <c r="AH29" s="43">
        <f t="shared" si="15"/>
        <v>11.76717</v>
      </c>
      <c r="AI29" s="53">
        <f>IF(AH29&gt;=Policy!$E$13,Policy!$C$13,IF(Solution!AH29&gt;=Policy!$E$14,Policy!$C$14,IF(Solution!AH29&gt;=Policy!$E$15,Policy!$C$15,IF(Solution!AH29&gt;=Policy!$E$16,Policy!$C$16,IF(Solution!AH29&gt;=Policy!$E$17,Policy!$C$17,IF(Solution!AH29&gt;=Policy!$E$18,Policy!$C$18))))))</f>
        <v>2</v>
      </c>
    </row>
    <row r="30" spans="1:35" x14ac:dyDescent="0.3">
      <c r="A30" s="16" t="s">
        <v>80</v>
      </c>
      <c r="B30" s="14" t="s">
        <v>2</v>
      </c>
      <c r="C30" s="15">
        <v>1008.02</v>
      </c>
      <c r="D30" s="15">
        <v>0</v>
      </c>
      <c r="E30" s="15">
        <v>1336.53</v>
      </c>
      <c r="F30" s="15">
        <v>1348.52</v>
      </c>
      <c r="G30" s="15">
        <v>674.2</v>
      </c>
      <c r="H30" s="15">
        <v>1992.39</v>
      </c>
      <c r="I30" s="15">
        <v>0</v>
      </c>
      <c r="J30" s="15">
        <v>336.94</v>
      </c>
      <c r="K30" s="15">
        <v>371.16</v>
      </c>
      <c r="L30" s="15">
        <v>0</v>
      </c>
      <c r="M30" s="15">
        <v>0</v>
      </c>
      <c r="N30" s="38">
        <v>0</v>
      </c>
      <c r="O30" s="41">
        <f t="shared" si="1"/>
        <v>7067.76</v>
      </c>
      <c r="P30" s="15">
        <f t="shared" si="2"/>
        <v>588.98</v>
      </c>
      <c r="Q30" s="42">
        <f t="shared" si="3"/>
        <v>683.14816230049655</v>
      </c>
      <c r="R30" s="44">
        <f t="shared" si="4"/>
        <v>1.1598834634461213</v>
      </c>
      <c r="S30" s="49">
        <f t="shared" si="5"/>
        <v>334.41238848107923</v>
      </c>
      <c r="T30" s="45"/>
      <c r="U30" s="46">
        <f>VLOOKUP(B30,Policy!$B$5:$J$8,9,FALSE)</f>
        <v>5.440534834623505</v>
      </c>
      <c r="V30" s="15">
        <f t="shared" si="6"/>
        <v>105.3490259801606</v>
      </c>
      <c r="W30" s="15">
        <f t="shared" si="0"/>
        <v>289.64728141949411</v>
      </c>
      <c r="X30" s="46">
        <f>VLOOKUP(B30,Policy!$B$5:$F$8,5,FALSE)</f>
        <v>1.6448536269514715</v>
      </c>
      <c r="Y30" s="47">
        <f t="shared" si="7"/>
        <v>2.0892959027797683E-2</v>
      </c>
      <c r="Z30" s="43">
        <f t="shared" si="8"/>
        <v>6.0515887832104758</v>
      </c>
      <c r="AA30" s="48">
        <f t="shared" si="9"/>
        <v>0.98190381399834747</v>
      </c>
      <c r="AB30" s="15">
        <f t="shared" si="10"/>
        <v>581.77640735964906</v>
      </c>
      <c r="AC30" s="46"/>
      <c r="AD30" s="15">
        <f t="shared" si="11"/>
        <v>476.42738137948845</v>
      </c>
      <c r="AE30" s="50">
        <f t="shared" si="12"/>
        <v>167.20619424053962</v>
      </c>
      <c r="AF30" s="52">
        <f t="shared" si="13"/>
        <v>17.270043379457412</v>
      </c>
      <c r="AG30" s="51">
        <f t="shared" si="14"/>
        <v>16</v>
      </c>
      <c r="AH30" s="43">
        <f t="shared" si="15"/>
        <v>10.60164</v>
      </c>
      <c r="AI30" s="53">
        <f>IF(AH30&gt;=Policy!$E$13,Policy!$C$13,IF(Solution!AH30&gt;=Policy!$E$14,Policy!$C$14,IF(Solution!AH30&gt;=Policy!$E$15,Policy!$C$15,IF(Solution!AH30&gt;=Policy!$E$16,Policy!$C$16,IF(Solution!AH30&gt;=Policy!$E$17,Policy!$C$17,IF(Solution!AH30&gt;=Policy!$E$18,Policy!$C$18))))))</f>
        <v>3</v>
      </c>
    </row>
    <row r="31" spans="1:35" x14ac:dyDescent="0.3">
      <c r="A31" s="16" t="s">
        <v>81</v>
      </c>
      <c r="B31" s="14" t="s">
        <v>2</v>
      </c>
      <c r="C31" s="15">
        <v>294.12</v>
      </c>
      <c r="D31" s="15">
        <v>1121.47</v>
      </c>
      <c r="E31" s="15">
        <v>1154.1300000000001</v>
      </c>
      <c r="F31" s="15">
        <v>474.91</v>
      </c>
      <c r="G31" s="15">
        <v>385.31</v>
      </c>
      <c r="H31" s="15">
        <v>741.38</v>
      </c>
      <c r="I31" s="15">
        <v>118.6</v>
      </c>
      <c r="J31" s="15">
        <v>1216.55</v>
      </c>
      <c r="K31" s="15">
        <v>1181.23</v>
      </c>
      <c r="L31" s="15">
        <v>88.7</v>
      </c>
      <c r="M31" s="15">
        <v>79.83</v>
      </c>
      <c r="N31" s="38">
        <v>97.570000000000007</v>
      </c>
      <c r="O31" s="41">
        <f t="shared" si="1"/>
        <v>6953.8</v>
      </c>
      <c r="P31" s="15">
        <f t="shared" si="2"/>
        <v>579.48333333333335</v>
      </c>
      <c r="Q31" s="42">
        <f t="shared" si="3"/>
        <v>475.14386306261048</v>
      </c>
      <c r="R31" s="44">
        <f t="shared" si="4"/>
        <v>0.81994396686003701</v>
      </c>
      <c r="S31" s="49">
        <f t="shared" si="5"/>
        <v>331.70541299873025</v>
      </c>
      <c r="T31" s="45"/>
      <c r="U31" s="46">
        <f>VLOOKUP(B31,Policy!$B$5:$J$8,9,FALSE)</f>
        <v>5.440534834623505</v>
      </c>
      <c r="V31" s="15">
        <f t="shared" si="6"/>
        <v>103.65038666576693</v>
      </c>
      <c r="W31" s="15">
        <f t="shared" si="0"/>
        <v>201.95980753379303</v>
      </c>
      <c r="X31" s="46">
        <f>VLOOKUP(B31,Policy!$B$5:$F$8,5,FALSE)</f>
        <v>1.6448536269514715</v>
      </c>
      <c r="Y31" s="47">
        <f t="shared" si="7"/>
        <v>2.0892959027797683E-2</v>
      </c>
      <c r="Z31" s="43">
        <f t="shared" si="8"/>
        <v>4.2195379840654432</v>
      </c>
      <c r="AA31" s="48">
        <f t="shared" si="9"/>
        <v>0.98727926099872965</v>
      </c>
      <c r="AB31" s="15">
        <f t="shared" si="10"/>
        <v>435.84470858614748</v>
      </c>
      <c r="AC31" s="46"/>
      <c r="AD31" s="15">
        <f t="shared" si="11"/>
        <v>332.19432192038056</v>
      </c>
      <c r="AE31" s="50">
        <f t="shared" si="12"/>
        <v>165.85270649936513</v>
      </c>
      <c r="AF31" s="52">
        <f t="shared" si="13"/>
        <v>17.410980434372078</v>
      </c>
      <c r="AG31" s="51">
        <f t="shared" si="14"/>
        <v>16</v>
      </c>
      <c r="AH31" s="43">
        <f t="shared" si="15"/>
        <v>10.4307</v>
      </c>
      <c r="AI31" s="53">
        <f>IF(AH31&gt;=Policy!$E$13,Policy!$C$13,IF(Solution!AH31&gt;=Policy!$E$14,Policy!$C$14,IF(Solution!AH31&gt;=Policy!$E$15,Policy!$C$15,IF(Solution!AH31&gt;=Policy!$E$16,Policy!$C$16,IF(Solution!AH31&gt;=Policy!$E$17,Policy!$C$17,IF(Solution!AH31&gt;=Policy!$E$18,Policy!$C$18))))))</f>
        <v>3</v>
      </c>
    </row>
    <row r="32" spans="1:35" x14ac:dyDescent="0.3">
      <c r="A32" s="16" t="s">
        <v>82</v>
      </c>
      <c r="B32" s="14" t="s">
        <v>2</v>
      </c>
      <c r="C32" s="15">
        <v>82.91</v>
      </c>
      <c r="D32" s="15">
        <v>166.8</v>
      </c>
      <c r="E32" s="15">
        <v>195.48</v>
      </c>
      <c r="F32" s="15">
        <v>961.69</v>
      </c>
      <c r="G32" s="15">
        <v>703.23</v>
      </c>
      <c r="H32" s="15">
        <v>980.52</v>
      </c>
      <c r="I32" s="15">
        <v>0</v>
      </c>
      <c r="J32" s="15">
        <v>1141.9000000000001</v>
      </c>
      <c r="K32" s="15">
        <v>1409.69</v>
      </c>
      <c r="L32" s="15">
        <v>610.44000000000005</v>
      </c>
      <c r="M32" s="15">
        <v>549.39600000000007</v>
      </c>
      <c r="N32" s="38">
        <v>671.48400000000015</v>
      </c>
      <c r="O32" s="41">
        <f t="shared" si="1"/>
        <v>7473.5400000000018</v>
      </c>
      <c r="P32" s="15">
        <f t="shared" si="2"/>
        <v>622.79500000000019</v>
      </c>
      <c r="Q32" s="42">
        <f t="shared" si="3"/>
        <v>448.81158026422685</v>
      </c>
      <c r="R32" s="44">
        <f t="shared" si="4"/>
        <v>0.72064094969328063</v>
      </c>
      <c r="S32" s="49">
        <f t="shared" si="5"/>
        <v>343.87819818923305</v>
      </c>
      <c r="T32" s="45"/>
      <c r="U32" s="46">
        <f>VLOOKUP(B32,Policy!$B$5:$J$8,9,FALSE)</f>
        <v>5.440534834623505</v>
      </c>
      <c r="V32" s="15">
        <f t="shared" si="6"/>
        <v>111.39741015877304</v>
      </c>
      <c r="W32" s="15">
        <f t="shared" si="0"/>
        <v>191.04708678258623</v>
      </c>
      <c r="X32" s="46">
        <f>VLOOKUP(B32,Policy!$B$5:$F$8,5,FALSE)</f>
        <v>1.6448536269514715</v>
      </c>
      <c r="Y32" s="47">
        <f t="shared" si="7"/>
        <v>2.0892959027797683E-2</v>
      </c>
      <c r="Z32" s="43">
        <f t="shared" si="8"/>
        <v>3.9915389565286827</v>
      </c>
      <c r="AA32" s="48">
        <f t="shared" si="9"/>
        <v>0.98839257918196899</v>
      </c>
      <c r="AB32" s="15">
        <f t="shared" si="10"/>
        <v>425.64190377162254</v>
      </c>
      <c r="AC32" s="46"/>
      <c r="AD32" s="15">
        <f t="shared" si="11"/>
        <v>314.24449361284951</v>
      </c>
      <c r="AE32" s="50">
        <f t="shared" si="12"/>
        <v>171.93909909461652</v>
      </c>
      <c r="AF32" s="52">
        <f t="shared" si="13"/>
        <v>16.794657195796105</v>
      </c>
      <c r="AG32" s="51">
        <f t="shared" si="14"/>
        <v>16</v>
      </c>
      <c r="AH32" s="43">
        <f t="shared" si="15"/>
        <v>11.210310000000002</v>
      </c>
      <c r="AI32" s="53">
        <f>IF(AH32&gt;=Policy!$E$13,Policy!$C$13,IF(Solution!AH32&gt;=Policy!$E$14,Policy!$C$14,IF(Solution!AH32&gt;=Policy!$E$15,Policy!$C$15,IF(Solution!AH32&gt;=Policy!$E$16,Policy!$C$16,IF(Solution!AH32&gt;=Policy!$E$17,Policy!$C$17,IF(Solution!AH32&gt;=Policy!$E$18,Policy!$C$18))))))</f>
        <v>3</v>
      </c>
    </row>
    <row r="33" spans="1:35" x14ac:dyDescent="0.3">
      <c r="A33" s="16" t="s">
        <v>83</v>
      </c>
      <c r="B33" s="14" t="s">
        <v>2</v>
      </c>
      <c r="C33" s="15">
        <v>0</v>
      </c>
      <c r="D33" s="15">
        <v>218.8</v>
      </c>
      <c r="E33" s="15">
        <v>875.57</v>
      </c>
      <c r="F33" s="15">
        <v>511.22</v>
      </c>
      <c r="G33" s="15">
        <v>856.56</v>
      </c>
      <c r="H33" s="15">
        <v>625.94000000000005</v>
      </c>
      <c r="I33" s="15">
        <v>938.26</v>
      </c>
      <c r="J33" s="15">
        <v>155.4</v>
      </c>
      <c r="K33" s="15">
        <v>652.91</v>
      </c>
      <c r="L33" s="15">
        <v>1179.02</v>
      </c>
      <c r="M33" s="15">
        <v>1061.1179999999999</v>
      </c>
      <c r="N33" s="38">
        <v>1296.922</v>
      </c>
      <c r="O33" s="41">
        <f t="shared" si="1"/>
        <v>8371.7200000000012</v>
      </c>
      <c r="P33" s="15">
        <f t="shared" si="2"/>
        <v>697.64333333333343</v>
      </c>
      <c r="Q33" s="42">
        <f t="shared" si="3"/>
        <v>414.4769018758534</v>
      </c>
      <c r="R33" s="44">
        <f t="shared" si="4"/>
        <v>0.59411003025784903</v>
      </c>
      <c r="S33" s="49">
        <f t="shared" si="5"/>
        <v>363.95593696302433</v>
      </c>
      <c r="T33" s="45"/>
      <c r="U33" s="46">
        <f>VLOOKUP(B33,Policy!$B$5:$J$8,9,FALSE)</f>
        <v>5.440534834623505</v>
      </c>
      <c r="V33" s="15">
        <f t="shared" si="6"/>
        <v>124.78529941291588</v>
      </c>
      <c r="W33" s="15">
        <f t="shared" si="0"/>
        <v>176.96574661591939</v>
      </c>
      <c r="X33" s="46">
        <f>VLOOKUP(B33,Policy!$B$5:$F$8,5,FALSE)</f>
        <v>1.6448536269514715</v>
      </c>
      <c r="Y33" s="47">
        <f t="shared" si="7"/>
        <v>2.0892959027797683E-2</v>
      </c>
      <c r="Z33" s="43">
        <f t="shared" si="8"/>
        <v>3.6973380933700302</v>
      </c>
      <c r="AA33" s="48">
        <f t="shared" si="9"/>
        <v>0.98984124802518147</v>
      </c>
      <c r="AB33" s="15">
        <f t="shared" si="10"/>
        <v>415.86804958028597</v>
      </c>
      <c r="AC33" s="46"/>
      <c r="AD33" s="15">
        <f t="shared" si="11"/>
        <v>291.08275016737008</v>
      </c>
      <c r="AE33" s="50">
        <f t="shared" si="12"/>
        <v>181.97796848151216</v>
      </c>
      <c r="AF33" s="52">
        <f t="shared" si="13"/>
        <v>15.868174878221424</v>
      </c>
      <c r="AG33" s="51">
        <f t="shared" si="14"/>
        <v>16</v>
      </c>
      <c r="AH33" s="43">
        <f t="shared" si="15"/>
        <v>12.557580000000002</v>
      </c>
      <c r="AI33" s="53">
        <f>IF(AH33&gt;=Policy!$E$13,Policy!$C$13,IF(Solution!AH33&gt;=Policy!$E$14,Policy!$C$14,IF(Solution!AH33&gt;=Policy!$E$15,Policy!$C$15,IF(Solution!AH33&gt;=Policy!$E$16,Policy!$C$16,IF(Solution!AH33&gt;=Policy!$E$17,Policy!$C$17,IF(Solution!AH33&gt;=Policy!$E$18,Policy!$C$18))))))</f>
        <v>2</v>
      </c>
    </row>
    <row r="34" spans="1:35" x14ac:dyDescent="0.3">
      <c r="A34" s="16" t="s">
        <v>84</v>
      </c>
      <c r="B34" s="14" t="s">
        <v>2</v>
      </c>
      <c r="C34" s="15">
        <v>0</v>
      </c>
      <c r="D34" s="15">
        <v>32.21</v>
      </c>
      <c r="E34" s="15">
        <v>840.86</v>
      </c>
      <c r="F34" s="15">
        <v>963.09</v>
      </c>
      <c r="G34" s="15">
        <v>311.36</v>
      </c>
      <c r="H34" s="15">
        <v>998.34</v>
      </c>
      <c r="I34" s="15">
        <v>96.93</v>
      </c>
      <c r="J34" s="15">
        <v>356.16</v>
      </c>
      <c r="K34" s="15">
        <v>878.3</v>
      </c>
      <c r="L34" s="15">
        <v>1223.3699999999999</v>
      </c>
      <c r="M34" s="15">
        <v>1101.0329999999999</v>
      </c>
      <c r="N34" s="38">
        <v>1345.7069999999999</v>
      </c>
      <c r="O34" s="41">
        <f t="shared" si="1"/>
        <v>8147.3600000000006</v>
      </c>
      <c r="P34" s="15">
        <f t="shared" si="2"/>
        <v>678.94666666666672</v>
      </c>
      <c r="Q34" s="42">
        <f t="shared" si="3"/>
        <v>488.51553219976961</v>
      </c>
      <c r="R34" s="44">
        <f t="shared" si="4"/>
        <v>0.71951974460404777</v>
      </c>
      <c r="S34" s="49">
        <f t="shared" si="5"/>
        <v>359.04585229554306</v>
      </c>
      <c r="T34" s="45"/>
      <c r="U34" s="46">
        <f>VLOOKUP(B34,Policy!$B$5:$J$8,9,FALSE)</f>
        <v>5.440534834623505</v>
      </c>
      <c r="V34" s="15">
        <f t="shared" si="6"/>
        <v>121.44108463073469</v>
      </c>
      <c r="W34" s="15">
        <f t="shared" si="0"/>
        <v>207.95216873981138</v>
      </c>
      <c r="X34" s="46">
        <f>VLOOKUP(B34,Policy!$B$5:$F$8,5,FALSE)</f>
        <v>1.6448536269514715</v>
      </c>
      <c r="Y34" s="47">
        <f t="shared" si="7"/>
        <v>2.0892959027797683E-2</v>
      </c>
      <c r="Z34" s="43">
        <f t="shared" si="8"/>
        <v>4.3447361412225494</v>
      </c>
      <c r="AA34" s="48">
        <f t="shared" si="9"/>
        <v>0.98789921645537837</v>
      </c>
      <c r="AB34" s="15">
        <f t="shared" si="10"/>
        <v>463.49196361483786</v>
      </c>
      <c r="AC34" s="46"/>
      <c r="AD34" s="15">
        <f t="shared" si="11"/>
        <v>342.05087898410318</v>
      </c>
      <c r="AE34" s="50">
        <f t="shared" si="12"/>
        <v>179.52292614777153</v>
      </c>
      <c r="AF34" s="52">
        <f t="shared" si="13"/>
        <v>16.08517803164132</v>
      </c>
      <c r="AG34" s="51">
        <f t="shared" si="14"/>
        <v>16</v>
      </c>
      <c r="AH34" s="43">
        <f t="shared" si="15"/>
        <v>12.22104</v>
      </c>
      <c r="AI34" s="53">
        <f>IF(AH34&gt;=Policy!$E$13,Policy!$C$13,IF(Solution!AH34&gt;=Policy!$E$14,Policy!$C$14,IF(Solution!AH34&gt;=Policy!$E$15,Policy!$C$15,IF(Solution!AH34&gt;=Policy!$E$16,Policy!$C$16,IF(Solution!AH34&gt;=Policy!$E$17,Policy!$C$17,IF(Solution!AH34&gt;=Policy!$E$18,Policy!$C$18))))))</f>
        <v>2</v>
      </c>
    </row>
    <row r="35" spans="1:35" x14ac:dyDescent="0.3">
      <c r="A35" s="16" t="s">
        <v>85</v>
      </c>
      <c r="B35" s="14" t="s">
        <v>2</v>
      </c>
      <c r="C35" s="15">
        <v>93.39</v>
      </c>
      <c r="D35" s="15">
        <v>558.25</v>
      </c>
      <c r="E35" s="15">
        <v>710.99</v>
      </c>
      <c r="F35" s="15">
        <v>676.37</v>
      </c>
      <c r="G35" s="15">
        <v>586.79999999999995</v>
      </c>
      <c r="H35" s="15">
        <v>524.52</v>
      </c>
      <c r="I35" s="15">
        <v>123.02</v>
      </c>
      <c r="J35" s="15">
        <v>928.05</v>
      </c>
      <c r="K35" s="15">
        <v>683.21</v>
      </c>
      <c r="L35" s="15">
        <v>367.56</v>
      </c>
      <c r="M35" s="15">
        <v>330.80400000000003</v>
      </c>
      <c r="N35" s="38">
        <v>404.31600000000003</v>
      </c>
      <c r="O35" s="41">
        <f t="shared" si="1"/>
        <v>5987.2800000000007</v>
      </c>
      <c r="P35" s="15">
        <f t="shared" si="2"/>
        <v>498.94000000000005</v>
      </c>
      <c r="Q35" s="42">
        <f t="shared" si="3"/>
        <v>246.18906143486913</v>
      </c>
      <c r="R35" s="44">
        <f t="shared" si="4"/>
        <v>0.49342418213586625</v>
      </c>
      <c r="S35" s="49">
        <f t="shared" si="5"/>
        <v>307.79123288029939</v>
      </c>
      <c r="T35" s="45"/>
      <c r="U35" s="46">
        <f>VLOOKUP(B35,Policy!$B$5:$J$8,9,FALSE)</f>
        <v>5.440534834623505</v>
      </c>
      <c r="V35" s="15">
        <f t="shared" si="6"/>
        <v>89.243850423683909</v>
      </c>
      <c r="W35" s="15">
        <f t="shared" si="0"/>
        <v>105.55701981644395</v>
      </c>
      <c r="X35" s="46">
        <f>VLOOKUP(B35,Policy!$B$5:$F$8,5,FALSE)</f>
        <v>1.6448536269514715</v>
      </c>
      <c r="Y35" s="47">
        <f t="shared" si="7"/>
        <v>2.0892959027797683E-2</v>
      </c>
      <c r="Z35" s="43">
        <f t="shared" si="8"/>
        <v>2.2053984901213917</v>
      </c>
      <c r="AA35" s="48">
        <f t="shared" si="9"/>
        <v>0.99283475858138204</v>
      </c>
      <c r="AB35" s="15">
        <f t="shared" si="10"/>
        <v>262.8696973189501</v>
      </c>
      <c r="AC35" s="46"/>
      <c r="AD35" s="15">
        <f t="shared" si="11"/>
        <v>173.62584689526619</v>
      </c>
      <c r="AE35" s="50">
        <f t="shared" si="12"/>
        <v>153.89561644014969</v>
      </c>
      <c r="AF35" s="52">
        <f t="shared" si="13"/>
        <v>18.763745807997832</v>
      </c>
      <c r="AG35" s="51">
        <f t="shared" si="14"/>
        <v>16</v>
      </c>
      <c r="AH35" s="43">
        <f t="shared" si="15"/>
        <v>8.9809200000000011</v>
      </c>
      <c r="AI35" s="53">
        <f>IF(AH35&gt;=Policy!$E$13,Policy!$C$13,IF(Solution!AH35&gt;=Policy!$E$14,Policy!$C$14,IF(Solution!AH35&gt;=Policy!$E$15,Policy!$C$15,IF(Solution!AH35&gt;=Policy!$E$16,Policy!$C$16,IF(Solution!AH35&gt;=Policy!$E$17,Policy!$C$17,IF(Solution!AH35&gt;=Policy!$E$18,Policy!$C$18))))))</f>
        <v>3</v>
      </c>
    </row>
    <row r="36" spans="1:35" x14ac:dyDescent="0.3">
      <c r="A36" s="16" t="s">
        <v>86</v>
      </c>
      <c r="B36" s="14" t="s">
        <v>2</v>
      </c>
      <c r="C36" s="15">
        <v>110.2</v>
      </c>
      <c r="D36" s="15">
        <v>233.93</v>
      </c>
      <c r="E36" s="15">
        <v>329.81</v>
      </c>
      <c r="F36" s="15">
        <v>839.56</v>
      </c>
      <c r="G36" s="15">
        <v>440.52</v>
      </c>
      <c r="H36" s="15">
        <v>523.33000000000004</v>
      </c>
      <c r="I36" s="15">
        <v>548.71</v>
      </c>
      <c r="J36" s="15">
        <v>714.77</v>
      </c>
      <c r="K36" s="15">
        <v>708.48</v>
      </c>
      <c r="L36" s="15">
        <v>679.4</v>
      </c>
      <c r="M36" s="15">
        <v>611.46</v>
      </c>
      <c r="N36" s="38">
        <v>747.34</v>
      </c>
      <c r="O36" s="41">
        <f t="shared" si="1"/>
        <v>6487.5099999999993</v>
      </c>
      <c r="P36" s="15">
        <f t="shared" si="2"/>
        <v>540.62583333333328</v>
      </c>
      <c r="Q36" s="42">
        <f t="shared" si="3"/>
        <v>223.4089337539138</v>
      </c>
      <c r="R36" s="44">
        <f t="shared" si="4"/>
        <v>0.4132413214079001</v>
      </c>
      <c r="S36" s="49">
        <f t="shared" si="5"/>
        <v>320.39112766046486</v>
      </c>
      <c r="T36" s="45"/>
      <c r="U36" s="46">
        <f>VLOOKUP(B36,Policy!$B$5:$J$8,9,FALSE)</f>
        <v>5.440534834623505</v>
      </c>
      <c r="V36" s="15">
        <f t="shared" si="6"/>
        <v>96.700066150598161</v>
      </c>
      <c r="W36" s="15">
        <f t="shared" si="0"/>
        <v>96.339558085476583</v>
      </c>
      <c r="X36" s="46">
        <f>VLOOKUP(B36,Policy!$B$5:$F$8,5,FALSE)</f>
        <v>1.6448536269514715</v>
      </c>
      <c r="Y36" s="47">
        <f t="shared" si="7"/>
        <v>2.0892959027797683E-2</v>
      </c>
      <c r="Z36" s="43">
        <f t="shared" si="8"/>
        <v>2.0128184398359972</v>
      </c>
      <c r="AA36" s="48">
        <f t="shared" si="9"/>
        <v>0.99371762116343909</v>
      </c>
      <c r="AB36" s="15">
        <f t="shared" si="10"/>
        <v>255.16453768639627</v>
      </c>
      <c r="AC36" s="46"/>
      <c r="AD36" s="15">
        <f t="shared" si="11"/>
        <v>158.46447153579811</v>
      </c>
      <c r="AE36" s="50">
        <f t="shared" si="12"/>
        <v>160.19556383023243</v>
      </c>
      <c r="AF36" s="52">
        <f t="shared" si="13"/>
        <v>18.025831420077917</v>
      </c>
      <c r="AG36" s="51">
        <f t="shared" si="14"/>
        <v>16</v>
      </c>
      <c r="AH36" s="43">
        <f t="shared" si="15"/>
        <v>9.7312649999999987</v>
      </c>
      <c r="AI36" s="53">
        <f>IF(AH36&gt;=Policy!$E$13,Policy!$C$13,IF(Solution!AH36&gt;=Policy!$E$14,Policy!$C$14,IF(Solution!AH36&gt;=Policy!$E$15,Policy!$C$15,IF(Solution!AH36&gt;=Policy!$E$16,Policy!$C$16,IF(Solution!AH36&gt;=Policy!$E$17,Policy!$C$17,IF(Solution!AH36&gt;=Policy!$E$18,Policy!$C$18))))))</f>
        <v>3</v>
      </c>
    </row>
    <row r="37" spans="1:35" x14ac:dyDescent="0.3">
      <c r="A37" s="16" t="s">
        <v>87</v>
      </c>
      <c r="B37" s="14" t="s">
        <v>2</v>
      </c>
      <c r="C37" s="15">
        <v>80.66</v>
      </c>
      <c r="D37" s="15">
        <v>323.22000000000003</v>
      </c>
      <c r="E37" s="15">
        <v>161.29</v>
      </c>
      <c r="F37" s="15">
        <v>270.56</v>
      </c>
      <c r="G37" s="15">
        <v>539.42999999999995</v>
      </c>
      <c r="H37" s="15">
        <v>704.19</v>
      </c>
      <c r="I37" s="15">
        <v>0</v>
      </c>
      <c r="J37" s="15">
        <v>950.39</v>
      </c>
      <c r="K37" s="15">
        <v>1000.52</v>
      </c>
      <c r="L37" s="15">
        <v>1028.21</v>
      </c>
      <c r="M37" s="15">
        <v>925.38900000000001</v>
      </c>
      <c r="N37" s="38">
        <v>1131.0310000000002</v>
      </c>
      <c r="O37" s="41">
        <f t="shared" si="1"/>
        <v>7114.8899999999994</v>
      </c>
      <c r="P37" s="15">
        <f t="shared" si="2"/>
        <v>592.90749999999991</v>
      </c>
      <c r="Q37" s="42">
        <f t="shared" si="3"/>
        <v>412.93452825830536</v>
      </c>
      <c r="R37" s="44">
        <f t="shared" si="4"/>
        <v>0.69645691487846828</v>
      </c>
      <c r="S37" s="49">
        <f t="shared" si="5"/>
        <v>335.52551828098188</v>
      </c>
      <c r="T37" s="45"/>
      <c r="U37" s="46">
        <f>VLOOKUP(B37,Policy!$B$5:$J$8,9,FALSE)</f>
        <v>5.440534834623505</v>
      </c>
      <c r="V37" s="15">
        <f t="shared" si="6"/>
        <v>106.05152572469704</v>
      </c>
      <c r="W37" s="15">
        <f t="shared" si="0"/>
        <v>175.85504452610928</v>
      </c>
      <c r="X37" s="46">
        <f>VLOOKUP(B37,Policy!$B$5:$F$8,5,FALSE)</f>
        <v>1.6448536269514715</v>
      </c>
      <c r="Y37" s="47">
        <f t="shared" si="7"/>
        <v>2.0892959027797683E-2</v>
      </c>
      <c r="Z37" s="43">
        <f t="shared" si="8"/>
        <v>3.6741322401155383</v>
      </c>
      <c r="AA37" s="48">
        <f t="shared" si="9"/>
        <v>0.98904961906045341</v>
      </c>
      <c r="AB37" s="15">
        <f t="shared" si="10"/>
        <v>395.3073335311804</v>
      </c>
      <c r="AC37" s="46"/>
      <c r="AD37" s="15">
        <f t="shared" si="11"/>
        <v>289.25580780648335</v>
      </c>
      <c r="AE37" s="50">
        <f t="shared" si="12"/>
        <v>167.76275914049094</v>
      </c>
      <c r="AF37" s="52">
        <f t="shared" si="13"/>
        <v>17.212748780734263</v>
      </c>
      <c r="AG37" s="51">
        <f t="shared" si="14"/>
        <v>16</v>
      </c>
      <c r="AH37" s="43">
        <f t="shared" si="15"/>
        <v>10.672335</v>
      </c>
      <c r="AI37" s="53">
        <f>IF(AH37&gt;=Policy!$E$13,Policy!$C$13,IF(Solution!AH37&gt;=Policy!$E$14,Policy!$C$14,IF(Solution!AH37&gt;=Policy!$E$15,Policy!$C$15,IF(Solution!AH37&gt;=Policy!$E$16,Policy!$C$16,IF(Solution!AH37&gt;=Policy!$E$17,Policy!$C$17,IF(Solution!AH37&gt;=Policy!$E$18,Policy!$C$18))))))</f>
        <v>3</v>
      </c>
    </row>
    <row r="38" spans="1:35" x14ac:dyDescent="0.3">
      <c r="A38" s="16" t="s">
        <v>88</v>
      </c>
      <c r="B38" s="14" t="s">
        <v>2</v>
      </c>
      <c r="C38" s="15">
        <v>0</v>
      </c>
      <c r="D38" s="15">
        <v>62.53</v>
      </c>
      <c r="E38" s="15">
        <v>372.58</v>
      </c>
      <c r="F38" s="15">
        <v>828.6</v>
      </c>
      <c r="G38" s="15">
        <v>218.41</v>
      </c>
      <c r="H38" s="15">
        <v>1031.0999999999999</v>
      </c>
      <c r="I38" s="15">
        <v>218.83</v>
      </c>
      <c r="J38" s="15">
        <v>437.11</v>
      </c>
      <c r="K38" s="15">
        <v>778.91</v>
      </c>
      <c r="L38" s="15">
        <v>839.27</v>
      </c>
      <c r="M38" s="15">
        <v>755.34299999999996</v>
      </c>
      <c r="N38" s="38">
        <v>923.197</v>
      </c>
      <c r="O38" s="41">
        <f t="shared" si="1"/>
        <v>6465.88</v>
      </c>
      <c r="P38" s="15">
        <f t="shared" si="2"/>
        <v>538.82333333333338</v>
      </c>
      <c r="Q38" s="42">
        <f t="shared" si="3"/>
        <v>360.4377807011744</v>
      </c>
      <c r="R38" s="44">
        <f t="shared" si="4"/>
        <v>0.66893498926891504</v>
      </c>
      <c r="S38" s="49">
        <f t="shared" ref="S38:S69" si="16">SQRT(2*$T$1*O38*(365/$Y$1)/(($T$3+$T$4)*$T$2))</f>
        <v>319.85657387038532</v>
      </c>
      <c r="T38" s="45"/>
      <c r="U38" s="46">
        <f>VLOOKUP(B38,Policy!$B$5:$J$8,9,FALSE)</f>
        <v>5.440534834623505</v>
      </c>
      <c r="V38" s="15">
        <f t="shared" si="6"/>
        <v>96.377658565740887</v>
      </c>
      <c r="W38" s="15">
        <f t="shared" si="0"/>
        <v>153.58709055074272</v>
      </c>
      <c r="X38" s="46">
        <f>VLOOKUP(B38,Policy!$B$5:$F$8,5,FALSE)</f>
        <v>1.6448536269514715</v>
      </c>
      <c r="Y38" s="47">
        <f t="shared" si="7"/>
        <v>2.0892959027797683E-2</v>
      </c>
      <c r="Z38" s="43">
        <f t="shared" si="8"/>
        <v>3.2088887900753202</v>
      </c>
      <c r="AA38" s="48">
        <f t="shared" si="9"/>
        <v>0.98996772599904215</v>
      </c>
      <c r="AB38" s="15">
        <f t="shared" si="10"/>
        <v>349.00594151105412</v>
      </c>
      <c r="AC38" s="46"/>
      <c r="AD38" s="15">
        <f t="shared" si="11"/>
        <v>252.62828294531323</v>
      </c>
      <c r="AE38" s="50">
        <f t="shared" si="12"/>
        <v>159.92828693519266</v>
      </c>
      <c r="AF38" s="52">
        <f t="shared" ref="AF38:AF69" si="17">S38/(O38/$Y$1)</f>
        <v>18.055956724017559</v>
      </c>
      <c r="AG38" s="51">
        <f t="shared" si="14"/>
        <v>16</v>
      </c>
      <c r="AH38" s="43">
        <f t="shared" si="15"/>
        <v>9.6988199999999996</v>
      </c>
      <c r="AI38" s="53">
        <f>IF(AH38&gt;=Policy!$E$13,Policy!$C$13,IF(Solution!AH38&gt;=Policy!$E$14,Policy!$C$14,IF(Solution!AH38&gt;=Policy!$E$15,Policy!$C$15,IF(Solution!AH38&gt;=Policy!$E$16,Policy!$C$16,IF(Solution!AH38&gt;=Policy!$E$17,Policy!$C$17,IF(Solution!AH38&gt;=Policy!$E$18,Policy!$C$18))))))</f>
        <v>3</v>
      </c>
    </row>
    <row r="39" spans="1:35" x14ac:dyDescent="0.3">
      <c r="A39" s="16" t="s">
        <v>89</v>
      </c>
      <c r="B39" s="14" t="s">
        <v>3</v>
      </c>
      <c r="C39" s="15">
        <v>0</v>
      </c>
      <c r="D39" s="15">
        <v>99.51</v>
      </c>
      <c r="E39" s="15">
        <v>299.10000000000002</v>
      </c>
      <c r="F39" s="15">
        <v>628.75</v>
      </c>
      <c r="G39" s="15">
        <v>66.36</v>
      </c>
      <c r="H39" s="15">
        <v>1101.3599999999999</v>
      </c>
      <c r="I39" s="15">
        <v>303.48</v>
      </c>
      <c r="J39" s="15">
        <v>807.31</v>
      </c>
      <c r="K39" s="15">
        <v>669.2</v>
      </c>
      <c r="L39" s="15">
        <v>801.07</v>
      </c>
      <c r="M39" s="15">
        <v>720.96300000000008</v>
      </c>
      <c r="N39" s="38">
        <v>881.17700000000013</v>
      </c>
      <c r="O39" s="41">
        <f t="shared" si="1"/>
        <v>6378.2799999999988</v>
      </c>
      <c r="P39" s="15">
        <f t="shared" si="2"/>
        <v>531.5233333333332</v>
      </c>
      <c r="Q39" s="42">
        <f t="shared" si="3"/>
        <v>363.25978049332792</v>
      </c>
      <c r="R39" s="44">
        <f t="shared" si="4"/>
        <v>0.68343148402389609</v>
      </c>
      <c r="S39" s="49">
        <f t="shared" si="16"/>
        <v>317.68247024148837</v>
      </c>
      <c r="T39" s="45"/>
      <c r="U39" s="46">
        <f>VLOOKUP(B39,Policy!$B$5:$J$8,9,FALSE)</f>
        <v>5.440534834623505</v>
      </c>
      <c r="V39" s="15">
        <f t="shared" si="6"/>
        <v>95.071930205431244</v>
      </c>
      <c r="W39" s="15">
        <f t="shared" si="0"/>
        <v>154.74117672339992</v>
      </c>
      <c r="X39" s="46">
        <f>VLOOKUP(B39,Policy!$B$5:$F$8,5,FALSE)</f>
        <v>1.2815515655446006</v>
      </c>
      <c r="Y39" s="47">
        <f t="shared" si="7"/>
        <v>4.7343175378026764E-2</v>
      </c>
      <c r="Z39" s="43">
        <f t="shared" si="8"/>
        <v>7.3259386678181553</v>
      </c>
      <c r="AA39" s="48">
        <f t="shared" si="9"/>
        <v>0.97693943055073418</v>
      </c>
      <c r="AB39" s="15">
        <f t="shared" si="10"/>
        <v>293.38072748951811</v>
      </c>
      <c r="AC39" s="46"/>
      <c r="AD39" s="15">
        <f t="shared" si="11"/>
        <v>198.30879728408686</v>
      </c>
      <c r="AE39" s="50">
        <f t="shared" si="12"/>
        <v>158.84123512074419</v>
      </c>
      <c r="AF39" s="52">
        <f t="shared" si="17"/>
        <v>18.179525144418758</v>
      </c>
      <c r="AG39" s="51">
        <f t="shared" si="14"/>
        <v>16</v>
      </c>
      <c r="AH39" s="43">
        <f t="shared" si="15"/>
        <v>9.5674199999999985</v>
      </c>
      <c r="AI39" s="53">
        <f>IF(AH39&gt;=Policy!$E$13,Policy!$C$13,IF(Solution!AH39&gt;=Policy!$E$14,Policy!$C$14,IF(Solution!AH39&gt;=Policy!$E$15,Policy!$C$15,IF(Solution!AH39&gt;=Policy!$E$16,Policy!$C$16,IF(Solution!AH39&gt;=Policy!$E$17,Policy!$C$17,IF(Solution!AH39&gt;=Policy!$E$18,Policy!$C$18))))))</f>
        <v>3</v>
      </c>
    </row>
    <row r="40" spans="1:35" x14ac:dyDescent="0.3">
      <c r="A40" s="16" t="s">
        <v>90</v>
      </c>
      <c r="B40" s="14" t="s">
        <v>3</v>
      </c>
      <c r="C40" s="15">
        <v>0</v>
      </c>
      <c r="D40" s="15">
        <v>0</v>
      </c>
      <c r="E40" s="15">
        <v>292.41000000000003</v>
      </c>
      <c r="F40" s="15">
        <v>259.85000000000002</v>
      </c>
      <c r="G40" s="15">
        <v>227.03</v>
      </c>
      <c r="H40" s="15">
        <v>485.32</v>
      </c>
      <c r="I40" s="15">
        <v>194.29</v>
      </c>
      <c r="J40" s="15">
        <v>324.10000000000002</v>
      </c>
      <c r="K40" s="15">
        <v>1124.82</v>
      </c>
      <c r="L40" s="15">
        <v>1349.72</v>
      </c>
      <c r="M40" s="15">
        <v>1214.748</v>
      </c>
      <c r="N40" s="38">
        <v>1484.6920000000002</v>
      </c>
      <c r="O40" s="41">
        <f t="shared" si="1"/>
        <v>6956.9800000000005</v>
      </c>
      <c r="P40" s="15">
        <f t="shared" si="2"/>
        <v>579.74833333333333</v>
      </c>
      <c r="Q40" s="42">
        <f t="shared" si="3"/>
        <v>549.08872913836785</v>
      </c>
      <c r="R40" s="44">
        <f t="shared" si="4"/>
        <v>0.94711566651915258</v>
      </c>
      <c r="S40" s="49">
        <f t="shared" si="16"/>
        <v>331.78124942249895</v>
      </c>
      <c r="T40" s="45"/>
      <c r="U40" s="46">
        <f>VLOOKUP(B40,Policy!$B$5:$J$8,9,FALSE)</f>
        <v>5.440534834623505</v>
      </c>
      <c r="V40" s="15">
        <f t="shared" si="6"/>
        <v>103.69778639391517</v>
      </c>
      <c r="W40" s="15">
        <f t="shared" si="0"/>
        <v>233.09854533505103</v>
      </c>
      <c r="X40" s="46">
        <f>VLOOKUP(B40,Policy!$B$5:$F$8,5,FALSE)</f>
        <v>1.2815515655446006</v>
      </c>
      <c r="Y40" s="47">
        <f t="shared" si="7"/>
        <v>4.7343175378026764E-2</v>
      </c>
      <c r="Z40" s="43">
        <f t="shared" si="8"/>
        <v>11.035625312160244</v>
      </c>
      <c r="AA40" s="48">
        <f t="shared" si="9"/>
        <v>0.96673824897769556</v>
      </c>
      <c r="AB40" s="15">
        <f t="shared" si="10"/>
        <v>402.42559209421887</v>
      </c>
      <c r="AC40" s="46"/>
      <c r="AD40" s="15">
        <f t="shared" si="11"/>
        <v>298.72780570030369</v>
      </c>
      <c r="AE40" s="50">
        <f t="shared" si="12"/>
        <v>165.89062471124947</v>
      </c>
      <c r="AF40" s="52">
        <f t="shared" si="17"/>
        <v>17.4070007444627</v>
      </c>
      <c r="AG40" s="51">
        <f t="shared" si="14"/>
        <v>16</v>
      </c>
      <c r="AH40" s="43">
        <f t="shared" si="15"/>
        <v>10.43547</v>
      </c>
      <c r="AI40" s="53">
        <f>IF(AH40&gt;=Policy!$E$13,Policy!$C$13,IF(Solution!AH40&gt;=Policy!$E$14,Policy!$C$14,IF(Solution!AH40&gt;=Policy!$E$15,Policy!$C$15,IF(Solution!AH40&gt;=Policy!$E$16,Policy!$C$16,IF(Solution!AH40&gt;=Policy!$E$17,Policy!$C$17,IF(Solution!AH40&gt;=Policy!$E$18,Policy!$C$18))))))</f>
        <v>3</v>
      </c>
    </row>
    <row r="41" spans="1:35" x14ac:dyDescent="0.3">
      <c r="A41" s="16" t="s">
        <v>91</v>
      </c>
      <c r="B41" s="14" t="s">
        <v>3</v>
      </c>
      <c r="C41" s="15">
        <v>125.48</v>
      </c>
      <c r="D41" s="15">
        <v>283.02999999999997</v>
      </c>
      <c r="E41" s="15">
        <v>714.56</v>
      </c>
      <c r="F41" s="15">
        <v>404.63</v>
      </c>
      <c r="G41" s="15">
        <v>543.66</v>
      </c>
      <c r="H41" s="15">
        <v>372.16</v>
      </c>
      <c r="I41" s="15">
        <v>123.83</v>
      </c>
      <c r="J41" s="15">
        <v>899.36</v>
      </c>
      <c r="K41" s="15">
        <v>526.75</v>
      </c>
      <c r="L41" s="15">
        <v>185.84</v>
      </c>
      <c r="M41" s="15">
        <v>167.256</v>
      </c>
      <c r="N41" s="38">
        <v>204.42400000000001</v>
      </c>
      <c r="O41" s="41">
        <f t="shared" si="1"/>
        <v>4550.9799999999996</v>
      </c>
      <c r="P41" s="15">
        <f t="shared" si="2"/>
        <v>379.24833333333328</v>
      </c>
      <c r="Q41" s="42">
        <f t="shared" si="3"/>
        <v>249.40627878636218</v>
      </c>
      <c r="R41" s="44">
        <f t="shared" si="4"/>
        <v>0.65763315713018877</v>
      </c>
      <c r="S41" s="49">
        <f t="shared" si="16"/>
        <v>268.34525748592966</v>
      </c>
      <c r="T41" s="45"/>
      <c r="U41" s="46">
        <f>VLOOKUP(B41,Policy!$B$5:$J$8,9,FALSE)</f>
        <v>5.440534834623505</v>
      </c>
      <c r="V41" s="15">
        <f t="shared" si="6"/>
        <v>67.834973210068156</v>
      </c>
      <c r="W41" s="15">
        <f t="shared" si="0"/>
        <v>106.30260549111367</v>
      </c>
      <c r="X41" s="46">
        <f>VLOOKUP(B41,Policy!$B$5:$F$8,5,FALSE)</f>
        <v>1.2815515655446006</v>
      </c>
      <c r="Y41" s="47">
        <f t="shared" si="7"/>
        <v>4.7343175378026764E-2</v>
      </c>
      <c r="Z41" s="43">
        <f t="shared" si="8"/>
        <v>5.0327028949069854</v>
      </c>
      <c r="AA41" s="48">
        <f t="shared" si="9"/>
        <v>0.98124541889781347</v>
      </c>
      <c r="AB41" s="15">
        <f t="shared" si="10"/>
        <v>204.06724369867493</v>
      </c>
      <c r="AC41" s="46"/>
      <c r="AD41" s="15">
        <f t="shared" si="11"/>
        <v>136.23227048860679</v>
      </c>
      <c r="AE41" s="50">
        <f t="shared" si="12"/>
        <v>134.17262874296483</v>
      </c>
      <c r="AF41" s="52">
        <f t="shared" si="17"/>
        <v>21.521962079016902</v>
      </c>
      <c r="AG41" s="51">
        <f t="shared" si="14"/>
        <v>16</v>
      </c>
      <c r="AH41" s="43">
        <f t="shared" si="15"/>
        <v>6.8264699999999987</v>
      </c>
      <c r="AI41" s="53">
        <f>IF(AH41&gt;=Policy!$E$13,Policy!$C$13,IF(Solution!AH41&gt;=Policy!$E$14,Policy!$C$14,IF(Solution!AH41&gt;=Policy!$E$15,Policy!$C$15,IF(Solution!AH41&gt;=Policy!$E$16,Policy!$C$16,IF(Solution!AH41&gt;=Policy!$E$17,Policy!$C$17,IF(Solution!AH41&gt;=Policy!$E$18,Policy!$C$18))))))</f>
        <v>3</v>
      </c>
    </row>
    <row r="42" spans="1:35" x14ac:dyDescent="0.3">
      <c r="A42" s="16" t="s">
        <v>92</v>
      </c>
      <c r="B42" s="14" t="s">
        <v>3</v>
      </c>
      <c r="C42" s="15">
        <v>0</v>
      </c>
      <c r="D42" s="15">
        <v>190.42</v>
      </c>
      <c r="E42" s="15">
        <v>1171.23</v>
      </c>
      <c r="F42" s="15">
        <v>1006.77</v>
      </c>
      <c r="G42" s="15">
        <v>313.97000000000003</v>
      </c>
      <c r="H42" s="15">
        <v>0</v>
      </c>
      <c r="I42" s="15">
        <v>0</v>
      </c>
      <c r="J42" s="15">
        <v>157.41</v>
      </c>
      <c r="K42" s="15">
        <v>755.33</v>
      </c>
      <c r="L42" s="15">
        <v>317.27</v>
      </c>
      <c r="M42" s="15">
        <v>285.54300000000001</v>
      </c>
      <c r="N42" s="38">
        <v>348.99700000000001</v>
      </c>
      <c r="O42" s="41">
        <f t="shared" si="1"/>
        <v>4546.9400000000005</v>
      </c>
      <c r="P42" s="15">
        <f t="shared" si="2"/>
        <v>378.91166666666669</v>
      </c>
      <c r="Q42" s="42">
        <f t="shared" si="3"/>
        <v>392.73043614541734</v>
      </c>
      <c r="R42" s="44">
        <f t="shared" si="4"/>
        <v>1.0364696331477889</v>
      </c>
      <c r="S42" s="49">
        <f t="shared" si="16"/>
        <v>268.22612319562944</v>
      </c>
      <c r="T42" s="45"/>
      <c r="U42" s="46">
        <f>VLOOKUP(B42,Policy!$B$5:$J$8,9,FALSE)</f>
        <v>5.440534834623505</v>
      </c>
      <c r="V42" s="15">
        <f t="shared" si="6"/>
        <v>67.77475468751507</v>
      </c>
      <c r="W42" s="15">
        <f t="shared" si="0"/>
        <v>166.61848067438137</v>
      </c>
      <c r="X42" s="46">
        <f>VLOOKUP(B42,Policy!$B$5:$F$8,5,FALSE)</f>
        <v>1.2815515655446006</v>
      </c>
      <c r="Y42" s="47">
        <f t="shared" si="7"/>
        <v>4.7343175378026764E-2</v>
      </c>
      <c r="Z42" s="43">
        <f t="shared" si="8"/>
        <v>7.8882479517876005</v>
      </c>
      <c r="AA42" s="48">
        <f t="shared" si="9"/>
        <v>0.97059105258724432</v>
      </c>
      <c r="AB42" s="15">
        <f t="shared" si="10"/>
        <v>281.30492944443131</v>
      </c>
      <c r="AC42" s="46"/>
      <c r="AD42" s="15">
        <f t="shared" si="11"/>
        <v>213.53017475691624</v>
      </c>
      <c r="AE42" s="50">
        <f t="shared" si="12"/>
        <v>134.11306159781472</v>
      </c>
      <c r="AF42" s="52">
        <f t="shared" si="17"/>
        <v>21.531521191483666</v>
      </c>
      <c r="AG42" s="51">
        <f t="shared" si="14"/>
        <v>16</v>
      </c>
      <c r="AH42" s="43">
        <f t="shared" si="15"/>
        <v>6.8204100000000007</v>
      </c>
      <c r="AI42" s="53">
        <f>IF(AH42&gt;=Policy!$E$13,Policy!$C$13,IF(Solution!AH42&gt;=Policy!$E$14,Policy!$C$14,IF(Solution!AH42&gt;=Policy!$E$15,Policy!$C$15,IF(Solution!AH42&gt;=Policy!$E$16,Policy!$C$16,IF(Solution!AH42&gt;=Policy!$E$17,Policy!$C$17,IF(Solution!AH42&gt;=Policy!$E$18,Policy!$C$18))))))</f>
        <v>3</v>
      </c>
    </row>
    <row r="43" spans="1:35" x14ac:dyDescent="0.3">
      <c r="A43" s="16" t="s">
        <v>93</v>
      </c>
      <c r="B43" s="14" t="s">
        <v>3</v>
      </c>
      <c r="C43" s="15">
        <v>34.159999999999997</v>
      </c>
      <c r="D43" s="15">
        <v>34.29</v>
      </c>
      <c r="E43" s="15">
        <v>68.87</v>
      </c>
      <c r="F43" s="15">
        <v>446.85</v>
      </c>
      <c r="G43" s="15">
        <v>620.82000000000005</v>
      </c>
      <c r="H43" s="15">
        <v>458.22</v>
      </c>
      <c r="I43" s="15">
        <v>350.37</v>
      </c>
      <c r="J43" s="15">
        <v>457.93</v>
      </c>
      <c r="K43" s="15">
        <v>771.58</v>
      </c>
      <c r="L43" s="15">
        <v>623.08000000000004</v>
      </c>
      <c r="M43" s="15">
        <v>560.77200000000005</v>
      </c>
      <c r="N43" s="38">
        <v>685.38800000000015</v>
      </c>
      <c r="O43" s="41">
        <f t="shared" si="1"/>
        <v>5112.33</v>
      </c>
      <c r="P43" s="15">
        <f t="shared" si="2"/>
        <v>426.02749999999997</v>
      </c>
      <c r="Q43" s="42">
        <f t="shared" si="3"/>
        <v>256.62068434187256</v>
      </c>
      <c r="R43" s="44">
        <f t="shared" si="4"/>
        <v>0.60235708807969579</v>
      </c>
      <c r="S43" s="49">
        <f t="shared" si="16"/>
        <v>284.41395441917831</v>
      </c>
      <c r="T43" s="45"/>
      <c r="U43" s="46">
        <f>VLOOKUP(B43,Policy!$B$5:$J$8,9,FALSE)</f>
        <v>5.440534834623505</v>
      </c>
      <c r="V43" s="15">
        <f t="shared" si="6"/>
        <v>76.202217674221316</v>
      </c>
      <c r="W43" s="15">
        <f t="shared" si="0"/>
        <v>109.53916305986978</v>
      </c>
      <c r="X43" s="46">
        <f>VLOOKUP(B43,Policy!$B$5:$F$8,5,FALSE)</f>
        <v>1.2815515655446006</v>
      </c>
      <c r="Y43" s="47">
        <f t="shared" si="7"/>
        <v>4.7343175378026764E-2</v>
      </c>
      <c r="Z43" s="43">
        <f t="shared" si="8"/>
        <v>5.1859318075056855</v>
      </c>
      <c r="AA43" s="48">
        <f t="shared" si="9"/>
        <v>0.98176625398674178</v>
      </c>
      <c r="AB43" s="15">
        <f t="shared" si="10"/>
        <v>216.58230358204273</v>
      </c>
      <c r="AC43" s="46"/>
      <c r="AD43" s="15">
        <f t="shared" si="11"/>
        <v>140.38008590782141</v>
      </c>
      <c r="AE43" s="50">
        <f t="shared" si="12"/>
        <v>142.20697720958916</v>
      </c>
      <c r="AF43" s="52">
        <f t="shared" si="17"/>
        <v>20.306023547580082</v>
      </c>
      <c r="AG43" s="51">
        <f t="shared" si="14"/>
        <v>16</v>
      </c>
      <c r="AH43" s="43">
        <f t="shared" si="15"/>
        <v>7.6684950000000001</v>
      </c>
      <c r="AI43" s="53">
        <f>IF(AH43&gt;=Policy!$E$13,Policy!$C$13,IF(Solution!AH43&gt;=Policy!$E$14,Policy!$C$14,IF(Solution!AH43&gt;=Policy!$E$15,Policy!$C$15,IF(Solution!AH43&gt;=Policy!$E$16,Policy!$C$16,IF(Solution!AH43&gt;=Policy!$E$17,Policy!$C$17,IF(Solution!AH43&gt;=Policy!$E$18,Policy!$C$18))))))</f>
        <v>3</v>
      </c>
    </row>
    <row r="44" spans="1:35" x14ac:dyDescent="0.3">
      <c r="A44" s="16" t="s">
        <v>94</v>
      </c>
      <c r="B44" s="14" t="s">
        <v>3</v>
      </c>
      <c r="C44" s="15">
        <v>0</v>
      </c>
      <c r="D44" s="15">
        <v>563.85</v>
      </c>
      <c r="E44" s="15">
        <v>406.35</v>
      </c>
      <c r="F44" s="15">
        <v>774.91</v>
      </c>
      <c r="G44" s="15">
        <v>369.39</v>
      </c>
      <c r="H44" s="15">
        <v>443.39</v>
      </c>
      <c r="I44" s="15">
        <v>147.72</v>
      </c>
      <c r="J44" s="15">
        <v>481.15</v>
      </c>
      <c r="K44" s="15">
        <v>369.85</v>
      </c>
      <c r="L44" s="15">
        <v>222.09</v>
      </c>
      <c r="M44" s="15">
        <v>199.881</v>
      </c>
      <c r="N44" s="38">
        <v>244.29900000000004</v>
      </c>
      <c r="O44" s="41">
        <f t="shared" si="1"/>
        <v>4222.88</v>
      </c>
      <c r="P44" s="15">
        <f t="shared" si="2"/>
        <v>351.90666666666669</v>
      </c>
      <c r="Q44" s="42">
        <f t="shared" si="3"/>
        <v>206.61572144457099</v>
      </c>
      <c r="R44" s="44">
        <f t="shared" si="4"/>
        <v>0.58713216035853533</v>
      </c>
      <c r="S44" s="49">
        <f t="shared" si="16"/>
        <v>258.49124070070025</v>
      </c>
      <c r="T44" s="45"/>
      <c r="U44" s="46">
        <f>VLOOKUP(B44,Policy!$B$5:$J$8,9,FALSE)</f>
        <v>5.440534834623505</v>
      </c>
      <c r="V44" s="15">
        <f t="shared" si="6"/>
        <v>62.944454088862756</v>
      </c>
      <c r="W44" s="15">
        <f t="shared" si="0"/>
        <v>88.236829740616173</v>
      </c>
      <c r="X44" s="46">
        <f>VLOOKUP(B44,Policy!$B$5:$F$8,5,FALSE)</f>
        <v>1.2815515655446006</v>
      </c>
      <c r="Y44" s="47">
        <f t="shared" si="7"/>
        <v>4.7343175378026764E-2</v>
      </c>
      <c r="Z44" s="43">
        <f t="shared" si="8"/>
        <v>4.1774117052110791</v>
      </c>
      <c r="AA44" s="48">
        <f t="shared" si="9"/>
        <v>0.98383925237123226</v>
      </c>
      <c r="AB44" s="15">
        <f t="shared" si="10"/>
        <v>176.02450138164178</v>
      </c>
      <c r="AC44" s="46"/>
      <c r="AD44" s="15">
        <f t="shared" si="11"/>
        <v>113.08004729277903</v>
      </c>
      <c r="AE44" s="50">
        <f t="shared" si="12"/>
        <v>129.24562035035012</v>
      </c>
      <c r="AF44" s="52">
        <f t="shared" si="17"/>
        <v>22.342406806671178</v>
      </c>
      <c r="AG44" s="51">
        <f t="shared" si="14"/>
        <v>16</v>
      </c>
      <c r="AH44" s="43">
        <f t="shared" si="15"/>
        <v>6.33432</v>
      </c>
      <c r="AI44" s="53">
        <f>IF(AH44&gt;=Policy!$E$13,Policy!$C$13,IF(Solution!AH44&gt;=Policy!$E$14,Policy!$C$14,IF(Solution!AH44&gt;=Policy!$E$15,Policy!$C$15,IF(Solution!AH44&gt;=Policy!$E$16,Policy!$C$16,IF(Solution!AH44&gt;=Policy!$E$17,Policy!$C$17,IF(Solution!AH44&gt;=Policy!$E$18,Policy!$C$18))))))</f>
        <v>3</v>
      </c>
    </row>
    <row r="45" spans="1:35" x14ac:dyDescent="0.3">
      <c r="A45" s="16" t="s">
        <v>95</v>
      </c>
      <c r="B45" s="14" t="s">
        <v>3</v>
      </c>
      <c r="C45" s="15">
        <v>33.130000000000003</v>
      </c>
      <c r="D45" s="15">
        <v>99.4</v>
      </c>
      <c r="E45" s="15">
        <v>547.78</v>
      </c>
      <c r="F45" s="15">
        <v>232.43</v>
      </c>
      <c r="G45" s="15">
        <v>133.27000000000001</v>
      </c>
      <c r="H45" s="15">
        <v>232.72</v>
      </c>
      <c r="I45" s="15">
        <v>545.98</v>
      </c>
      <c r="J45" s="15">
        <v>530.05999999999995</v>
      </c>
      <c r="K45" s="15">
        <v>726.83</v>
      </c>
      <c r="L45" s="15">
        <v>495.82</v>
      </c>
      <c r="M45" s="15">
        <v>446.238</v>
      </c>
      <c r="N45" s="38">
        <v>545.40200000000004</v>
      </c>
      <c r="O45" s="41">
        <f t="shared" si="1"/>
        <v>4569.0599999999995</v>
      </c>
      <c r="P45" s="15">
        <f t="shared" si="2"/>
        <v>380.75499999999994</v>
      </c>
      <c r="Q45" s="42">
        <f t="shared" si="3"/>
        <v>223.0084427158431</v>
      </c>
      <c r="R45" s="44">
        <f t="shared" si="4"/>
        <v>0.58570062826710911</v>
      </c>
      <c r="S45" s="49">
        <f t="shared" si="16"/>
        <v>268.87776621460716</v>
      </c>
      <c r="T45" s="45"/>
      <c r="U45" s="46">
        <f>VLOOKUP(B45,Policy!$B$5:$J$8,9,FALSE)</f>
        <v>5.440534834623505</v>
      </c>
      <c r="V45" s="15">
        <f t="shared" si="6"/>
        <v>68.104466004068129</v>
      </c>
      <c r="W45" s="15">
        <f t="shared" si="0"/>
        <v>95.241954179136357</v>
      </c>
      <c r="X45" s="46">
        <f>VLOOKUP(B45,Policy!$B$5:$F$8,5,FALSE)</f>
        <v>1.2815515655446006</v>
      </c>
      <c r="Y45" s="47">
        <f t="shared" si="7"/>
        <v>4.7343175378026764E-2</v>
      </c>
      <c r="Z45" s="43">
        <f t="shared" si="8"/>
        <v>4.5090565400488414</v>
      </c>
      <c r="AA45" s="48">
        <f t="shared" si="9"/>
        <v>0.98323008776988319</v>
      </c>
      <c r="AB45" s="15">
        <f t="shared" si="10"/>
        <v>190.16194148786744</v>
      </c>
      <c r="AC45" s="46"/>
      <c r="AD45" s="15">
        <f t="shared" si="11"/>
        <v>122.05747548379931</v>
      </c>
      <c r="AE45" s="50">
        <f t="shared" si="12"/>
        <v>134.43888310730358</v>
      </c>
      <c r="AF45" s="52">
        <f t="shared" si="17"/>
        <v>21.479338128265251</v>
      </c>
      <c r="AG45" s="51">
        <f t="shared" si="14"/>
        <v>16</v>
      </c>
      <c r="AH45" s="43">
        <f t="shared" si="15"/>
        <v>6.8535899999999987</v>
      </c>
      <c r="AI45" s="53">
        <f>IF(AH45&gt;=Policy!$E$13,Policy!$C$13,IF(Solution!AH45&gt;=Policy!$E$14,Policy!$C$14,IF(Solution!AH45&gt;=Policy!$E$15,Policy!$C$15,IF(Solution!AH45&gt;=Policy!$E$16,Policy!$C$16,IF(Solution!AH45&gt;=Policy!$E$17,Policy!$C$17,IF(Solution!AH45&gt;=Policy!$E$18,Policy!$C$18))))))</f>
        <v>3</v>
      </c>
    </row>
    <row r="46" spans="1:35" x14ac:dyDescent="0.3">
      <c r="A46" s="16" t="s">
        <v>96</v>
      </c>
      <c r="B46" s="14" t="s">
        <v>3</v>
      </c>
      <c r="C46" s="15">
        <v>396.94</v>
      </c>
      <c r="D46" s="15">
        <v>132.75</v>
      </c>
      <c r="E46" s="15">
        <v>662.33</v>
      </c>
      <c r="F46" s="15">
        <v>0</v>
      </c>
      <c r="G46" s="15">
        <v>231.49</v>
      </c>
      <c r="H46" s="15">
        <v>397.96</v>
      </c>
      <c r="I46" s="15">
        <v>199</v>
      </c>
      <c r="J46" s="15">
        <v>464.3</v>
      </c>
      <c r="K46" s="15">
        <v>596.74</v>
      </c>
      <c r="L46" s="15">
        <v>297.77999999999997</v>
      </c>
      <c r="M46" s="15">
        <v>268.00200000000001</v>
      </c>
      <c r="N46" s="38">
        <v>327.55799999999999</v>
      </c>
      <c r="O46" s="41">
        <f t="shared" si="1"/>
        <v>3974.85</v>
      </c>
      <c r="P46" s="15">
        <f t="shared" si="2"/>
        <v>331.23750000000001</v>
      </c>
      <c r="Q46" s="42">
        <f t="shared" si="3"/>
        <v>187.87610066041844</v>
      </c>
      <c r="R46" s="44">
        <f t="shared" si="4"/>
        <v>0.56719453763664573</v>
      </c>
      <c r="S46" s="49">
        <f t="shared" si="16"/>
        <v>250.78515945432585</v>
      </c>
      <c r="T46" s="45"/>
      <c r="U46" s="46">
        <f>VLOOKUP(B46,Policy!$B$5:$J$8,9,FALSE)</f>
        <v>5.440534834623505</v>
      </c>
      <c r="V46" s="15">
        <f t="shared" si="6"/>
        <v>59.247424349049972</v>
      </c>
      <c r="W46" s="15">
        <f t="shared" si="0"/>
        <v>80.289166423266806</v>
      </c>
      <c r="X46" s="46">
        <f>VLOOKUP(B46,Policy!$B$5:$F$8,5,FALSE)</f>
        <v>1.2815515655446006</v>
      </c>
      <c r="Y46" s="47">
        <f t="shared" si="7"/>
        <v>4.7343175378026764E-2</v>
      </c>
      <c r="Z46" s="43">
        <f t="shared" si="8"/>
        <v>3.8011440869322981</v>
      </c>
      <c r="AA46" s="48">
        <f t="shared" si="9"/>
        <v>0.98484302621732855</v>
      </c>
      <c r="AB46" s="15">
        <f t="shared" si="10"/>
        <v>162.14213127505852</v>
      </c>
      <c r="AC46" s="46"/>
      <c r="AD46" s="15">
        <f t="shared" si="11"/>
        <v>102.89470692600855</v>
      </c>
      <c r="AE46" s="50">
        <f t="shared" si="12"/>
        <v>125.39257972716292</v>
      </c>
      <c r="AF46" s="52">
        <f t="shared" si="17"/>
        <v>23.02894026210522</v>
      </c>
      <c r="AG46" s="51">
        <f t="shared" si="14"/>
        <v>32</v>
      </c>
      <c r="AH46" s="43">
        <f t="shared" si="15"/>
        <v>5.962275</v>
      </c>
      <c r="AI46" s="53">
        <f>IF(AH46&gt;=Policy!$E$13,Policy!$C$13,IF(Solution!AH46&gt;=Policy!$E$14,Policy!$C$14,IF(Solution!AH46&gt;=Policy!$E$15,Policy!$C$15,IF(Solution!AH46&gt;=Policy!$E$16,Policy!$C$16,IF(Solution!AH46&gt;=Policy!$E$17,Policy!$C$17,IF(Solution!AH46&gt;=Policy!$E$18,Policy!$C$18))))))</f>
        <v>3</v>
      </c>
    </row>
    <row r="47" spans="1:35" x14ac:dyDescent="0.3">
      <c r="A47" s="16" t="s">
        <v>97</v>
      </c>
      <c r="B47" s="14" t="s">
        <v>3</v>
      </c>
      <c r="C47" s="15">
        <v>94.46</v>
      </c>
      <c r="D47" s="15">
        <v>155.76</v>
      </c>
      <c r="E47" s="15">
        <v>280.77999999999997</v>
      </c>
      <c r="F47" s="15">
        <v>811.15</v>
      </c>
      <c r="G47" s="15">
        <v>626.72</v>
      </c>
      <c r="H47" s="15">
        <v>284.02</v>
      </c>
      <c r="I47" s="15">
        <v>0</v>
      </c>
      <c r="J47" s="15">
        <v>379.13</v>
      </c>
      <c r="K47" s="15">
        <v>380.22</v>
      </c>
      <c r="L47" s="15">
        <v>158.55000000000001</v>
      </c>
      <c r="M47" s="15">
        <v>142.69500000000002</v>
      </c>
      <c r="N47" s="38">
        <v>174.40500000000003</v>
      </c>
      <c r="O47" s="41">
        <f t="shared" si="1"/>
        <v>3487.8900000000012</v>
      </c>
      <c r="P47" s="15">
        <f t="shared" si="2"/>
        <v>290.65750000000008</v>
      </c>
      <c r="Q47" s="42">
        <f t="shared" si="3"/>
        <v>232.35423702046745</v>
      </c>
      <c r="R47" s="44">
        <f t="shared" si="4"/>
        <v>0.79940905368162662</v>
      </c>
      <c r="S47" s="49">
        <f t="shared" si="16"/>
        <v>234.92154629022946</v>
      </c>
      <c r="T47" s="45"/>
      <c r="U47" s="46">
        <f>VLOOKUP(B47,Policy!$B$5:$J$8,9,FALSE)</f>
        <v>5.440534834623505</v>
      </c>
      <c r="V47" s="15">
        <f t="shared" si="6"/>
        <v>51.989005600917764</v>
      </c>
      <c r="W47" s="15">
        <f t="shared" si="0"/>
        <v>98.787727227059051</v>
      </c>
      <c r="X47" s="46">
        <f>VLOOKUP(B47,Policy!$B$5:$F$8,5,FALSE)</f>
        <v>1.2815515655446006</v>
      </c>
      <c r="Y47" s="47">
        <f t="shared" si="7"/>
        <v>4.7343175378026764E-2</v>
      </c>
      <c r="Z47" s="43">
        <f t="shared" si="8"/>
        <v>4.676924695307326</v>
      </c>
      <c r="AA47" s="48">
        <f t="shared" si="9"/>
        <v>0.98009154643682916</v>
      </c>
      <c r="AB47" s="15">
        <f t="shared" si="10"/>
        <v>178.59057208534824</v>
      </c>
      <c r="AC47" s="46"/>
      <c r="AD47" s="15">
        <f t="shared" si="11"/>
        <v>126.60156648443049</v>
      </c>
      <c r="AE47" s="50">
        <f t="shared" si="12"/>
        <v>117.46077314511473</v>
      </c>
      <c r="AF47" s="52">
        <f t="shared" si="17"/>
        <v>24.584021972004198</v>
      </c>
      <c r="AG47" s="51">
        <f t="shared" si="14"/>
        <v>32</v>
      </c>
      <c r="AH47" s="43">
        <f t="shared" si="15"/>
        <v>5.231835000000002</v>
      </c>
      <c r="AI47" s="53">
        <f>IF(AH47&gt;=Policy!$E$13,Policy!$C$13,IF(Solution!AH47&gt;=Policy!$E$14,Policy!$C$14,IF(Solution!AH47&gt;=Policy!$E$15,Policy!$C$15,IF(Solution!AH47&gt;=Policy!$E$16,Policy!$C$16,IF(Solution!AH47&gt;=Policy!$E$17,Policy!$C$17,IF(Solution!AH47&gt;=Policy!$E$18,Policy!$C$18))))))</f>
        <v>4</v>
      </c>
    </row>
    <row r="48" spans="1:35" x14ac:dyDescent="0.3">
      <c r="A48" s="16" t="s">
        <v>98</v>
      </c>
      <c r="B48" s="14" t="s">
        <v>3</v>
      </c>
      <c r="C48" s="15">
        <v>144.28</v>
      </c>
      <c r="D48" s="15">
        <v>182.28</v>
      </c>
      <c r="E48" s="15">
        <v>430.85</v>
      </c>
      <c r="F48" s="15">
        <v>433.17</v>
      </c>
      <c r="G48" s="15">
        <v>115.63</v>
      </c>
      <c r="H48" s="15">
        <v>779.76</v>
      </c>
      <c r="I48" s="15">
        <v>28.83</v>
      </c>
      <c r="J48" s="15">
        <v>431.83</v>
      </c>
      <c r="K48" s="15">
        <v>0</v>
      </c>
      <c r="L48" s="15">
        <v>433.4</v>
      </c>
      <c r="M48" s="15">
        <v>390.06</v>
      </c>
      <c r="N48" s="38">
        <v>476.74</v>
      </c>
      <c r="O48" s="41">
        <f t="shared" si="1"/>
        <v>3846.83</v>
      </c>
      <c r="P48" s="15">
        <f t="shared" si="2"/>
        <v>320.56916666666666</v>
      </c>
      <c r="Q48" s="42">
        <f t="shared" si="3"/>
        <v>227.65669215083619</v>
      </c>
      <c r="R48" s="44">
        <f t="shared" si="4"/>
        <v>0.7101640326736649</v>
      </c>
      <c r="S48" s="49">
        <f t="shared" si="16"/>
        <v>246.71352474304939</v>
      </c>
      <c r="T48" s="45"/>
      <c r="U48" s="46">
        <f>VLOOKUP(B48,Policy!$B$5:$J$8,9,FALSE)</f>
        <v>5.440534834623505</v>
      </c>
      <c r="V48" s="15">
        <f t="shared" si="6"/>
        <v>57.339212651711613</v>
      </c>
      <c r="W48" s="15">
        <f t="shared" si="0"/>
        <v>96.925889590884694</v>
      </c>
      <c r="X48" s="46">
        <f>VLOOKUP(B48,Policy!$B$5:$F$8,5,FALSE)</f>
        <v>1.2815515655446006</v>
      </c>
      <c r="Y48" s="47">
        <f t="shared" si="7"/>
        <v>4.7343175378026764E-2</v>
      </c>
      <c r="Z48" s="43">
        <f t="shared" si="8"/>
        <v>4.5887793895725126</v>
      </c>
      <c r="AA48" s="48">
        <f t="shared" si="9"/>
        <v>0.98140037359382015</v>
      </c>
      <c r="AB48" s="15">
        <f t="shared" si="10"/>
        <v>181.55473819871301</v>
      </c>
      <c r="AC48" s="46"/>
      <c r="AD48" s="15">
        <f t="shared" si="11"/>
        <v>124.21552554700139</v>
      </c>
      <c r="AE48" s="50">
        <f t="shared" si="12"/>
        <v>123.3567623715247</v>
      </c>
      <c r="AF48" s="52">
        <f t="shared" si="17"/>
        <v>23.408998196232488</v>
      </c>
      <c r="AG48" s="51">
        <f t="shared" si="14"/>
        <v>32</v>
      </c>
      <c r="AH48" s="43">
        <f t="shared" si="15"/>
        <v>5.7702450000000001</v>
      </c>
      <c r="AI48" s="53">
        <f>IF(AH48&gt;=Policy!$E$13,Policy!$C$13,IF(Solution!AH48&gt;=Policy!$E$14,Policy!$C$14,IF(Solution!AH48&gt;=Policy!$E$15,Policy!$C$15,IF(Solution!AH48&gt;=Policy!$E$16,Policy!$C$16,IF(Solution!AH48&gt;=Policy!$E$17,Policy!$C$17,IF(Solution!AH48&gt;=Policy!$E$18,Policy!$C$18))))))</f>
        <v>3</v>
      </c>
    </row>
    <row r="49" spans="1:35" x14ac:dyDescent="0.3">
      <c r="A49" s="16" t="s">
        <v>99</v>
      </c>
      <c r="B49" s="14" t="s">
        <v>3</v>
      </c>
      <c r="C49" s="15">
        <v>341.6</v>
      </c>
      <c r="D49" s="15">
        <v>102.74</v>
      </c>
      <c r="E49" s="15">
        <v>478.91</v>
      </c>
      <c r="F49" s="15">
        <v>68.28</v>
      </c>
      <c r="G49" s="15">
        <v>240.22</v>
      </c>
      <c r="H49" s="15">
        <v>274.42</v>
      </c>
      <c r="I49" s="15">
        <v>171.46</v>
      </c>
      <c r="J49" s="15">
        <v>719.79</v>
      </c>
      <c r="K49" s="15">
        <v>170.05</v>
      </c>
      <c r="L49" s="15">
        <v>407.31</v>
      </c>
      <c r="M49" s="15">
        <v>366.57900000000001</v>
      </c>
      <c r="N49" s="38">
        <v>448.04100000000005</v>
      </c>
      <c r="O49" s="41">
        <f t="shared" si="1"/>
        <v>3789.4000000000005</v>
      </c>
      <c r="P49" s="15">
        <f t="shared" si="2"/>
        <v>315.78333333333336</v>
      </c>
      <c r="Q49" s="42">
        <f t="shared" si="3"/>
        <v>184.65721333144094</v>
      </c>
      <c r="R49" s="44">
        <f t="shared" si="4"/>
        <v>0.58475921253425112</v>
      </c>
      <c r="S49" s="49">
        <f t="shared" si="16"/>
        <v>244.86498475587251</v>
      </c>
      <c r="T49" s="45"/>
      <c r="U49" s="46">
        <f>VLOOKUP(B49,Policy!$B$5:$J$8,9,FALSE)</f>
        <v>5.440534834623505</v>
      </c>
      <c r="V49" s="15">
        <f t="shared" si="6"/>
        <v>56.483185485814559</v>
      </c>
      <c r="W49" s="15">
        <f t="shared" si="0"/>
        <v>78.865453778073842</v>
      </c>
      <c r="X49" s="46">
        <f>VLOOKUP(B49,Policy!$B$5:$F$8,5,FALSE)</f>
        <v>1.2815515655446006</v>
      </c>
      <c r="Y49" s="47">
        <f t="shared" si="7"/>
        <v>4.7343175378026764E-2</v>
      </c>
      <c r="Z49" s="43">
        <f t="shared" si="8"/>
        <v>3.7337410094830132</v>
      </c>
      <c r="AA49" s="48">
        <f t="shared" si="9"/>
        <v>0.98475183778029551</v>
      </c>
      <c r="AB49" s="15">
        <f t="shared" si="10"/>
        <v>157.55333124249043</v>
      </c>
      <c r="AC49" s="46"/>
      <c r="AD49" s="15">
        <f t="shared" si="11"/>
        <v>101.07014575667587</v>
      </c>
      <c r="AE49" s="50">
        <f t="shared" si="12"/>
        <v>122.43249237793626</v>
      </c>
      <c r="AF49" s="52">
        <f t="shared" si="17"/>
        <v>23.585717906764515</v>
      </c>
      <c r="AG49" s="51">
        <f t="shared" si="14"/>
        <v>32</v>
      </c>
      <c r="AH49" s="43">
        <f t="shared" si="15"/>
        <v>5.6841000000000008</v>
      </c>
      <c r="AI49" s="53">
        <f>IF(AH49&gt;=Policy!$E$13,Policy!$C$13,IF(Solution!AH49&gt;=Policy!$E$14,Policy!$C$14,IF(Solution!AH49&gt;=Policy!$E$15,Policy!$C$15,IF(Solution!AH49&gt;=Policy!$E$16,Policy!$C$16,IF(Solution!AH49&gt;=Policy!$E$17,Policy!$C$17,IF(Solution!AH49&gt;=Policy!$E$18,Policy!$C$18))))))</f>
        <v>3</v>
      </c>
    </row>
    <row r="50" spans="1:35" x14ac:dyDescent="0.3">
      <c r="A50" s="16" t="s">
        <v>100</v>
      </c>
      <c r="B50" s="14" t="s">
        <v>3</v>
      </c>
      <c r="C50" s="15">
        <v>0</v>
      </c>
      <c r="D50" s="15">
        <v>130.83000000000001</v>
      </c>
      <c r="E50" s="15">
        <v>163.26</v>
      </c>
      <c r="F50" s="15">
        <v>779.75</v>
      </c>
      <c r="G50" s="15">
        <v>516.21</v>
      </c>
      <c r="H50" s="15">
        <v>258.08</v>
      </c>
      <c r="I50" s="15">
        <v>161.43</v>
      </c>
      <c r="J50" s="15">
        <v>194.44</v>
      </c>
      <c r="K50" s="15">
        <v>259.24</v>
      </c>
      <c r="L50" s="15">
        <v>323.56</v>
      </c>
      <c r="M50" s="15">
        <v>291.20400000000001</v>
      </c>
      <c r="N50" s="38">
        <v>355.91600000000005</v>
      </c>
      <c r="O50" s="41">
        <f t="shared" si="1"/>
        <v>3433.92</v>
      </c>
      <c r="P50" s="15">
        <f t="shared" si="2"/>
        <v>286.16000000000003</v>
      </c>
      <c r="Q50" s="42">
        <f t="shared" si="3"/>
        <v>202.13561169580274</v>
      </c>
      <c r="R50" s="44">
        <f t="shared" si="4"/>
        <v>0.70637269952405202</v>
      </c>
      <c r="S50" s="49">
        <f t="shared" si="16"/>
        <v>233.0969266532484</v>
      </c>
      <c r="T50" s="45"/>
      <c r="U50" s="46">
        <f>VLOOKUP(B50,Policy!$B$5:$J$8,9,FALSE)</f>
        <v>5.440534834623505</v>
      </c>
      <c r="V50" s="15">
        <f t="shared" si="6"/>
        <v>51.184551724137933</v>
      </c>
      <c r="W50" s="15">
        <f t="shared" si="0"/>
        <v>86.066303800092925</v>
      </c>
      <c r="X50" s="46">
        <f>VLOOKUP(B50,Policy!$B$5:$F$8,5,FALSE)</f>
        <v>1.2815515655446006</v>
      </c>
      <c r="Y50" s="47">
        <f t="shared" si="7"/>
        <v>4.7343175378026764E-2</v>
      </c>
      <c r="Z50" s="43">
        <f t="shared" si="8"/>
        <v>4.0746521149463311</v>
      </c>
      <c r="AA50" s="48">
        <f t="shared" si="9"/>
        <v>0.98251949447189524</v>
      </c>
      <c r="AB50" s="15">
        <f t="shared" si="10"/>
        <v>161.48295809978424</v>
      </c>
      <c r="AC50" s="46"/>
      <c r="AD50" s="15">
        <f t="shared" si="11"/>
        <v>110.29840637564629</v>
      </c>
      <c r="AE50" s="50">
        <f t="shared" si="12"/>
        <v>116.5484633266242</v>
      </c>
      <c r="AF50" s="52">
        <f t="shared" si="17"/>
        <v>24.776459040523854</v>
      </c>
      <c r="AG50" s="51">
        <f t="shared" si="14"/>
        <v>32</v>
      </c>
      <c r="AH50" s="43">
        <f t="shared" si="15"/>
        <v>5.1508799999999999</v>
      </c>
      <c r="AI50" s="53">
        <f>IF(AH50&gt;=Policy!$E$13,Policy!$C$13,IF(Solution!AH50&gt;=Policy!$E$14,Policy!$C$14,IF(Solution!AH50&gt;=Policy!$E$15,Policy!$C$15,IF(Solution!AH50&gt;=Policy!$E$16,Policy!$C$16,IF(Solution!AH50&gt;=Policy!$E$17,Policy!$C$17,IF(Solution!AH50&gt;=Policy!$E$18,Policy!$C$18))))))</f>
        <v>4</v>
      </c>
    </row>
    <row r="51" spans="1:35" x14ac:dyDescent="0.3">
      <c r="A51" s="16" t="s">
        <v>101</v>
      </c>
      <c r="B51" s="14" t="s">
        <v>3</v>
      </c>
      <c r="C51" s="15">
        <v>198.77</v>
      </c>
      <c r="D51" s="15">
        <v>265.26</v>
      </c>
      <c r="E51" s="15">
        <v>231.68</v>
      </c>
      <c r="F51" s="15">
        <v>99.21</v>
      </c>
      <c r="G51" s="15">
        <v>298.36</v>
      </c>
      <c r="H51" s="15">
        <v>232.42</v>
      </c>
      <c r="I51" s="15">
        <v>66.19</v>
      </c>
      <c r="J51" s="15">
        <v>364.71</v>
      </c>
      <c r="K51" s="15">
        <v>432.49</v>
      </c>
      <c r="L51" s="15">
        <v>499.82</v>
      </c>
      <c r="M51" s="15">
        <v>449.83800000000002</v>
      </c>
      <c r="N51" s="38">
        <v>549.80200000000002</v>
      </c>
      <c r="O51" s="41">
        <f t="shared" si="1"/>
        <v>3688.5500000000006</v>
      </c>
      <c r="P51" s="15">
        <f t="shared" si="2"/>
        <v>307.37916666666672</v>
      </c>
      <c r="Q51" s="42">
        <f t="shared" si="3"/>
        <v>154.19690656597211</v>
      </c>
      <c r="R51" s="44">
        <f t="shared" si="4"/>
        <v>0.5016504802135433</v>
      </c>
      <c r="S51" s="49">
        <f t="shared" si="16"/>
        <v>241.58462888063141</v>
      </c>
      <c r="T51" s="45"/>
      <c r="U51" s="46">
        <f>VLOOKUP(B51,Policy!$B$5:$J$8,9,FALSE)</f>
        <v>5.440534834623505</v>
      </c>
      <c r="V51" s="15">
        <f t="shared" si="6"/>
        <v>54.979958258220641</v>
      </c>
      <c r="W51" s="15">
        <f t="shared" si="0"/>
        <v>66.085004459850978</v>
      </c>
      <c r="X51" s="46">
        <f>VLOOKUP(B51,Policy!$B$5:$F$8,5,FALSE)</f>
        <v>1.2815515655446006</v>
      </c>
      <c r="Y51" s="47">
        <f t="shared" si="7"/>
        <v>4.7343175378026764E-2</v>
      </c>
      <c r="Z51" s="43">
        <f t="shared" si="8"/>
        <v>3.1286739560004055</v>
      </c>
      <c r="AA51" s="48">
        <f t="shared" si="9"/>
        <v>0.98704936663190479</v>
      </c>
      <c r="AB51" s="15">
        <f t="shared" si="10"/>
        <v>139.67129918276459</v>
      </c>
      <c r="AC51" s="46"/>
      <c r="AD51" s="15">
        <f t="shared" si="11"/>
        <v>84.691340924543937</v>
      </c>
      <c r="AE51" s="50">
        <f t="shared" si="12"/>
        <v>120.79231444031571</v>
      </c>
      <c r="AF51" s="52">
        <f t="shared" si="17"/>
        <v>23.905976478949842</v>
      </c>
      <c r="AG51" s="51">
        <f t="shared" si="14"/>
        <v>32</v>
      </c>
      <c r="AH51" s="43">
        <f t="shared" si="15"/>
        <v>5.5328250000000008</v>
      </c>
      <c r="AI51" s="53">
        <f>IF(AH51&gt;=Policy!$E$13,Policy!$C$13,IF(Solution!AH51&gt;=Policy!$E$14,Policy!$C$14,IF(Solution!AH51&gt;=Policy!$E$15,Policy!$C$15,IF(Solution!AH51&gt;=Policy!$E$16,Policy!$C$16,IF(Solution!AH51&gt;=Policy!$E$17,Policy!$C$17,IF(Solution!AH51&gt;=Policy!$E$18,Policy!$C$18))))))</f>
        <v>4</v>
      </c>
    </row>
    <row r="52" spans="1:35" x14ac:dyDescent="0.3">
      <c r="A52" s="16" t="s">
        <v>102</v>
      </c>
      <c r="B52" s="14" t="s">
        <v>3</v>
      </c>
      <c r="C52" s="15">
        <v>28.65</v>
      </c>
      <c r="D52" s="15">
        <v>114.79</v>
      </c>
      <c r="E52" s="15">
        <v>228.76</v>
      </c>
      <c r="F52" s="15">
        <v>257.52999999999997</v>
      </c>
      <c r="G52" s="15">
        <v>509.26</v>
      </c>
      <c r="H52" s="15">
        <v>203.5</v>
      </c>
      <c r="I52" s="15">
        <v>28.64</v>
      </c>
      <c r="J52" s="15">
        <v>202.15</v>
      </c>
      <c r="K52" s="15">
        <v>794.54</v>
      </c>
      <c r="L52" s="15">
        <v>191.26</v>
      </c>
      <c r="M52" s="15">
        <v>172.13399999999999</v>
      </c>
      <c r="N52" s="38">
        <v>210.386</v>
      </c>
      <c r="O52" s="41">
        <f t="shared" si="1"/>
        <v>2941.6</v>
      </c>
      <c r="P52" s="15">
        <f t="shared" si="2"/>
        <v>245.13333333333333</v>
      </c>
      <c r="Q52" s="42">
        <f t="shared" si="3"/>
        <v>212.29817016696688</v>
      </c>
      <c r="R52" s="44">
        <f t="shared" si="4"/>
        <v>0.86605182281873905</v>
      </c>
      <c r="S52" s="49">
        <f t="shared" si="16"/>
        <v>215.74128904191787</v>
      </c>
      <c r="T52" s="45"/>
      <c r="U52" s="46">
        <f>VLOOKUP(B52,Policy!$B$5:$J$8,9,FALSE)</f>
        <v>5.440534834623505</v>
      </c>
      <c r="V52" s="15">
        <f t="shared" si="6"/>
        <v>43.84623909459863</v>
      </c>
      <c r="W52" s="15">
        <f t="shared" si="0"/>
        <v>90.190682943870385</v>
      </c>
      <c r="X52" s="46">
        <f>VLOOKUP(B52,Policy!$B$5:$F$8,5,FALSE)</f>
        <v>1.2815515655446006</v>
      </c>
      <c r="Y52" s="47">
        <f t="shared" si="7"/>
        <v>4.7343175378026764E-2</v>
      </c>
      <c r="Z52" s="43">
        <f t="shared" si="8"/>
        <v>4.2699133200756627</v>
      </c>
      <c r="AA52" s="48">
        <f t="shared" si="9"/>
        <v>0.98020817740063637</v>
      </c>
      <c r="AB52" s="15">
        <f t="shared" si="10"/>
        <v>159.43025001885243</v>
      </c>
      <c r="AC52" s="46"/>
      <c r="AD52" s="15">
        <f t="shared" si="11"/>
        <v>115.5840109242538</v>
      </c>
      <c r="AE52" s="50">
        <f t="shared" si="12"/>
        <v>107.87064452095893</v>
      </c>
      <c r="AF52" s="52">
        <f t="shared" si="17"/>
        <v>26.769639142065554</v>
      </c>
      <c r="AG52" s="51">
        <f t="shared" si="14"/>
        <v>32</v>
      </c>
      <c r="AH52" s="43">
        <f t="shared" si="15"/>
        <v>4.4123999999999999</v>
      </c>
      <c r="AI52" s="53">
        <f>IF(AH52&gt;=Policy!$E$13,Policy!$C$13,IF(Solution!AH52&gt;=Policy!$E$14,Policy!$C$14,IF(Solution!AH52&gt;=Policy!$E$15,Policy!$C$15,IF(Solution!AH52&gt;=Policy!$E$16,Policy!$C$16,IF(Solution!AH52&gt;=Policy!$E$17,Policy!$C$17,IF(Solution!AH52&gt;=Policy!$E$18,Policy!$C$18))))))</f>
        <v>4</v>
      </c>
    </row>
    <row r="53" spans="1:35" x14ac:dyDescent="0.3">
      <c r="A53" s="16" t="s">
        <v>103</v>
      </c>
      <c r="B53" s="14" t="s">
        <v>3</v>
      </c>
      <c r="C53" s="15">
        <v>0</v>
      </c>
      <c r="D53" s="15">
        <v>98.15</v>
      </c>
      <c r="E53" s="15">
        <v>195.99</v>
      </c>
      <c r="F53" s="15">
        <v>390.4</v>
      </c>
      <c r="G53" s="15">
        <v>195.53</v>
      </c>
      <c r="H53" s="15">
        <v>260.25</v>
      </c>
      <c r="I53" s="15">
        <v>32.520000000000003</v>
      </c>
      <c r="J53" s="15">
        <v>422.26</v>
      </c>
      <c r="K53" s="15">
        <v>615.39</v>
      </c>
      <c r="L53" s="15">
        <v>340.41</v>
      </c>
      <c r="M53" s="15">
        <v>306.36900000000003</v>
      </c>
      <c r="N53" s="38">
        <v>374.45100000000008</v>
      </c>
      <c r="O53" s="41">
        <f t="shared" si="1"/>
        <v>3231.72</v>
      </c>
      <c r="P53" s="15">
        <f t="shared" si="2"/>
        <v>269.31</v>
      </c>
      <c r="Q53" s="42">
        <f t="shared" si="3"/>
        <v>176.86810354354719</v>
      </c>
      <c r="R53" s="44">
        <f t="shared" si="4"/>
        <v>0.65674539951560351</v>
      </c>
      <c r="S53" s="49">
        <f t="shared" si="16"/>
        <v>226.13007346786557</v>
      </c>
      <c r="T53" s="45"/>
      <c r="U53" s="46">
        <f>VLOOKUP(B53,Policy!$B$5:$J$8,9,FALSE)</f>
        <v>5.440534834623505</v>
      </c>
      <c r="V53" s="15">
        <f t="shared" si="6"/>
        <v>48.170644481505398</v>
      </c>
      <c r="W53" s="15">
        <f t="shared" si="0"/>
        <v>75.386763100612939</v>
      </c>
      <c r="X53" s="46">
        <f>VLOOKUP(B53,Policy!$B$5:$F$8,5,FALSE)</f>
        <v>1.2815515655446006</v>
      </c>
      <c r="Y53" s="47">
        <f t="shared" si="7"/>
        <v>4.7343175378026764E-2</v>
      </c>
      <c r="Z53" s="43">
        <f t="shared" si="8"/>
        <v>3.569048746654075</v>
      </c>
      <c r="AA53" s="48">
        <f t="shared" si="9"/>
        <v>0.98421683285234829</v>
      </c>
      <c r="AB53" s="15">
        <f t="shared" si="10"/>
        <v>144.78266875443583</v>
      </c>
      <c r="AC53" s="46"/>
      <c r="AD53" s="15">
        <f t="shared" si="11"/>
        <v>96.612024272930441</v>
      </c>
      <c r="AE53" s="50">
        <f t="shared" si="12"/>
        <v>113.06503673393279</v>
      </c>
      <c r="AF53" s="52">
        <f t="shared" si="17"/>
        <v>25.539798254728424</v>
      </c>
      <c r="AG53" s="51">
        <f t="shared" si="14"/>
        <v>32</v>
      </c>
      <c r="AH53" s="43">
        <f t="shared" si="15"/>
        <v>4.8475799999999998</v>
      </c>
      <c r="AI53" s="53">
        <f>IF(AH53&gt;=Policy!$E$13,Policy!$C$13,IF(Solution!AH53&gt;=Policy!$E$14,Policy!$C$14,IF(Solution!AH53&gt;=Policy!$E$15,Policy!$C$15,IF(Solution!AH53&gt;=Policy!$E$16,Policy!$C$16,IF(Solution!AH53&gt;=Policy!$E$17,Policy!$C$17,IF(Solution!AH53&gt;=Policy!$E$18,Policy!$C$18))))))</f>
        <v>4</v>
      </c>
    </row>
    <row r="54" spans="1:35" x14ac:dyDescent="0.3">
      <c r="A54" s="16" t="s">
        <v>104</v>
      </c>
      <c r="B54" s="14" t="s">
        <v>3</v>
      </c>
      <c r="C54" s="15">
        <v>0</v>
      </c>
      <c r="D54" s="15">
        <v>68.069999999999993</v>
      </c>
      <c r="E54" s="15">
        <v>135.66999999999999</v>
      </c>
      <c r="F54" s="15">
        <v>169.63</v>
      </c>
      <c r="G54" s="15">
        <v>169.19</v>
      </c>
      <c r="H54" s="15">
        <v>609.94000000000005</v>
      </c>
      <c r="I54" s="15">
        <v>236.78</v>
      </c>
      <c r="J54" s="15">
        <v>374.27</v>
      </c>
      <c r="K54" s="15">
        <v>373.87</v>
      </c>
      <c r="L54" s="15">
        <v>407.7</v>
      </c>
      <c r="M54" s="15">
        <v>366.93</v>
      </c>
      <c r="N54" s="38">
        <v>448.47</v>
      </c>
      <c r="O54" s="41">
        <f t="shared" si="1"/>
        <v>3360.5199999999995</v>
      </c>
      <c r="P54" s="15">
        <f t="shared" si="2"/>
        <v>280.04333333333329</v>
      </c>
      <c r="Q54" s="42">
        <f t="shared" si="3"/>
        <v>178.19266433903061</v>
      </c>
      <c r="R54" s="44">
        <f t="shared" si="4"/>
        <v>0.63630389703628243</v>
      </c>
      <c r="S54" s="49">
        <f t="shared" si="16"/>
        <v>230.5922479402258</v>
      </c>
      <c r="T54" s="45"/>
      <c r="U54" s="46">
        <f>VLOOKUP(B54,Policy!$B$5:$J$8,9,FALSE)</f>
        <v>5.440534834623505</v>
      </c>
      <c r="V54" s="15">
        <f t="shared" si="6"/>
        <v>50.090482527257478</v>
      </c>
      <c r="W54" s="15">
        <f t="shared" si="0"/>
        <v>75.989620135259258</v>
      </c>
      <c r="X54" s="46">
        <f>VLOOKUP(B54,Policy!$B$5:$F$8,5,FALSE)</f>
        <v>1.2815515655446006</v>
      </c>
      <c r="Y54" s="47">
        <f t="shared" si="7"/>
        <v>4.7343175378026764E-2</v>
      </c>
      <c r="Z54" s="43">
        <f t="shared" si="8"/>
        <v>3.5975899129732127</v>
      </c>
      <c r="AA54" s="48">
        <f t="shared" si="9"/>
        <v>0.98439847850433471</v>
      </c>
      <c r="AB54" s="15">
        <f t="shared" si="10"/>
        <v>147.47509917673847</v>
      </c>
      <c r="AC54" s="46"/>
      <c r="AD54" s="15">
        <f t="shared" si="11"/>
        <v>97.384616649481003</v>
      </c>
      <c r="AE54" s="50">
        <f t="shared" si="12"/>
        <v>115.2961239701129</v>
      </c>
      <c r="AF54" s="52">
        <f t="shared" si="17"/>
        <v>25.045579403837035</v>
      </c>
      <c r="AG54" s="51">
        <f t="shared" si="14"/>
        <v>32</v>
      </c>
      <c r="AH54" s="43">
        <f t="shared" si="15"/>
        <v>5.0407799999999998</v>
      </c>
      <c r="AI54" s="53">
        <f>IF(AH54&gt;=Policy!$E$13,Policy!$C$13,IF(Solution!AH54&gt;=Policy!$E$14,Policy!$C$14,IF(Solution!AH54&gt;=Policy!$E$15,Policy!$C$15,IF(Solution!AH54&gt;=Policy!$E$16,Policy!$C$16,IF(Solution!AH54&gt;=Policy!$E$17,Policy!$C$17,IF(Solution!AH54&gt;=Policy!$E$18,Policy!$C$18))))))</f>
        <v>4</v>
      </c>
    </row>
    <row r="55" spans="1:35" x14ac:dyDescent="0.3">
      <c r="A55" s="16" t="s">
        <v>105</v>
      </c>
      <c r="B55" s="14" t="s">
        <v>3</v>
      </c>
      <c r="C55" s="15">
        <v>0</v>
      </c>
      <c r="D55" s="15">
        <v>66.17</v>
      </c>
      <c r="E55" s="15">
        <v>132.06</v>
      </c>
      <c r="F55" s="15">
        <v>0</v>
      </c>
      <c r="G55" s="15">
        <v>165.05</v>
      </c>
      <c r="H55" s="15">
        <v>330.62</v>
      </c>
      <c r="I55" s="15">
        <v>430.54</v>
      </c>
      <c r="J55" s="15">
        <v>431.1</v>
      </c>
      <c r="K55" s="15">
        <v>528.33000000000004</v>
      </c>
      <c r="L55" s="15">
        <v>460.25</v>
      </c>
      <c r="M55" s="15">
        <v>414.22500000000002</v>
      </c>
      <c r="N55" s="38">
        <v>506.27500000000003</v>
      </c>
      <c r="O55" s="41">
        <f t="shared" si="1"/>
        <v>3464.62</v>
      </c>
      <c r="P55" s="15">
        <f t="shared" si="2"/>
        <v>288.71833333333331</v>
      </c>
      <c r="Q55" s="42">
        <f t="shared" si="3"/>
        <v>201.84182975260308</v>
      </c>
      <c r="R55" s="44">
        <f t="shared" si="4"/>
        <v>0.69909599235449693</v>
      </c>
      <c r="S55" s="49">
        <f t="shared" si="16"/>
        <v>234.13657704182137</v>
      </c>
      <c r="T55" s="45"/>
      <c r="U55" s="46">
        <f>VLOOKUP(B55,Policy!$B$5:$J$8,9,FALSE)</f>
        <v>5.440534834623505</v>
      </c>
      <c r="V55" s="15">
        <f t="shared" si="6"/>
        <v>51.642152873241884</v>
      </c>
      <c r="W55" s="15">
        <f t="shared" si="0"/>
        <v>85.953247432174678</v>
      </c>
      <c r="X55" s="46">
        <f>VLOOKUP(B55,Policy!$B$5:$F$8,5,FALSE)</f>
        <v>1.2815515655446006</v>
      </c>
      <c r="Y55" s="47">
        <f t="shared" si="7"/>
        <v>4.7343175378026764E-2</v>
      </c>
      <c r="Z55" s="43">
        <f t="shared" si="8"/>
        <v>4.0692996674923743</v>
      </c>
      <c r="AA55" s="48">
        <f t="shared" si="9"/>
        <v>0.9826199745511548</v>
      </c>
      <c r="AB55" s="15">
        <f t="shared" si="10"/>
        <v>161.79567168358776</v>
      </c>
      <c r="AC55" s="46"/>
      <c r="AD55" s="15">
        <f t="shared" si="11"/>
        <v>110.15351881034587</v>
      </c>
      <c r="AE55" s="50">
        <f t="shared" si="12"/>
        <v>117.06828852091068</v>
      </c>
      <c r="AF55" s="52">
        <f t="shared" si="17"/>
        <v>24.666442674886365</v>
      </c>
      <c r="AG55" s="51">
        <f t="shared" si="14"/>
        <v>32</v>
      </c>
      <c r="AH55" s="43">
        <f t="shared" si="15"/>
        <v>5.19693</v>
      </c>
      <c r="AI55" s="53">
        <f>IF(AH55&gt;=Policy!$E$13,Policy!$C$13,IF(Solution!AH55&gt;=Policy!$E$14,Policy!$C$14,IF(Solution!AH55&gt;=Policy!$E$15,Policy!$C$15,IF(Solution!AH55&gt;=Policy!$E$16,Policy!$C$16,IF(Solution!AH55&gt;=Policy!$E$17,Policy!$C$17,IF(Solution!AH55&gt;=Policy!$E$18,Policy!$C$18))))))</f>
        <v>4</v>
      </c>
    </row>
    <row r="56" spans="1:35" x14ac:dyDescent="0.3">
      <c r="A56" s="16" t="s">
        <v>106</v>
      </c>
      <c r="B56" s="14" t="s">
        <v>3</v>
      </c>
      <c r="C56" s="15">
        <v>335.69</v>
      </c>
      <c r="D56" s="15">
        <v>1308.83</v>
      </c>
      <c r="E56" s="15">
        <v>35.46</v>
      </c>
      <c r="F56" s="15">
        <v>35.49</v>
      </c>
      <c r="G56" s="15">
        <v>212.79</v>
      </c>
      <c r="H56" s="15">
        <v>530.85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38">
        <v>0</v>
      </c>
      <c r="O56" s="41">
        <f t="shared" si="1"/>
        <v>2459.11</v>
      </c>
      <c r="P56" s="15">
        <f t="shared" si="2"/>
        <v>204.92583333333334</v>
      </c>
      <c r="Q56" s="42">
        <f t="shared" si="3"/>
        <v>387.46106400182231</v>
      </c>
      <c r="R56" s="44">
        <f t="shared" si="4"/>
        <v>1.8907380182349987</v>
      </c>
      <c r="S56" s="49">
        <f t="shared" si="16"/>
        <v>197.25609839604547</v>
      </c>
      <c r="T56" s="45"/>
      <c r="U56" s="46">
        <f>VLOOKUP(B56,Policy!$B$5:$J$8,9,FALSE)</f>
        <v>5.440534834623505</v>
      </c>
      <c r="V56" s="15">
        <f t="shared" si="6"/>
        <v>36.654448266221941</v>
      </c>
      <c r="W56" s="15">
        <f t="shared" si="0"/>
        <v>164.02261437926006</v>
      </c>
      <c r="X56" s="46">
        <f>VLOOKUP(B56,Policy!$B$5:$F$8,5,FALSE)</f>
        <v>1.2815515655446006</v>
      </c>
      <c r="Y56" s="47">
        <f t="shared" si="7"/>
        <v>4.7343175378026764E-2</v>
      </c>
      <c r="Z56" s="43">
        <f t="shared" si="8"/>
        <v>7.7653513985197637</v>
      </c>
      <c r="AA56" s="48">
        <f t="shared" si="9"/>
        <v>0.96063314918188891</v>
      </c>
      <c r="AB56" s="15">
        <f t="shared" si="10"/>
        <v>246.85788650868099</v>
      </c>
      <c r="AC56" s="46"/>
      <c r="AD56" s="15">
        <f t="shared" si="11"/>
        <v>210.20343824245904</v>
      </c>
      <c r="AE56" s="50">
        <f t="shared" si="12"/>
        <v>98.628049198022737</v>
      </c>
      <c r="AF56" s="52">
        <f t="shared" si="17"/>
        <v>29.278265679272828</v>
      </c>
      <c r="AG56" s="51">
        <f t="shared" si="14"/>
        <v>32</v>
      </c>
      <c r="AH56" s="43">
        <f t="shared" si="15"/>
        <v>3.6886649999999999</v>
      </c>
      <c r="AI56" s="53">
        <f>IF(AH56&gt;=Policy!$E$13,Policy!$C$13,IF(Solution!AH56&gt;=Policy!$E$14,Policy!$C$14,IF(Solution!AH56&gt;=Policy!$E$15,Policy!$C$15,IF(Solution!AH56&gt;=Policy!$E$16,Policy!$C$16,IF(Solution!AH56&gt;=Policy!$E$17,Policy!$C$17,IF(Solution!AH56&gt;=Policy!$E$18,Policy!$C$18))))))</f>
        <v>4</v>
      </c>
    </row>
    <row r="57" spans="1:35" x14ac:dyDescent="0.3">
      <c r="A57" s="16" t="s">
        <v>107</v>
      </c>
      <c r="B57" s="14" t="s">
        <v>3</v>
      </c>
      <c r="C57" s="15">
        <v>0</v>
      </c>
      <c r="D57" s="15">
        <v>239.15</v>
      </c>
      <c r="E57" s="15">
        <v>448.07</v>
      </c>
      <c r="F57" s="15">
        <v>408.73</v>
      </c>
      <c r="G57" s="15">
        <v>328.51</v>
      </c>
      <c r="H57" s="15">
        <v>148.65</v>
      </c>
      <c r="I57" s="15">
        <v>59.07</v>
      </c>
      <c r="J57" s="15">
        <v>334.46</v>
      </c>
      <c r="K57" s="15">
        <v>469.89</v>
      </c>
      <c r="L57" s="15">
        <v>0</v>
      </c>
      <c r="M57" s="15">
        <v>0</v>
      </c>
      <c r="N57" s="38">
        <v>0</v>
      </c>
      <c r="O57" s="41">
        <f t="shared" si="1"/>
        <v>2436.5300000000002</v>
      </c>
      <c r="P57" s="15">
        <f t="shared" si="2"/>
        <v>203.04416666666668</v>
      </c>
      <c r="Q57" s="42">
        <f t="shared" si="3"/>
        <v>189.84717971225425</v>
      </c>
      <c r="R57" s="44">
        <f t="shared" si="4"/>
        <v>0.93500435313624319</v>
      </c>
      <c r="S57" s="49">
        <f t="shared" si="16"/>
        <v>196.34838902679525</v>
      </c>
      <c r="T57" s="45"/>
      <c r="U57" s="46">
        <f>VLOOKUP(B57,Policy!$B$5:$J$8,9,FALSE)</f>
        <v>5.440534834623505</v>
      </c>
      <c r="V57" s="15">
        <f t="shared" si="6"/>
        <v>36.317880385219752</v>
      </c>
      <c r="W57" s="15">
        <f t="shared" si="0"/>
        <v>80.601583587661395</v>
      </c>
      <c r="X57" s="46">
        <f>VLOOKUP(B57,Policy!$B$5:$F$8,5,FALSE)</f>
        <v>1.2815515655446006</v>
      </c>
      <c r="Y57" s="47">
        <f t="shared" si="7"/>
        <v>4.7343175378026764E-2</v>
      </c>
      <c r="Z57" s="43">
        <f t="shared" si="8"/>
        <v>3.8159349075373372</v>
      </c>
      <c r="AA57" s="48">
        <f t="shared" si="9"/>
        <v>0.98056548909593255</v>
      </c>
      <c r="AB57" s="15">
        <f t="shared" si="10"/>
        <v>139.6129660173612</v>
      </c>
      <c r="AC57" s="46"/>
      <c r="AD57" s="15">
        <f t="shared" si="11"/>
        <v>103.29508563214145</v>
      </c>
      <c r="AE57" s="50">
        <f t="shared" si="12"/>
        <v>98.174194513397623</v>
      </c>
      <c r="AF57" s="52">
        <f t="shared" si="17"/>
        <v>29.413617724706963</v>
      </c>
      <c r="AG57" s="51">
        <f t="shared" si="14"/>
        <v>32</v>
      </c>
      <c r="AH57" s="43">
        <f t="shared" si="15"/>
        <v>3.6547950000000005</v>
      </c>
      <c r="AI57" s="53">
        <f>IF(AH57&gt;=Policy!$E$13,Policy!$C$13,IF(Solution!AH57&gt;=Policy!$E$14,Policy!$C$14,IF(Solution!AH57&gt;=Policy!$E$15,Policy!$C$15,IF(Solution!AH57&gt;=Policy!$E$16,Policy!$C$16,IF(Solution!AH57&gt;=Policy!$E$17,Policy!$C$17,IF(Solution!AH57&gt;=Policy!$E$18,Policy!$C$18))))))</f>
        <v>4</v>
      </c>
    </row>
    <row r="58" spans="1:35" x14ac:dyDescent="0.3">
      <c r="A58" s="16" t="s">
        <v>108</v>
      </c>
      <c r="B58" s="14" t="s">
        <v>3</v>
      </c>
      <c r="C58" s="15">
        <v>0</v>
      </c>
      <c r="D58" s="15">
        <v>165.66</v>
      </c>
      <c r="E58" s="15">
        <v>277.58</v>
      </c>
      <c r="F58" s="15">
        <v>415.84</v>
      </c>
      <c r="G58" s="15">
        <v>165.15</v>
      </c>
      <c r="H58" s="15">
        <v>194.41</v>
      </c>
      <c r="I58" s="15">
        <v>304.68</v>
      </c>
      <c r="J58" s="15">
        <v>140.22</v>
      </c>
      <c r="K58" s="15">
        <v>421.22</v>
      </c>
      <c r="L58" s="15">
        <v>335.28</v>
      </c>
      <c r="M58" s="15">
        <v>301.75200000000001</v>
      </c>
      <c r="N58" s="38">
        <v>368.80799999999999</v>
      </c>
      <c r="O58" s="41">
        <f t="shared" si="1"/>
        <v>3090.6</v>
      </c>
      <c r="P58" s="15">
        <f t="shared" si="2"/>
        <v>257.55</v>
      </c>
      <c r="Q58" s="42">
        <f t="shared" si="3"/>
        <v>126.45756247129637</v>
      </c>
      <c r="R58" s="44">
        <f t="shared" si="4"/>
        <v>0.49100198979342408</v>
      </c>
      <c r="S58" s="49">
        <f t="shared" si="16"/>
        <v>221.13773701966207</v>
      </c>
      <c r="T58" s="45"/>
      <c r="U58" s="46">
        <f>VLOOKUP(B58,Policy!$B$5:$J$8,9,FALSE)</f>
        <v>5.440534834623505</v>
      </c>
      <c r="V58" s="15">
        <f t="shared" si="6"/>
        <v>46.067169753116183</v>
      </c>
      <c r="W58" s="15">
        <f t="shared" si="0"/>
        <v>54.227708049860624</v>
      </c>
      <c r="X58" s="46">
        <f>VLOOKUP(B58,Policy!$B$5:$F$8,5,FALSE)</f>
        <v>1.2815515655446006</v>
      </c>
      <c r="Y58" s="47">
        <f t="shared" si="7"/>
        <v>4.7343175378026764E-2</v>
      </c>
      <c r="Z58" s="43">
        <f t="shared" si="8"/>
        <v>2.5673118925529854</v>
      </c>
      <c r="AA58" s="48">
        <f t="shared" si="9"/>
        <v>0.98839043969992002</v>
      </c>
      <c r="AB58" s="15">
        <f t="shared" si="10"/>
        <v>115.56277390031062</v>
      </c>
      <c r="AC58" s="46"/>
      <c r="AD58" s="15">
        <f t="shared" si="11"/>
        <v>69.495604147194427</v>
      </c>
      <c r="AE58" s="50">
        <f t="shared" si="12"/>
        <v>110.56886850983103</v>
      </c>
      <c r="AF58" s="52">
        <f t="shared" si="17"/>
        <v>26.11637675926249</v>
      </c>
      <c r="AG58" s="51">
        <f t="shared" si="14"/>
        <v>32</v>
      </c>
      <c r="AH58" s="43">
        <f t="shared" si="15"/>
        <v>4.6359000000000004</v>
      </c>
      <c r="AI58" s="53">
        <f>IF(AH58&gt;=Policy!$E$13,Policy!$C$13,IF(Solution!AH58&gt;=Policy!$E$14,Policy!$C$14,IF(Solution!AH58&gt;=Policy!$E$15,Policy!$C$15,IF(Solution!AH58&gt;=Policy!$E$16,Policy!$C$16,IF(Solution!AH58&gt;=Policy!$E$17,Policy!$C$17,IF(Solution!AH58&gt;=Policy!$E$18,Policy!$C$18))))))</f>
        <v>4</v>
      </c>
    </row>
    <row r="59" spans="1:35" x14ac:dyDescent="0.3">
      <c r="A59" s="16" t="s">
        <v>109</v>
      </c>
      <c r="B59" s="14" t="s">
        <v>3</v>
      </c>
      <c r="C59" s="15">
        <v>0</v>
      </c>
      <c r="D59" s="15">
        <v>0</v>
      </c>
      <c r="E59" s="15">
        <v>334.47</v>
      </c>
      <c r="F59" s="15">
        <v>405.16</v>
      </c>
      <c r="G59" s="15">
        <v>236.47</v>
      </c>
      <c r="H59" s="15">
        <v>236.38</v>
      </c>
      <c r="I59" s="15">
        <v>168.47</v>
      </c>
      <c r="J59" s="15">
        <v>370.45</v>
      </c>
      <c r="K59" s="15">
        <v>123.44</v>
      </c>
      <c r="L59" s="15">
        <v>302.95</v>
      </c>
      <c r="M59" s="15">
        <v>272.65499999999997</v>
      </c>
      <c r="N59" s="38">
        <v>333.245</v>
      </c>
      <c r="O59" s="41">
        <f t="shared" si="1"/>
        <v>2783.6899999999996</v>
      </c>
      <c r="P59" s="15">
        <f t="shared" si="2"/>
        <v>231.97416666666663</v>
      </c>
      <c r="Q59" s="42">
        <f t="shared" si="3"/>
        <v>134.87322746047886</v>
      </c>
      <c r="R59" s="44">
        <f t="shared" si="4"/>
        <v>0.5814148592428563</v>
      </c>
      <c r="S59" s="49">
        <f t="shared" si="16"/>
        <v>209.87074080991198</v>
      </c>
      <c r="T59" s="45"/>
      <c r="U59" s="46">
        <f>VLOOKUP(B59,Policy!$B$5:$J$8,9,FALSE)</f>
        <v>5.440534834623505</v>
      </c>
      <c r="V59" s="15">
        <f t="shared" si="6"/>
        <v>41.492499763816724</v>
      </c>
      <c r="W59" s="15">
        <f t="shared" si="0"/>
        <v>57.609604436666757</v>
      </c>
      <c r="X59" s="46">
        <f>VLOOKUP(B59,Policy!$B$5:$F$8,5,FALSE)</f>
        <v>1.2815515655446006</v>
      </c>
      <c r="Y59" s="47">
        <f t="shared" si="7"/>
        <v>4.7343175378026764E-2</v>
      </c>
      <c r="Z59" s="43">
        <f t="shared" si="8"/>
        <v>2.7274216063038632</v>
      </c>
      <c r="AA59" s="48">
        <f t="shared" si="9"/>
        <v>0.98700427893960596</v>
      </c>
      <c r="AB59" s="15">
        <f t="shared" si="10"/>
        <v>115.32217852003217</v>
      </c>
      <c r="AC59" s="46"/>
      <c r="AD59" s="15">
        <f t="shared" si="11"/>
        <v>73.829678756215444</v>
      </c>
      <c r="AE59" s="50">
        <f t="shared" si="12"/>
        <v>104.93537040495599</v>
      </c>
      <c r="AF59" s="52">
        <f t="shared" si="17"/>
        <v>27.518445083905853</v>
      </c>
      <c r="AG59" s="51">
        <f t="shared" si="14"/>
        <v>32</v>
      </c>
      <c r="AH59" s="43">
        <f t="shared" si="15"/>
        <v>4.1755349999999991</v>
      </c>
      <c r="AI59" s="53">
        <f>IF(AH59&gt;=Policy!$E$13,Policy!$C$13,IF(Solution!AH59&gt;=Policy!$E$14,Policy!$C$14,IF(Solution!AH59&gt;=Policy!$E$15,Policy!$C$15,IF(Solution!AH59&gt;=Policy!$E$16,Policy!$C$16,IF(Solution!AH59&gt;=Policy!$E$17,Policy!$C$17,IF(Solution!AH59&gt;=Policy!$E$18,Policy!$C$18))))))</f>
        <v>4</v>
      </c>
    </row>
    <row r="60" spans="1:35" x14ac:dyDescent="0.3">
      <c r="A60" s="16" t="s">
        <v>110</v>
      </c>
      <c r="B60" s="14" t="s">
        <v>3</v>
      </c>
      <c r="C60" s="15">
        <v>112.76</v>
      </c>
      <c r="D60" s="15">
        <v>276.02999999999997</v>
      </c>
      <c r="E60" s="15">
        <v>451.2</v>
      </c>
      <c r="F60" s="15">
        <v>263.87</v>
      </c>
      <c r="G60" s="15">
        <v>112.94</v>
      </c>
      <c r="H60" s="15">
        <v>113.21</v>
      </c>
      <c r="I60" s="15">
        <v>151.41999999999999</v>
      </c>
      <c r="J60" s="15">
        <v>188.9</v>
      </c>
      <c r="K60" s="15">
        <v>264.42</v>
      </c>
      <c r="L60" s="15">
        <v>226.15</v>
      </c>
      <c r="M60" s="15">
        <v>203.535</v>
      </c>
      <c r="N60" s="38">
        <v>248.76500000000001</v>
      </c>
      <c r="O60" s="41">
        <f t="shared" si="1"/>
        <v>2613.2000000000003</v>
      </c>
      <c r="P60" s="15">
        <f t="shared" si="2"/>
        <v>217.76666666666668</v>
      </c>
      <c r="Q60" s="42">
        <f t="shared" si="3"/>
        <v>96.107797676579935</v>
      </c>
      <c r="R60" s="44">
        <f t="shared" si="4"/>
        <v>0.44133383289413713</v>
      </c>
      <c r="S60" s="49">
        <f t="shared" si="16"/>
        <v>203.34232531822485</v>
      </c>
      <c r="T60" s="45"/>
      <c r="U60" s="46">
        <f>VLOOKUP(B60,Policy!$B$5:$J$8,9,FALSE)</f>
        <v>5.440534834623505</v>
      </c>
      <c r="V60" s="15">
        <f t="shared" si="6"/>
        <v>38.951248300926423</v>
      </c>
      <c r="W60" s="15">
        <f t="shared" si="0"/>
        <v>41.346630171891917</v>
      </c>
      <c r="X60" s="46">
        <f>VLOOKUP(B60,Policy!$B$5:$F$8,5,FALSE)</f>
        <v>1.2815515655446006</v>
      </c>
      <c r="Y60" s="47">
        <f t="shared" si="7"/>
        <v>4.7343175378026764E-2</v>
      </c>
      <c r="Z60" s="43">
        <f t="shared" si="8"/>
        <v>1.9574807635182918</v>
      </c>
      <c r="AA60" s="48">
        <f t="shared" si="9"/>
        <v>0.99037347113811702</v>
      </c>
      <c r="AB60" s="15">
        <f t="shared" si="10"/>
        <v>91.939086927708132</v>
      </c>
      <c r="AC60" s="46"/>
      <c r="AD60" s="15">
        <f t="shared" si="11"/>
        <v>52.987838626781702</v>
      </c>
      <c r="AE60" s="50">
        <f t="shared" si="12"/>
        <v>101.67116265911243</v>
      </c>
      <c r="AF60" s="52">
        <f t="shared" si="17"/>
        <v>28.401939668281056</v>
      </c>
      <c r="AG60" s="51">
        <f t="shared" si="14"/>
        <v>32</v>
      </c>
      <c r="AH60" s="43">
        <f t="shared" si="15"/>
        <v>3.9198000000000004</v>
      </c>
      <c r="AI60" s="53">
        <f>IF(AH60&gt;=Policy!$E$13,Policy!$C$13,IF(Solution!AH60&gt;=Policy!$E$14,Policy!$C$14,IF(Solution!AH60&gt;=Policy!$E$15,Policy!$C$15,IF(Solution!AH60&gt;=Policy!$E$16,Policy!$C$16,IF(Solution!AH60&gt;=Policy!$E$17,Policy!$C$17,IF(Solution!AH60&gt;=Policy!$E$18,Policy!$C$18))))))</f>
        <v>4</v>
      </c>
    </row>
    <row r="61" spans="1:35" x14ac:dyDescent="0.3">
      <c r="A61" s="16" t="s">
        <v>111</v>
      </c>
      <c r="B61" s="14" t="s">
        <v>3</v>
      </c>
      <c r="C61" s="15">
        <v>176.43</v>
      </c>
      <c r="D61" s="15">
        <v>282.24</v>
      </c>
      <c r="E61" s="15">
        <v>211.82</v>
      </c>
      <c r="F61" s="15">
        <v>139.54</v>
      </c>
      <c r="G61" s="15">
        <v>0</v>
      </c>
      <c r="H61" s="15">
        <v>263.88</v>
      </c>
      <c r="I61" s="15">
        <v>175.33</v>
      </c>
      <c r="J61" s="15">
        <v>245.9</v>
      </c>
      <c r="K61" s="15">
        <v>450.53</v>
      </c>
      <c r="L61" s="15">
        <v>132.69</v>
      </c>
      <c r="M61" s="15">
        <v>119.42100000000001</v>
      </c>
      <c r="N61" s="38">
        <v>145.959</v>
      </c>
      <c r="O61" s="41">
        <f t="shared" si="1"/>
        <v>2343.7399999999993</v>
      </c>
      <c r="P61" s="15">
        <f t="shared" si="2"/>
        <v>195.31166666666661</v>
      </c>
      <c r="Q61" s="42">
        <f t="shared" si="3"/>
        <v>110.51767283136496</v>
      </c>
      <c r="R61" s="44">
        <f t="shared" si="4"/>
        <v>0.56585289920229198</v>
      </c>
      <c r="S61" s="49">
        <f t="shared" si="16"/>
        <v>192.5733462109595</v>
      </c>
      <c r="T61" s="45"/>
      <c r="U61" s="46">
        <f>VLOOKUP(B61,Policy!$B$5:$J$8,9,FALSE)</f>
        <v>5.440534834623505</v>
      </c>
      <c r="V61" s="15">
        <f t="shared" si="6"/>
        <v>34.934792091234215</v>
      </c>
      <c r="W61" s="15">
        <f t="shared" si="0"/>
        <v>47.232222419410718</v>
      </c>
      <c r="X61" s="46">
        <f>VLOOKUP(B61,Policy!$B$5:$F$8,5,FALSE)</f>
        <v>1.2815515655446006</v>
      </c>
      <c r="Y61" s="47">
        <f t="shared" si="7"/>
        <v>4.7343175378026764E-2</v>
      </c>
      <c r="Z61" s="43">
        <f t="shared" si="8"/>
        <v>2.2361233894961292</v>
      </c>
      <c r="AA61" s="48">
        <f t="shared" si="9"/>
        <v>0.98838819892008056</v>
      </c>
      <c r="AB61" s="15">
        <f t="shared" si="10"/>
        <v>95.465320676980809</v>
      </c>
      <c r="AC61" s="46"/>
      <c r="AD61" s="15">
        <f t="shared" si="11"/>
        <v>60.530528585746588</v>
      </c>
      <c r="AE61" s="50">
        <f t="shared" si="12"/>
        <v>96.28667310547975</v>
      </c>
      <c r="AF61" s="52">
        <f t="shared" si="17"/>
        <v>29.990217074846289</v>
      </c>
      <c r="AG61" s="51">
        <f t="shared" si="14"/>
        <v>32</v>
      </c>
      <c r="AH61" s="43">
        <f t="shared" si="15"/>
        <v>3.5156099999999988</v>
      </c>
      <c r="AI61" s="53">
        <f>IF(AH61&gt;=Policy!$E$13,Policy!$C$13,IF(Solution!AH61&gt;=Policy!$E$14,Policy!$C$14,IF(Solution!AH61&gt;=Policy!$E$15,Policy!$C$15,IF(Solution!AH61&gt;=Policy!$E$16,Policy!$C$16,IF(Solution!AH61&gt;=Policy!$E$17,Policy!$C$17,IF(Solution!AH61&gt;=Policy!$E$18,Policy!$C$18))))))</f>
        <v>4</v>
      </c>
    </row>
    <row r="62" spans="1:35" x14ac:dyDescent="0.3">
      <c r="A62" s="16" t="s">
        <v>112</v>
      </c>
      <c r="B62" s="14" t="s">
        <v>3</v>
      </c>
      <c r="C62" s="15">
        <v>204.06</v>
      </c>
      <c r="D62" s="15">
        <v>202.56</v>
      </c>
      <c r="E62" s="15">
        <v>86.8</v>
      </c>
      <c r="F62" s="15">
        <v>291.73</v>
      </c>
      <c r="G62" s="15">
        <v>252.56</v>
      </c>
      <c r="H62" s="15">
        <v>467.23</v>
      </c>
      <c r="I62" s="15">
        <v>146.08000000000001</v>
      </c>
      <c r="J62" s="15">
        <v>331.43</v>
      </c>
      <c r="K62" s="15">
        <v>87.18</v>
      </c>
      <c r="L62" s="15">
        <v>0</v>
      </c>
      <c r="M62" s="15">
        <v>0</v>
      </c>
      <c r="N62" s="38">
        <v>0</v>
      </c>
      <c r="O62" s="41">
        <f t="shared" si="1"/>
        <v>2069.63</v>
      </c>
      <c r="P62" s="15">
        <f t="shared" si="2"/>
        <v>172.46916666666667</v>
      </c>
      <c r="Q62" s="42">
        <f t="shared" si="3"/>
        <v>147.47582202198637</v>
      </c>
      <c r="R62" s="44">
        <f t="shared" si="4"/>
        <v>0.85508514288246518</v>
      </c>
      <c r="S62" s="49">
        <f t="shared" si="16"/>
        <v>180.96217871859932</v>
      </c>
      <c r="T62" s="45"/>
      <c r="U62" s="46">
        <f>VLOOKUP(B62,Policy!$B$5:$J$8,9,FALSE)</f>
        <v>5.440534834623505</v>
      </c>
      <c r="V62" s="15">
        <f t="shared" si="6"/>
        <v>30.849024958306426</v>
      </c>
      <c r="W62" s="15">
        <f t="shared" si="0"/>
        <v>62.65941983354454</v>
      </c>
      <c r="X62" s="46">
        <f>VLOOKUP(B62,Policy!$B$5:$F$8,5,FALSE)</f>
        <v>1.2815515655446006</v>
      </c>
      <c r="Y62" s="47">
        <f t="shared" si="7"/>
        <v>4.7343175378026764E-2</v>
      </c>
      <c r="Z62" s="43">
        <f t="shared" si="8"/>
        <v>2.9664959022649078</v>
      </c>
      <c r="AA62" s="48">
        <f t="shared" si="9"/>
        <v>0.98360709445879357</v>
      </c>
      <c r="AB62" s="15">
        <f t="shared" si="10"/>
        <v>111.15030254210183</v>
      </c>
      <c r="AC62" s="46"/>
      <c r="AD62" s="15">
        <f t="shared" si="11"/>
        <v>80.301277583795397</v>
      </c>
      <c r="AE62" s="50">
        <f t="shared" si="12"/>
        <v>90.481089359299659</v>
      </c>
      <c r="AF62" s="52">
        <f t="shared" si="17"/>
        <v>31.914494490459042</v>
      </c>
      <c r="AG62" s="51">
        <f t="shared" si="14"/>
        <v>32</v>
      </c>
      <c r="AH62" s="43">
        <f t="shared" si="15"/>
        <v>3.1044450000000001</v>
      </c>
      <c r="AI62" s="53">
        <f>IF(AH62&gt;=Policy!$E$13,Policy!$C$13,IF(Solution!AH62&gt;=Policy!$E$14,Policy!$C$14,IF(Solution!AH62&gt;=Policy!$E$15,Policy!$C$15,IF(Solution!AH62&gt;=Policy!$E$16,Policy!$C$16,IF(Solution!AH62&gt;=Policy!$E$17,Policy!$C$17,IF(Solution!AH62&gt;=Policy!$E$18,Policy!$C$18))))))</f>
        <v>5</v>
      </c>
    </row>
    <row r="63" spans="1:35" x14ac:dyDescent="0.3">
      <c r="A63" s="16" t="s">
        <v>113</v>
      </c>
      <c r="B63" s="14" t="s">
        <v>3</v>
      </c>
      <c r="C63" s="15">
        <v>0</v>
      </c>
      <c r="D63" s="15">
        <v>0</v>
      </c>
      <c r="E63" s="15">
        <v>60.2</v>
      </c>
      <c r="F63" s="15">
        <v>479.12</v>
      </c>
      <c r="G63" s="15">
        <v>119.83</v>
      </c>
      <c r="H63" s="15">
        <v>359.87</v>
      </c>
      <c r="I63" s="15">
        <v>29.98</v>
      </c>
      <c r="J63" s="15">
        <v>360.04</v>
      </c>
      <c r="K63" s="15">
        <v>450</v>
      </c>
      <c r="L63" s="15">
        <v>119.04</v>
      </c>
      <c r="M63" s="15">
        <v>107.13600000000001</v>
      </c>
      <c r="N63" s="38">
        <v>130.94400000000002</v>
      </c>
      <c r="O63" s="41">
        <f t="shared" si="1"/>
        <v>2216.16</v>
      </c>
      <c r="P63" s="15">
        <f t="shared" si="2"/>
        <v>184.67999999999998</v>
      </c>
      <c r="Q63" s="42">
        <f t="shared" si="3"/>
        <v>176.73498615209672</v>
      </c>
      <c r="R63" s="44">
        <f t="shared" si="4"/>
        <v>0.95697956547594076</v>
      </c>
      <c r="S63" s="49">
        <f t="shared" si="16"/>
        <v>187.25870549806257</v>
      </c>
      <c r="T63" s="45"/>
      <c r="U63" s="46">
        <f>VLOOKUP(B63,Policy!$B$5:$J$8,9,FALSE)</f>
        <v>5.440534834623505</v>
      </c>
      <c r="V63" s="15">
        <f t="shared" si="6"/>
        <v>33.033138846847194</v>
      </c>
      <c r="W63" s="15">
        <f t="shared" si="0"/>
        <v>75.021581738064484</v>
      </c>
      <c r="X63" s="46">
        <f>VLOOKUP(B63,Policy!$B$5:$F$8,5,FALSE)</f>
        <v>1.2815515655446006</v>
      </c>
      <c r="Y63" s="47">
        <f t="shared" si="7"/>
        <v>4.7343175378026764E-2</v>
      </c>
      <c r="Z63" s="43">
        <f t="shared" si="8"/>
        <v>3.5517599013621566</v>
      </c>
      <c r="AA63" s="48">
        <f t="shared" si="9"/>
        <v>0.98103287165253361</v>
      </c>
      <c r="AB63" s="15">
        <f t="shared" si="10"/>
        <v>129.17716437289596</v>
      </c>
      <c r="AC63" s="46"/>
      <c r="AD63" s="15">
        <f t="shared" si="11"/>
        <v>96.14402552604875</v>
      </c>
      <c r="AE63" s="50">
        <f t="shared" si="12"/>
        <v>93.629352749031284</v>
      </c>
      <c r="AF63" s="52">
        <f t="shared" si="17"/>
        <v>30.841377656303173</v>
      </c>
      <c r="AG63" s="51">
        <f t="shared" si="14"/>
        <v>32</v>
      </c>
      <c r="AH63" s="43">
        <f t="shared" si="15"/>
        <v>3.3242400000000001</v>
      </c>
      <c r="AI63" s="53">
        <f>IF(AH63&gt;=Policy!$E$13,Policy!$C$13,IF(Solution!AH63&gt;=Policy!$E$14,Policy!$C$14,IF(Solution!AH63&gt;=Policy!$E$15,Policy!$C$15,IF(Solution!AH63&gt;=Policy!$E$16,Policy!$C$16,IF(Solution!AH63&gt;=Policy!$E$17,Policy!$C$17,IF(Solution!AH63&gt;=Policy!$E$18,Policy!$C$18))))))</f>
        <v>5</v>
      </c>
    </row>
    <row r="64" spans="1:35" x14ac:dyDescent="0.3">
      <c r="A64" s="16" t="s">
        <v>114</v>
      </c>
      <c r="B64" s="14" t="s">
        <v>3</v>
      </c>
      <c r="C64" s="15">
        <v>135.91</v>
      </c>
      <c r="D64" s="15">
        <v>67.989999999999995</v>
      </c>
      <c r="E64" s="15">
        <v>135.84</v>
      </c>
      <c r="F64" s="15">
        <v>271.24</v>
      </c>
      <c r="G64" s="15">
        <v>67.739999999999995</v>
      </c>
      <c r="H64" s="15">
        <v>506.54</v>
      </c>
      <c r="I64" s="15">
        <v>100.84</v>
      </c>
      <c r="J64" s="15">
        <v>67.209999999999994</v>
      </c>
      <c r="K64" s="15">
        <v>303.04000000000002</v>
      </c>
      <c r="L64" s="15">
        <v>268.98</v>
      </c>
      <c r="M64" s="15">
        <v>242.08200000000002</v>
      </c>
      <c r="N64" s="38">
        <v>295.87800000000004</v>
      </c>
      <c r="O64" s="41">
        <f t="shared" si="1"/>
        <v>2463.29</v>
      </c>
      <c r="P64" s="15">
        <f t="shared" si="2"/>
        <v>205.27416666666667</v>
      </c>
      <c r="Q64" s="42">
        <f t="shared" si="3"/>
        <v>133.36768925168246</v>
      </c>
      <c r="R64" s="44">
        <f t="shared" si="4"/>
        <v>0.64970517926033455</v>
      </c>
      <c r="S64" s="49">
        <f t="shared" si="16"/>
        <v>197.42367536578968</v>
      </c>
      <c r="T64" s="45"/>
      <c r="U64" s="46">
        <f>VLOOKUP(B64,Policy!$B$5:$J$8,9,FALSE)</f>
        <v>5.440534834623505</v>
      </c>
      <c r="V64" s="15">
        <f t="shared" si="6"/>
        <v>36.716753569259545</v>
      </c>
      <c r="W64" s="15">
        <f t="shared" si="0"/>
        <v>56.855080953688052</v>
      </c>
      <c r="X64" s="46">
        <f>VLOOKUP(B64,Policy!$B$5:$F$8,5,FALSE)</f>
        <v>1.2815515655446006</v>
      </c>
      <c r="Y64" s="47">
        <f t="shared" si="7"/>
        <v>4.7343175378026764E-2</v>
      </c>
      <c r="Z64" s="43">
        <f t="shared" si="8"/>
        <v>2.6917000687223624</v>
      </c>
      <c r="AA64" s="48">
        <f t="shared" si="9"/>
        <v>0.98636586993056863</v>
      </c>
      <c r="AB64" s="15">
        <f t="shared" si="10"/>
        <v>109.57947157462348</v>
      </c>
      <c r="AC64" s="46"/>
      <c r="AD64" s="15">
        <f t="shared" si="11"/>
        <v>72.862718005363931</v>
      </c>
      <c r="AE64" s="50">
        <f t="shared" si="12"/>
        <v>98.711837682894839</v>
      </c>
      <c r="AF64" s="52">
        <f t="shared" si="17"/>
        <v>29.253413730625805</v>
      </c>
      <c r="AG64" s="51">
        <f t="shared" si="14"/>
        <v>32</v>
      </c>
      <c r="AH64" s="43">
        <f t="shared" si="15"/>
        <v>3.6949350000000001</v>
      </c>
      <c r="AI64" s="53">
        <f>IF(AH64&gt;=Policy!$E$13,Policy!$C$13,IF(Solution!AH64&gt;=Policy!$E$14,Policy!$C$14,IF(Solution!AH64&gt;=Policy!$E$15,Policy!$C$15,IF(Solution!AH64&gt;=Policy!$E$16,Policy!$C$16,IF(Solution!AH64&gt;=Policy!$E$17,Policy!$C$17,IF(Solution!AH64&gt;=Policy!$E$18,Policy!$C$18))))))</f>
        <v>4</v>
      </c>
    </row>
    <row r="65" spans="1:35" x14ac:dyDescent="0.3">
      <c r="A65" s="16" t="s">
        <v>115</v>
      </c>
      <c r="B65" s="14" t="s">
        <v>3</v>
      </c>
      <c r="C65" s="15">
        <v>362.56</v>
      </c>
      <c r="D65" s="15">
        <v>181.9</v>
      </c>
      <c r="E65" s="15">
        <v>72.83</v>
      </c>
      <c r="F65" s="15">
        <v>363.3</v>
      </c>
      <c r="G65" s="15">
        <v>0</v>
      </c>
      <c r="H65" s="15">
        <v>145.58000000000001</v>
      </c>
      <c r="I65" s="15">
        <v>109.22</v>
      </c>
      <c r="J65" s="15">
        <v>109.3</v>
      </c>
      <c r="K65" s="15">
        <v>109.04</v>
      </c>
      <c r="L65" s="15">
        <v>436.1</v>
      </c>
      <c r="M65" s="15">
        <v>392.49</v>
      </c>
      <c r="N65" s="38">
        <v>479.71000000000004</v>
      </c>
      <c r="O65" s="41">
        <f t="shared" si="1"/>
        <v>2762.0299999999997</v>
      </c>
      <c r="P65" s="15">
        <f t="shared" si="2"/>
        <v>230.16916666666665</v>
      </c>
      <c r="Q65" s="42">
        <f t="shared" si="3"/>
        <v>164.42914187954165</v>
      </c>
      <c r="R65" s="44">
        <f t="shared" si="4"/>
        <v>0.71438387800078196</v>
      </c>
      <c r="S65" s="49">
        <f t="shared" si="16"/>
        <v>209.05264009123135</v>
      </c>
      <c r="T65" s="45"/>
      <c r="U65" s="46">
        <f>VLOOKUP(B65,Policy!$B$5:$J$8,9,FALSE)</f>
        <v>5.440534834623505</v>
      </c>
      <c r="V65" s="15">
        <f t="shared" si="6"/>
        <v>41.169645011712767</v>
      </c>
      <c r="W65" s="15">
        <f t="shared" si="0"/>
        <v>70.001008218561637</v>
      </c>
      <c r="X65" s="46">
        <f>VLOOKUP(B65,Policy!$B$5:$F$8,5,FALSE)</f>
        <v>1.2815515655446006</v>
      </c>
      <c r="Y65" s="47">
        <f t="shared" si="7"/>
        <v>4.7343175378026764E-2</v>
      </c>
      <c r="Z65" s="43">
        <f t="shared" si="8"/>
        <v>3.3140700087300563</v>
      </c>
      <c r="AA65" s="48">
        <f t="shared" si="9"/>
        <v>0.98414719848893661</v>
      </c>
      <c r="AB65" s="15">
        <f t="shared" si="10"/>
        <v>130.87954668391089</v>
      </c>
      <c r="AC65" s="46"/>
      <c r="AD65" s="15">
        <f t="shared" si="11"/>
        <v>89.709901672198114</v>
      </c>
      <c r="AE65" s="50">
        <f t="shared" si="12"/>
        <v>104.52632004561568</v>
      </c>
      <c r="AF65" s="52">
        <f t="shared" si="17"/>
        <v>27.626134992487209</v>
      </c>
      <c r="AG65" s="51">
        <f t="shared" si="14"/>
        <v>32</v>
      </c>
      <c r="AH65" s="43">
        <f t="shared" si="15"/>
        <v>4.143044999999999</v>
      </c>
      <c r="AI65" s="53">
        <f>IF(AH65&gt;=Policy!$E$13,Policy!$C$13,IF(Solution!AH65&gt;=Policy!$E$14,Policy!$C$14,IF(Solution!AH65&gt;=Policy!$E$15,Policy!$C$15,IF(Solution!AH65&gt;=Policy!$E$16,Policy!$C$16,IF(Solution!AH65&gt;=Policy!$E$17,Policy!$C$17,IF(Solution!AH65&gt;=Policy!$E$18,Policy!$C$18))))))</f>
        <v>4</v>
      </c>
    </row>
    <row r="66" spans="1:35" x14ac:dyDescent="0.3">
      <c r="A66" s="16" t="s">
        <v>116</v>
      </c>
      <c r="B66" s="14" t="s">
        <v>3</v>
      </c>
      <c r="C66" s="15">
        <v>0</v>
      </c>
      <c r="D66" s="15">
        <v>58.3</v>
      </c>
      <c r="E66" s="15">
        <v>117.2</v>
      </c>
      <c r="F66" s="15">
        <v>277.89</v>
      </c>
      <c r="G66" s="15">
        <v>116.58</v>
      </c>
      <c r="H66" s="15">
        <v>58.46</v>
      </c>
      <c r="I66" s="15">
        <v>290.99</v>
      </c>
      <c r="J66" s="15">
        <v>398.7</v>
      </c>
      <c r="K66" s="15">
        <v>88.21</v>
      </c>
      <c r="L66" s="15">
        <v>469.95</v>
      </c>
      <c r="M66" s="15">
        <v>422.95499999999998</v>
      </c>
      <c r="N66" s="38">
        <v>516.94500000000005</v>
      </c>
      <c r="O66" s="41">
        <f t="shared" si="1"/>
        <v>2816.1800000000003</v>
      </c>
      <c r="P66" s="15">
        <f t="shared" si="2"/>
        <v>234.6816666666667</v>
      </c>
      <c r="Q66" s="42">
        <f t="shared" si="3"/>
        <v>183.11798874363805</v>
      </c>
      <c r="R66" s="44">
        <f t="shared" si="4"/>
        <v>0.78028246238651522</v>
      </c>
      <c r="S66" s="49">
        <f t="shared" si="16"/>
        <v>211.09194709079333</v>
      </c>
      <c r="T66" s="45"/>
      <c r="U66" s="46">
        <f>VLOOKUP(B66,Policy!$B$5:$J$8,9,FALSE)</f>
        <v>5.440534834623505</v>
      </c>
      <c r="V66" s="15">
        <f t="shared" si="6"/>
        <v>41.976781891972664</v>
      </c>
      <c r="W66" s="15">
        <f t="shared" si="0"/>
        <v>77.874683797572033</v>
      </c>
      <c r="X66" s="46">
        <f>VLOOKUP(B66,Policy!$B$5:$F$8,5,FALSE)</f>
        <v>1.2815515655446006</v>
      </c>
      <c r="Y66" s="47">
        <f t="shared" si="7"/>
        <v>4.7343175378026764E-2</v>
      </c>
      <c r="Z66" s="43">
        <f t="shared" si="8"/>
        <v>3.6868348125368322</v>
      </c>
      <c r="AA66" s="48">
        <f t="shared" si="9"/>
        <v>0.98253446015659196</v>
      </c>
      <c r="AB66" s="15">
        <f t="shared" si="10"/>
        <v>141.77720482904186</v>
      </c>
      <c r="AC66" s="46"/>
      <c r="AD66" s="15">
        <f t="shared" si="11"/>
        <v>99.800422937069186</v>
      </c>
      <c r="AE66" s="50">
        <f t="shared" si="12"/>
        <v>105.54597354539666</v>
      </c>
      <c r="AF66" s="52">
        <f t="shared" si="17"/>
        <v>27.359245747125382</v>
      </c>
      <c r="AG66" s="51">
        <f t="shared" si="14"/>
        <v>32</v>
      </c>
      <c r="AH66" s="43">
        <f t="shared" si="15"/>
        <v>4.2242700000000006</v>
      </c>
      <c r="AI66" s="53">
        <f>IF(AH66&gt;=Policy!$E$13,Policy!$C$13,IF(Solution!AH66&gt;=Policy!$E$14,Policy!$C$14,IF(Solution!AH66&gt;=Policy!$E$15,Policy!$C$15,IF(Solution!AH66&gt;=Policy!$E$16,Policy!$C$16,IF(Solution!AH66&gt;=Policy!$E$17,Policy!$C$17,IF(Solution!AH66&gt;=Policy!$E$18,Policy!$C$18))))))</f>
        <v>4</v>
      </c>
    </row>
    <row r="67" spans="1:35" x14ac:dyDescent="0.3">
      <c r="A67" s="16" t="s">
        <v>117</v>
      </c>
      <c r="B67" s="14" t="s">
        <v>3</v>
      </c>
      <c r="C67" s="15">
        <v>71</v>
      </c>
      <c r="D67" s="15">
        <v>212.3</v>
      </c>
      <c r="E67" s="15">
        <v>70.599999999999994</v>
      </c>
      <c r="F67" s="15">
        <v>283.72000000000003</v>
      </c>
      <c r="G67" s="15">
        <v>388.8</v>
      </c>
      <c r="H67" s="15">
        <v>0</v>
      </c>
      <c r="I67" s="15">
        <v>283.93</v>
      </c>
      <c r="J67" s="15">
        <v>142.33000000000001</v>
      </c>
      <c r="K67" s="15">
        <v>284.89</v>
      </c>
      <c r="L67" s="15">
        <v>70.86</v>
      </c>
      <c r="M67" s="15">
        <v>63.774000000000001</v>
      </c>
      <c r="N67" s="38">
        <v>77.946000000000012</v>
      </c>
      <c r="O67" s="41">
        <f t="shared" si="1"/>
        <v>1950.15</v>
      </c>
      <c r="P67" s="15">
        <f t="shared" si="2"/>
        <v>162.51250000000002</v>
      </c>
      <c r="Q67" s="42">
        <f t="shared" si="3"/>
        <v>123.2276548126936</v>
      </c>
      <c r="R67" s="44">
        <f t="shared" si="4"/>
        <v>0.75826570148569239</v>
      </c>
      <c r="S67" s="49">
        <f t="shared" si="16"/>
        <v>175.66104803703169</v>
      </c>
      <c r="T67" s="45"/>
      <c r="U67" s="46">
        <f>VLOOKUP(B67,Policy!$B$5:$J$8,9,FALSE)</f>
        <v>5.440534834623505</v>
      </c>
      <c r="V67" s="15">
        <f t="shared" si="6"/>
        <v>29.068106870523366</v>
      </c>
      <c r="W67" s="15">
        <f t="shared" si="0"/>
        <v>52.422056953588886</v>
      </c>
      <c r="X67" s="46">
        <f>VLOOKUP(B67,Policy!$B$5:$F$8,5,FALSE)</f>
        <v>1.2815515655446006</v>
      </c>
      <c r="Y67" s="47">
        <f t="shared" si="7"/>
        <v>4.7343175378026764E-2</v>
      </c>
      <c r="Z67" s="43">
        <f t="shared" si="8"/>
        <v>2.4818266360306662</v>
      </c>
      <c r="AA67" s="48">
        <f t="shared" si="9"/>
        <v>0.98587150273914192</v>
      </c>
      <c r="AB67" s="15">
        <f t="shared" si="10"/>
        <v>96.249676028463412</v>
      </c>
      <c r="AC67" s="46"/>
      <c r="AD67" s="15">
        <f t="shared" si="11"/>
        <v>67.181569157940046</v>
      </c>
      <c r="AE67" s="50">
        <f t="shared" si="12"/>
        <v>87.830524018515845</v>
      </c>
      <c r="AF67" s="52">
        <f t="shared" si="17"/>
        <v>32.877615841610421</v>
      </c>
      <c r="AG67" s="51">
        <f t="shared" si="14"/>
        <v>32</v>
      </c>
      <c r="AH67" s="43">
        <f t="shared" si="15"/>
        <v>2.9252250000000002</v>
      </c>
      <c r="AI67" s="53">
        <f>IF(AH67&gt;=Policy!$E$13,Policy!$C$13,IF(Solution!AH67&gt;=Policy!$E$14,Policy!$C$14,IF(Solution!AH67&gt;=Policy!$E$15,Policy!$C$15,IF(Solution!AH67&gt;=Policy!$E$16,Policy!$C$16,IF(Solution!AH67&gt;=Policy!$E$17,Policy!$C$17,IF(Solution!AH67&gt;=Policy!$E$18,Policy!$C$18))))))</f>
        <v>5</v>
      </c>
    </row>
    <row r="68" spans="1:35" x14ac:dyDescent="0.3">
      <c r="A68" s="16" t="s">
        <v>118</v>
      </c>
      <c r="B68" s="14" t="s">
        <v>3</v>
      </c>
      <c r="C68" s="15">
        <v>0</v>
      </c>
      <c r="D68" s="15">
        <v>0</v>
      </c>
      <c r="E68" s="15">
        <v>370.83</v>
      </c>
      <c r="F68" s="15">
        <v>220</v>
      </c>
      <c r="G68" s="15">
        <v>0</v>
      </c>
      <c r="H68" s="15">
        <v>586.89</v>
      </c>
      <c r="I68" s="15">
        <v>184.8</v>
      </c>
      <c r="J68" s="15">
        <v>0</v>
      </c>
      <c r="K68" s="15">
        <v>222.1</v>
      </c>
      <c r="L68" s="15">
        <v>110.54</v>
      </c>
      <c r="M68" s="15">
        <v>99.486000000000004</v>
      </c>
      <c r="N68" s="38">
        <v>121.59400000000002</v>
      </c>
      <c r="O68" s="41">
        <f t="shared" si="1"/>
        <v>1916.2399999999998</v>
      </c>
      <c r="P68" s="15">
        <f t="shared" si="2"/>
        <v>159.68666666666664</v>
      </c>
      <c r="Q68" s="42">
        <f t="shared" si="3"/>
        <v>177.03052882551768</v>
      </c>
      <c r="R68" s="44">
        <f t="shared" si="4"/>
        <v>1.1086118366729703</v>
      </c>
      <c r="S68" s="49">
        <f t="shared" si="16"/>
        <v>174.12711783222323</v>
      </c>
      <c r="T68" s="45"/>
      <c r="U68" s="46">
        <f>VLOOKUP(B68,Policy!$B$5:$J$8,9,FALSE)</f>
        <v>5.440534834623505</v>
      </c>
      <c r="V68" s="15">
        <f t="shared" si="6"/>
        <v>28.562658826024503</v>
      </c>
      <c r="W68" s="15">
        <f t="shared" si="0"/>
        <v>75.076764522296941</v>
      </c>
      <c r="X68" s="46">
        <f>VLOOKUP(B68,Policy!$B$5:$F$8,5,FALSE)</f>
        <v>1.2815515655446006</v>
      </c>
      <c r="Y68" s="47">
        <f t="shared" si="7"/>
        <v>4.7343175378026764E-2</v>
      </c>
      <c r="Z68" s="43">
        <f t="shared" si="8"/>
        <v>3.5543724295939216</v>
      </c>
      <c r="AA68" s="48">
        <f t="shared" si="9"/>
        <v>0.97958748485678915</v>
      </c>
      <c r="AB68" s="15">
        <f t="shared" si="10"/>
        <v>124.77740393559748</v>
      </c>
      <c r="AC68" s="46"/>
      <c r="AD68" s="15">
        <f t="shared" si="11"/>
        <v>96.214745109572974</v>
      </c>
      <c r="AE68" s="50">
        <f t="shared" si="12"/>
        <v>87.063558916111617</v>
      </c>
      <c r="AF68" s="52">
        <f t="shared" si="17"/>
        <v>33.167243147393584</v>
      </c>
      <c r="AG68" s="51">
        <f t="shared" si="14"/>
        <v>32</v>
      </c>
      <c r="AH68" s="43">
        <f t="shared" si="15"/>
        <v>2.8743599999999994</v>
      </c>
      <c r="AI68" s="53">
        <f>IF(AH68&gt;=Policy!$E$13,Policy!$C$13,IF(Solution!AH68&gt;=Policy!$E$14,Policy!$C$14,IF(Solution!AH68&gt;=Policy!$E$15,Policy!$C$15,IF(Solution!AH68&gt;=Policy!$E$16,Policy!$C$16,IF(Solution!AH68&gt;=Policy!$E$17,Policy!$C$17,IF(Solution!AH68&gt;=Policy!$E$18,Policy!$C$18))))))</f>
        <v>5</v>
      </c>
    </row>
    <row r="69" spans="1:35" x14ac:dyDescent="0.3">
      <c r="A69" s="16" t="s">
        <v>119</v>
      </c>
      <c r="B69" s="14" t="s">
        <v>3</v>
      </c>
      <c r="C69" s="15">
        <v>0</v>
      </c>
      <c r="D69" s="15">
        <v>161.55000000000001</v>
      </c>
      <c r="E69" s="15">
        <v>96.79</v>
      </c>
      <c r="F69" s="15">
        <v>0</v>
      </c>
      <c r="G69" s="15">
        <v>485.07</v>
      </c>
      <c r="H69" s="15">
        <v>163.05000000000001</v>
      </c>
      <c r="I69" s="15">
        <v>163.35</v>
      </c>
      <c r="J69" s="15">
        <v>131.29</v>
      </c>
      <c r="K69" s="15">
        <v>196.78</v>
      </c>
      <c r="L69" s="15">
        <v>295.32</v>
      </c>
      <c r="M69" s="15">
        <v>265.78800000000001</v>
      </c>
      <c r="N69" s="38">
        <v>324.85200000000003</v>
      </c>
      <c r="O69" s="41">
        <f t="shared" si="1"/>
        <v>2283.8399999999997</v>
      </c>
      <c r="P69" s="15">
        <f t="shared" si="2"/>
        <v>190.31999999999996</v>
      </c>
      <c r="Q69" s="42">
        <f t="shared" si="3"/>
        <v>137.74585472990731</v>
      </c>
      <c r="R69" s="44">
        <f t="shared" si="4"/>
        <v>0.72375921989232517</v>
      </c>
      <c r="S69" s="49">
        <f t="shared" si="16"/>
        <v>190.09657771974614</v>
      </c>
      <c r="T69" s="45"/>
      <c r="U69" s="46">
        <f>VLOOKUP(B69,Policy!$B$5:$J$8,9,FALSE)</f>
        <v>5.440534834623505</v>
      </c>
      <c r="V69" s="15">
        <f t="shared" si="6"/>
        <v>34.041948155360394</v>
      </c>
      <c r="W69" s="15">
        <f t="shared" si="0"/>
        <v>58.631483810888973</v>
      </c>
      <c r="X69" s="46">
        <f>VLOOKUP(B69,Policy!$B$5:$F$8,5,FALSE)</f>
        <v>1.2815515655446006</v>
      </c>
      <c r="Y69" s="47">
        <f t="shared" si="7"/>
        <v>4.7343175378026764E-2</v>
      </c>
      <c r="Z69" s="43">
        <f t="shared" si="8"/>
        <v>2.7758006207328538</v>
      </c>
      <c r="AA69" s="48">
        <f t="shared" si="9"/>
        <v>0.98539794532847858</v>
      </c>
      <c r="AB69" s="15">
        <f t="shared" si="10"/>
        <v>109.18121802340806</v>
      </c>
      <c r="AC69" s="46"/>
      <c r="AD69" s="15">
        <f t="shared" si="11"/>
        <v>75.139269868047663</v>
      </c>
      <c r="AE69" s="50">
        <f t="shared" si="12"/>
        <v>95.048288859873068</v>
      </c>
      <c r="AF69" s="52">
        <f t="shared" si="17"/>
        <v>30.380959641528019</v>
      </c>
      <c r="AG69" s="51">
        <f t="shared" si="14"/>
        <v>32</v>
      </c>
      <c r="AH69" s="43">
        <f t="shared" si="15"/>
        <v>3.4257599999999995</v>
      </c>
      <c r="AI69" s="53">
        <f>IF(AH69&gt;=Policy!$E$13,Policy!$C$13,IF(Solution!AH69&gt;=Policy!$E$14,Policy!$C$14,IF(Solution!AH69&gt;=Policy!$E$15,Policy!$C$15,IF(Solution!AH69&gt;=Policy!$E$16,Policy!$C$16,IF(Solution!AH69&gt;=Policy!$E$17,Policy!$C$17,IF(Solution!AH69&gt;=Policy!$E$18,Policy!$C$18))))))</f>
        <v>4</v>
      </c>
    </row>
    <row r="70" spans="1:35" x14ac:dyDescent="0.3">
      <c r="A70" s="16" t="s">
        <v>120</v>
      </c>
      <c r="B70" s="14" t="s">
        <v>3</v>
      </c>
      <c r="C70" s="15">
        <v>36.56</v>
      </c>
      <c r="D70" s="15">
        <v>181.85</v>
      </c>
      <c r="E70" s="15">
        <v>109.44</v>
      </c>
      <c r="F70" s="15">
        <v>182.65</v>
      </c>
      <c r="G70" s="15">
        <v>73.430000000000007</v>
      </c>
      <c r="H70" s="15">
        <v>183.13</v>
      </c>
      <c r="I70" s="15">
        <v>293.3</v>
      </c>
      <c r="J70" s="15">
        <v>256.06</v>
      </c>
      <c r="K70" s="15">
        <v>182.74</v>
      </c>
      <c r="L70" s="15">
        <v>183.26</v>
      </c>
      <c r="M70" s="15">
        <v>164.934</v>
      </c>
      <c r="N70" s="38">
        <v>201.58600000000001</v>
      </c>
      <c r="O70" s="41">
        <f t="shared" si="1"/>
        <v>2048.94</v>
      </c>
      <c r="P70" s="15">
        <f t="shared" si="2"/>
        <v>170.745</v>
      </c>
      <c r="Q70" s="42">
        <f t="shared" si="3"/>
        <v>70.862467467880109</v>
      </c>
      <c r="R70" s="44">
        <f t="shared" si="4"/>
        <v>0.41501928295341067</v>
      </c>
      <c r="S70" s="49">
        <f t="shared" ref="S70:S101" si="18">SQRT(2*$T$1*O70*(365/$Y$1)/(($T$3+$T$4)*$T$2))</f>
        <v>180.0553712302434</v>
      </c>
      <c r="T70" s="45"/>
      <c r="U70" s="46">
        <f>VLOOKUP(B70,Policy!$B$5:$J$8,9,FALSE)</f>
        <v>5.440534834623505</v>
      </c>
      <c r="V70" s="15">
        <f t="shared" ref="V70:V133" si="19">(O70/$Y$1)*U70</f>
        <v>30.540628613845165</v>
      </c>
      <c r="W70" s="15">
        <f t="shared" ref="W70:W133" si="20">SQRT($Q$1*(Q70/SQRT($Y$2))^2+(O70/$Y$1)^2*($Q$2)^2)</f>
        <v>30.552700642923487</v>
      </c>
      <c r="X70" s="46">
        <f>VLOOKUP(B70,Policy!$B$5:$F$8,5,FALSE)</f>
        <v>1.2815515655446006</v>
      </c>
      <c r="Y70" s="47">
        <f t="shared" si="7"/>
        <v>4.7343175378026764E-2</v>
      </c>
      <c r="Z70" s="43">
        <f t="shared" si="8"/>
        <v>1.4464618648102776</v>
      </c>
      <c r="AA70" s="48">
        <f t="shared" si="9"/>
        <v>0.9919665719776799</v>
      </c>
      <c r="AB70" s="15">
        <f t="shared" si="10"/>
        <v>69.695489954399278</v>
      </c>
      <c r="AC70" s="46"/>
      <c r="AD70" s="15">
        <f t="shared" si="11"/>
        <v>39.15486134055412</v>
      </c>
      <c r="AE70" s="50">
        <f t="shared" ref="AE70:AE133" si="21">IF(B70="C",(T70/2),(S70/2))</f>
        <v>90.027685615121698</v>
      </c>
      <c r="AF70" s="52">
        <f t="shared" ref="AF70:AF101" si="22">S70/(O70/$Y$1)</f>
        <v>32.075224505861001</v>
      </c>
      <c r="AG70" s="51">
        <f t="shared" si="14"/>
        <v>32</v>
      </c>
      <c r="AH70" s="43">
        <f t="shared" si="15"/>
        <v>3.07341</v>
      </c>
      <c r="AI70" s="53">
        <f>IF(AH70&gt;=Policy!$E$13,Policy!$C$13,IF(Solution!AH70&gt;=Policy!$E$14,Policy!$C$14,IF(Solution!AH70&gt;=Policy!$E$15,Policy!$C$15,IF(Solution!AH70&gt;=Policy!$E$16,Policy!$C$16,IF(Solution!AH70&gt;=Policy!$E$17,Policy!$C$17,IF(Solution!AH70&gt;=Policy!$E$18,Policy!$C$18))))))</f>
        <v>5</v>
      </c>
    </row>
    <row r="71" spans="1:35" x14ac:dyDescent="0.3">
      <c r="A71" s="16" t="s">
        <v>121</v>
      </c>
      <c r="B71" s="14" t="s">
        <v>3</v>
      </c>
      <c r="C71" s="15">
        <v>0</v>
      </c>
      <c r="D71" s="15">
        <v>120.98</v>
      </c>
      <c r="E71" s="15">
        <v>30.19</v>
      </c>
      <c r="F71" s="15">
        <v>151.47999999999999</v>
      </c>
      <c r="G71" s="15">
        <v>241.48</v>
      </c>
      <c r="H71" s="15">
        <v>271.25</v>
      </c>
      <c r="I71" s="15">
        <v>151.53</v>
      </c>
      <c r="J71" s="15">
        <v>484.86</v>
      </c>
      <c r="K71" s="15">
        <v>120.65</v>
      </c>
      <c r="L71" s="15">
        <v>60.26</v>
      </c>
      <c r="M71" s="15">
        <v>54.234000000000002</v>
      </c>
      <c r="N71" s="38">
        <v>66.286000000000001</v>
      </c>
      <c r="O71" s="41">
        <f t="shared" ref="O71:O134" si="23">SUM(C71:N71)</f>
        <v>1753.2</v>
      </c>
      <c r="P71" s="15">
        <f t="shared" ref="P71:P134" si="24">AVERAGE(C71:N71)</f>
        <v>146.1</v>
      </c>
      <c r="Q71" s="42">
        <f t="shared" ref="Q71:Q134" si="25">STDEV(C71:N71)</f>
        <v>134.10099008244089</v>
      </c>
      <c r="R71" s="44">
        <f t="shared" ref="R71:R134" si="26">Q71/P71</f>
        <v>0.91787125313101225</v>
      </c>
      <c r="S71" s="49">
        <f t="shared" si="18"/>
        <v>166.55481478814693</v>
      </c>
      <c r="T71" s="45"/>
      <c r="U71" s="46">
        <f>VLOOKUP(B71,Policy!$B$5:$J$8,9,FALSE)</f>
        <v>5.440534834623505</v>
      </c>
      <c r="V71" s="15">
        <f t="shared" si="19"/>
        <v>26.132453896060078</v>
      </c>
      <c r="W71" s="15">
        <f t="shared" si="20"/>
        <v>56.942201148119047</v>
      </c>
      <c r="X71" s="46">
        <f>VLOOKUP(B71,Policy!$B$5:$F$8,5,FALSE)</f>
        <v>1.2815515655446006</v>
      </c>
      <c r="Y71" s="47">
        <f t="shared" ref="Y71:Y134" si="27">_xlfn.NORM.DIST(X71,0,1,0)-X71*(1-_xlfn.NORM.DIST(X71,0,1,1))</f>
        <v>4.7343175378026764E-2</v>
      </c>
      <c r="Z71" s="43">
        <f t="shared" ref="Z71:Z134" si="28">W71*Y71</f>
        <v>2.695824615366277</v>
      </c>
      <c r="AA71" s="48">
        <f t="shared" ref="AA71:AA129" si="29">1-Z71/S71</f>
        <v>0.98381418982816382</v>
      </c>
      <c r="AB71" s="15">
        <f t="shared" ref="AB71:AB129" si="30">V71+X71*W71</f>
        <v>99.106820922987595</v>
      </c>
      <c r="AC71" s="46"/>
      <c r="AD71" s="15">
        <f t="shared" ref="AD71:AD134" si="31">+X71*W71</f>
        <v>72.974367026927524</v>
      </c>
      <c r="AE71" s="50">
        <f t="shared" si="21"/>
        <v>83.277407394073464</v>
      </c>
      <c r="AF71" s="52">
        <f t="shared" si="22"/>
        <v>34.675169631344758</v>
      </c>
      <c r="AG71" s="51">
        <f t="shared" ref="AG71:AG134" si="32">2^ROUNDUP((LN(AF71/SQRT(2))/LN(2)),0)</f>
        <v>32</v>
      </c>
      <c r="AH71" s="43">
        <f t="shared" si="15"/>
        <v>2.6297999999999999</v>
      </c>
      <c r="AI71" s="53">
        <f>IF(AH71&gt;=Policy!$E$13,Policy!$C$13,IF(Solution!AH71&gt;=Policy!$E$14,Policy!$C$14,IF(Solution!AH71&gt;=Policy!$E$15,Policy!$C$15,IF(Solution!AH71&gt;=Policy!$E$16,Policy!$C$16,IF(Solution!AH71&gt;=Policy!$E$17,Policy!$C$17,IF(Solution!AH71&gt;=Policy!$E$18,Policy!$C$18))))))</f>
        <v>5</v>
      </c>
    </row>
    <row r="72" spans="1:35" x14ac:dyDescent="0.3">
      <c r="A72" s="16" t="s">
        <v>122</v>
      </c>
      <c r="B72" s="14" t="s">
        <v>3</v>
      </c>
      <c r="C72" s="15">
        <v>0</v>
      </c>
      <c r="D72" s="15">
        <v>0</v>
      </c>
      <c r="E72" s="15">
        <v>0</v>
      </c>
      <c r="F72" s="15">
        <v>570.4</v>
      </c>
      <c r="G72" s="15">
        <v>684.3</v>
      </c>
      <c r="H72" s="15">
        <v>245.64</v>
      </c>
      <c r="I72" s="15">
        <v>0</v>
      </c>
      <c r="J72" s="15">
        <v>0</v>
      </c>
      <c r="K72" s="15">
        <v>0</v>
      </c>
      <c r="L72" s="15">
        <v>123.41</v>
      </c>
      <c r="M72" s="15">
        <v>111.069</v>
      </c>
      <c r="N72" s="38">
        <v>135.751</v>
      </c>
      <c r="O72" s="41">
        <f t="shared" si="23"/>
        <v>1870.5699999999997</v>
      </c>
      <c r="P72" s="15">
        <f t="shared" si="24"/>
        <v>155.8808333333333</v>
      </c>
      <c r="Q72" s="42">
        <f t="shared" si="25"/>
        <v>235.17311497039537</v>
      </c>
      <c r="R72" s="44">
        <f t="shared" si="26"/>
        <v>1.5086724258620341</v>
      </c>
      <c r="S72" s="49">
        <f t="shared" si="18"/>
        <v>172.03960759743228</v>
      </c>
      <c r="T72" s="45"/>
      <c r="U72" s="46">
        <f>VLOOKUP(B72,Policy!$B$5:$J$8,9,FALSE)</f>
        <v>5.440534834623505</v>
      </c>
      <c r="V72" s="15">
        <f t="shared" si="19"/>
        <v>27.881921220826541</v>
      </c>
      <c r="W72" s="15">
        <f t="shared" si="20"/>
        <v>99.608713019425835</v>
      </c>
      <c r="X72" s="46">
        <f>VLOOKUP(B72,Policy!$B$5:$F$8,5,FALSE)</f>
        <v>1.2815515655446006</v>
      </c>
      <c r="Y72" s="47">
        <f t="shared" si="27"/>
        <v>4.7343175378026764E-2</v>
      </c>
      <c r="Z72" s="43">
        <f t="shared" si="28"/>
        <v>4.7157927696582149</v>
      </c>
      <c r="AA72" s="48">
        <f t="shared" si="29"/>
        <v>0.97258891231202393</v>
      </c>
      <c r="AB72" s="15">
        <f t="shared" si="30"/>
        <v>155.53562333275454</v>
      </c>
      <c r="AC72" s="46"/>
      <c r="AD72" s="15">
        <f t="shared" si="31"/>
        <v>127.65370211192801</v>
      </c>
      <c r="AE72" s="50">
        <f t="shared" si="21"/>
        <v>86.01980379871614</v>
      </c>
      <c r="AF72" s="52">
        <f t="shared" si="22"/>
        <v>33.569690935416901</v>
      </c>
      <c r="AG72" s="51">
        <f t="shared" si="32"/>
        <v>32</v>
      </c>
      <c r="AH72" s="43">
        <f t="shared" ref="AH72:AH135" si="33">O72*$T$3/10^5</f>
        <v>2.8058549999999993</v>
      </c>
      <c r="AI72" s="53">
        <f>IF(AH72&gt;=Policy!$E$13,Policy!$C$13,IF(Solution!AH72&gt;=Policy!$E$14,Policy!$C$14,IF(Solution!AH72&gt;=Policy!$E$15,Policy!$C$15,IF(Solution!AH72&gt;=Policy!$E$16,Policy!$C$16,IF(Solution!AH72&gt;=Policy!$E$17,Policy!$C$17,IF(Solution!AH72&gt;=Policy!$E$18,Policy!$C$18))))))</f>
        <v>5</v>
      </c>
    </row>
    <row r="73" spans="1:35" x14ac:dyDescent="0.3">
      <c r="A73" s="16" t="s">
        <v>123</v>
      </c>
      <c r="B73" s="14" t="s">
        <v>3</v>
      </c>
      <c r="C73" s="15">
        <v>508.3</v>
      </c>
      <c r="D73" s="15">
        <v>847.19</v>
      </c>
      <c r="E73" s="15">
        <v>0</v>
      </c>
      <c r="F73" s="15">
        <v>0</v>
      </c>
      <c r="G73" s="15">
        <v>169.41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38">
        <v>0</v>
      </c>
      <c r="O73" s="41">
        <f t="shared" si="23"/>
        <v>1524.9</v>
      </c>
      <c r="P73" s="15">
        <f t="shared" si="24"/>
        <v>127.075</v>
      </c>
      <c r="Q73" s="42">
        <f t="shared" si="25"/>
        <v>271.53149268212303</v>
      </c>
      <c r="R73" s="44">
        <f t="shared" si="26"/>
        <v>2.1367813707033094</v>
      </c>
      <c r="S73" s="49">
        <f t="shared" si="18"/>
        <v>155.33243240534804</v>
      </c>
      <c r="T73" s="45"/>
      <c r="U73" s="46">
        <f>VLOOKUP(B73,Policy!$B$5:$J$8,9,FALSE)</f>
        <v>5.440534834623505</v>
      </c>
      <c r="V73" s="15">
        <f t="shared" si="19"/>
        <v>22.729511148814748</v>
      </c>
      <c r="W73" s="15">
        <f t="shared" si="20"/>
        <v>114.92296058595716</v>
      </c>
      <c r="X73" s="46">
        <f>VLOOKUP(B73,Policy!$B$5:$F$8,5,FALSE)</f>
        <v>1.2815515655446006</v>
      </c>
      <c r="Y73" s="47">
        <f t="shared" si="27"/>
        <v>4.7343175378026764E-2</v>
      </c>
      <c r="Z73" s="43">
        <f t="shared" si="28"/>
        <v>5.4408178779830267</v>
      </c>
      <c r="AA73" s="48">
        <f t="shared" si="29"/>
        <v>0.96497307230865392</v>
      </c>
      <c r="AB73" s="15">
        <f t="shared" si="30"/>
        <v>170.00921120476855</v>
      </c>
      <c r="AC73" s="46"/>
      <c r="AD73" s="15">
        <f t="shared" si="31"/>
        <v>147.27970005595381</v>
      </c>
      <c r="AE73" s="50">
        <f t="shared" si="21"/>
        <v>77.666216202674022</v>
      </c>
      <c r="AF73" s="52">
        <f t="shared" si="22"/>
        <v>37.180364501247318</v>
      </c>
      <c r="AG73" s="51">
        <f t="shared" si="32"/>
        <v>32</v>
      </c>
      <c r="AH73" s="43">
        <f t="shared" si="33"/>
        <v>2.28735</v>
      </c>
      <c r="AI73" s="53">
        <f>IF(AH73&gt;=Policy!$E$13,Policy!$C$13,IF(Solution!AH73&gt;=Policy!$E$14,Policy!$C$14,IF(Solution!AH73&gt;=Policy!$E$15,Policy!$C$15,IF(Solution!AH73&gt;=Policy!$E$16,Policy!$C$16,IF(Solution!AH73&gt;=Policy!$E$17,Policy!$C$17,IF(Solution!AH73&gt;=Policy!$E$18,Policy!$C$18))))))</f>
        <v>5</v>
      </c>
    </row>
    <row r="74" spans="1:35" x14ac:dyDescent="0.3">
      <c r="A74" s="16" t="s">
        <v>124</v>
      </c>
      <c r="B74" s="14" t="s">
        <v>3</v>
      </c>
      <c r="C74" s="15">
        <v>0</v>
      </c>
      <c r="D74" s="15">
        <v>0</v>
      </c>
      <c r="E74" s="15">
        <v>146.05000000000001</v>
      </c>
      <c r="F74" s="15">
        <v>121.84</v>
      </c>
      <c r="G74" s="15">
        <v>182.27</v>
      </c>
      <c r="H74" s="15">
        <v>109.23</v>
      </c>
      <c r="I74" s="15">
        <v>183.16</v>
      </c>
      <c r="J74" s="15">
        <v>146.54</v>
      </c>
      <c r="K74" s="15">
        <v>267.89999999999998</v>
      </c>
      <c r="L74" s="15">
        <v>363.89</v>
      </c>
      <c r="M74" s="15">
        <v>327.50099999999998</v>
      </c>
      <c r="N74" s="38">
        <v>400.279</v>
      </c>
      <c r="O74" s="41">
        <f t="shared" si="23"/>
        <v>2248.66</v>
      </c>
      <c r="P74" s="15">
        <f t="shared" si="24"/>
        <v>187.38833333333332</v>
      </c>
      <c r="Q74" s="42">
        <f t="shared" si="25"/>
        <v>130.26007774960573</v>
      </c>
      <c r="R74" s="44">
        <f t="shared" si="26"/>
        <v>0.69513440582180896</v>
      </c>
      <c r="S74" s="49">
        <f t="shared" si="18"/>
        <v>188.6267830694762</v>
      </c>
      <c r="T74" s="45"/>
      <c r="U74" s="46">
        <f>VLOOKUP(B74,Policy!$B$5:$J$8,9,FALSE)</f>
        <v>5.440534834623505</v>
      </c>
      <c r="V74" s="15">
        <f t="shared" si="19"/>
        <v>33.517570030752026</v>
      </c>
      <c r="W74" s="15">
        <f t="shared" si="20"/>
        <v>55.474876598237344</v>
      </c>
      <c r="X74" s="46">
        <f>VLOOKUP(B74,Policy!$B$5:$F$8,5,FALSE)</f>
        <v>1.2815515655446006</v>
      </c>
      <c r="Y74" s="47">
        <f t="shared" si="27"/>
        <v>4.7343175378026764E-2</v>
      </c>
      <c r="Z74" s="43">
        <f t="shared" si="28"/>
        <v>2.6263568118647433</v>
      </c>
      <c r="AA74" s="48">
        <f t="shared" si="29"/>
        <v>0.98607643745428564</v>
      </c>
      <c r="AB74" s="15">
        <f t="shared" si="30"/>
        <v>104.61148498361662</v>
      </c>
      <c r="AC74" s="46"/>
      <c r="AD74" s="15">
        <f t="shared" si="31"/>
        <v>71.093914952864594</v>
      </c>
      <c r="AE74" s="50">
        <f t="shared" si="21"/>
        <v>94.313391534738102</v>
      </c>
      <c r="AF74" s="52">
        <f t="shared" si="22"/>
        <v>30.617690455808713</v>
      </c>
      <c r="AG74" s="51">
        <f t="shared" si="32"/>
        <v>32</v>
      </c>
      <c r="AH74" s="43">
        <f t="shared" si="33"/>
        <v>3.3729900000000002</v>
      </c>
      <c r="AI74" s="53">
        <f>IF(AH74&gt;=Policy!$E$13,Policy!$C$13,IF(Solution!AH74&gt;=Policy!$E$14,Policy!$C$14,IF(Solution!AH74&gt;=Policy!$E$15,Policy!$C$15,IF(Solution!AH74&gt;=Policy!$E$16,Policy!$C$16,IF(Solution!AH74&gt;=Policy!$E$17,Policy!$C$17,IF(Solution!AH74&gt;=Policy!$E$18,Policy!$C$18))))))</f>
        <v>5</v>
      </c>
    </row>
    <row r="75" spans="1:35" x14ac:dyDescent="0.3">
      <c r="A75" s="16" t="s">
        <v>125</v>
      </c>
      <c r="B75" s="14" t="s">
        <v>3</v>
      </c>
      <c r="C75" s="15">
        <v>424.32</v>
      </c>
      <c r="D75" s="15">
        <v>0</v>
      </c>
      <c r="E75" s="15">
        <v>280.43</v>
      </c>
      <c r="F75" s="15">
        <v>168.35</v>
      </c>
      <c r="G75" s="15">
        <v>0</v>
      </c>
      <c r="H75" s="15">
        <v>0</v>
      </c>
      <c r="I75" s="15">
        <v>122.41</v>
      </c>
      <c r="J75" s="15">
        <v>56.3</v>
      </c>
      <c r="K75" s="15">
        <v>392.33</v>
      </c>
      <c r="L75" s="15">
        <v>0</v>
      </c>
      <c r="M75" s="15">
        <v>0</v>
      </c>
      <c r="N75" s="38">
        <v>0</v>
      </c>
      <c r="O75" s="41">
        <f t="shared" si="23"/>
        <v>1444.1399999999999</v>
      </c>
      <c r="P75" s="15">
        <f t="shared" si="24"/>
        <v>120.34499999999998</v>
      </c>
      <c r="Q75" s="42">
        <f t="shared" si="25"/>
        <v>161.05105585158108</v>
      </c>
      <c r="R75" s="44">
        <f t="shared" si="26"/>
        <v>1.3382446786454036</v>
      </c>
      <c r="S75" s="49">
        <f t="shared" si="18"/>
        <v>151.16321131709327</v>
      </c>
      <c r="T75" s="45"/>
      <c r="U75" s="46">
        <f>VLOOKUP(B75,Policy!$B$5:$J$8,9,FALSE)</f>
        <v>5.440534834623505</v>
      </c>
      <c r="V75" s="15">
        <f t="shared" si="19"/>
        <v>21.525736920748461</v>
      </c>
      <c r="W75" s="15">
        <f t="shared" si="20"/>
        <v>68.241342109332692</v>
      </c>
      <c r="X75" s="46">
        <f>VLOOKUP(B75,Policy!$B$5:$F$8,5,FALSE)</f>
        <v>1.2815515655446006</v>
      </c>
      <c r="Y75" s="47">
        <f t="shared" si="27"/>
        <v>4.7343175378026764E-2</v>
      </c>
      <c r="Z75" s="43">
        <f t="shared" si="28"/>
        <v>3.2307618275140606</v>
      </c>
      <c r="AA75" s="48">
        <f t="shared" si="29"/>
        <v>0.9786273273810191</v>
      </c>
      <c r="AB75" s="15">
        <f t="shared" si="30"/>
        <v>108.98053573582844</v>
      </c>
      <c r="AC75" s="46"/>
      <c r="AD75" s="15">
        <f t="shared" si="31"/>
        <v>87.454798815079982</v>
      </c>
      <c r="AE75" s="50">
        <f t="shared" si="21"/>
        <v>75.581605658546636</v>
      </c>
      <c r="AF75" s="52">
        <f t="shared" si="22"/>
        <v>38.205833319996017</v>
      </c>
      <c r="AG75" s="51">
        <f t="shared" si="32"/>
        <v>32</v>
      </c>
      <c r="AH75" s="43">
        <f t="shared" si="33"/>
        <v>2.1662099999999995</v>
      </c>
      <c r="AI75" s="53">
        <f>IF(AH75&gt;=Policy!$E$13,Policy!$C$13,IF(Solution!AH75&gt;=Policy!$E$14,Policy!$C$14,IF(Solution!AH75&gt;=Policy!$E$15,Policy!$C$15,IF(Solution!AH75&gt;=Policy!$E$16,Policy!$C$16,IF(Solution!AH75&gt;=Policy!$E$17,Policy!$C$17,IF(Solution!AH75&gt;=Policy!$E$18,Policy!$C$18))))))</f>
        <v>6</v>
      </c>
    </row>
    <row r="76" spans="1:35" x14ac:dyDescent="0.3">
      <c r="A76" s="16" t="s">
        <v>126</v>
      </c>
      <c r="B76" s="14" t="s">
        <v>3</v>
      </c>
      <c r="C76" s="15">
        <v>534.27</v>
      </c>
      <c r="D76" s="15">
        <v>417.44</v>
      </c>
      <c r="E76" s="15">
        <v>0</v>
      </c>
      <c r="F76" s="15">
        <v>277.01</v>
      </c>
      <c r="G76" s="15">
        <v>0</v>
      </c>
      <c r="H76" s="15">
        <v>0</v>
      </c>
      <c r="I76" s="15">
        <v>0</v>
      </c>
      <c r="J76" s="15">
        <v>0</v>
      </c>
      <c r="K76" s="15">
        <v>138.85</v>
      </c>
      <c r="L76" s="15">
        <v>69.45</v>
      </c>
      <c r="M76" s="15">
        <v>62.505000000000003</v>
      </c>
      <c r="N76" s="38">
        <v>76.39500000000001</v>
      </c>
      <c r="O76" s="41">
        <f t="shared" si="23"/>
        <v>1575.92</v>
      </c>
      <c r="P76" s="15">
        <f t="shared" si="24"/>
        <v>131.32666666666668</v>
      </c>
      <c r="Q76" s="42">
        <f t="shared" si="25"/>
        <v>181.73919928309519</v>
      </c>
      <c r="R76" s="44">
        <f t="shared" si="26"/>
        <v>1.3838712570416911</v>
      </c>
      <c r="S76" s="49">
        <f t="shared" si="18"/>
        <v>157.90960400803581</v>
      </c>
      <c r="T76" s="45"/>
      <c r="U76" s="46">
        <f>VLOOKUP(B76,Policy!$B$5:$J$8,9,FALSE)</f>
        <v>5.440534834623505</v>
      </c>
      <c r="V76" s="15">
        <f t="shared" si="19"/>
        <v>23.489993579670891</v>
      </c>
      <c r="W76" s="15">
        <f t="shared" si="20"/>
        <v>76.998022642930991</v>
      </c>
      <c r="X76" s="46">
        <f>VLOOKUP(B76,Policy!$B$5:$F$8,5,FALSE)</f>
        <v>1.2815515655446006</v>
      </c>
      <c r="Y76" s="47">
        <f t="shared" si="27"/>
        <v>4.7343175378026764E-2</v>
      </c>
      <c r="Z76" s="43">
        <f t="shared" si="28"/>
        <v>3.6453308897455576</v>
      </c>
      <c r="AA76" s="48">
        <f t="shared" si="29"/>
        <v>0.97691507801159416</v>
      </c>
      <c r="AB76" s="15">
        <f t="shared" si="30"/>
        <v>122.16693004155771</v>
      </c>
      <c r="AC76" s="46"/>
      <c r="AD76" s="15">
        <f t="shared" si="31"/>
        <v>98.676936461886811</v>
      </c>
      <c r="AE76" s="50">
        <f t="shared" si="21"/>
        <v>78.954802004017907</v>
      </c>
      <c r="AF76" s="52">
        <f t="shared" si="22"/>
        <v>36.573560499856001</v>
      </c>
      <c r="AG76" s="51">
        <f t="shared" si="32"/>
        <v>32</v>
      </c>
      <c r="AH76" s="43">
        <f t="shared" si="33"/>
        <v>2.36388</v>
      </c>
      <c r="AI76" s="53">
        <f>IF(AH76&gt;=Policy!$E$13,Policy!$C$13,IF(Solution!AH76&gt;=Policy!$E$14,Policy!$C$14,IF(Solution!AH76&gt;=Policy!$E$15,Policy!$C$15,IF(Solution!AH76&gt;=Policy!$E$16,Policy!$C$16,IF(Solution!AH76&gt;=Policy!$E$17,Policy!$C$17,IF(Solution!AH76&gt;=Policy!$E$18,Policy!$C$18))))))</f>
        <v>5</v>
      </c>
    </row>
    <row r="77" spans="1:35" x14ac:dyDescent="0.3">
      <c r="A77" s="16" t="s">
        <v>127</v>
      </c>
      <c r="B77" s="14" t="s">
        <v>3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332.15</v>
      </c>
      <c r="K77" s="15">
        <v>491.26</v>
      </c>
      <c r="L77" s="15">
        <v>591.02</v>
      </c>
      <c r="M77" s="15">
        <v>531.91800000000001</v>
      </c>
      <c r="N77" s="38">
        <v>650.12200000000007</v>
      </c>
      <c r="O77" s="41">
        <f t="shared" si="23"/>
        <v>2596.4700000000003</v>
      </c>
      <c r="P77" s="15">
        <f t="shared" si="24"/>
        <v>216.37250000000003</v>
      </c>
      <c r="Q77" s="42">
        <f t="shared" si="25"/>
        <v>277.12080054357</v>
      </c>
      <c r="R77" s="44">
        <f t="shared" si="26"/>
        <v>1.2807579546549122</v>
      </c>
      <c r="S77" s="49">
        <f t="shared" si="18"/>
        <v>202.69036996352187</v>
      </c>
      <c r="T77" s="45"/>
      <c r="U77" s="46">
        <f>VLOOKUP(B77,Policy!$B$5:$J$8,9,FALSE)</f>
        <v>5.440534834623505</v>
      </c>
      <c r="V77" s="15">
        <f t="shared" si="19"/>
        <v>38.701878033027107</v>
      </c>
      <c r="W77" s="15">
        <f t="shared" si="20"/>
        <v>117.44326720397282</v>
      </c>
      <c r="X77" s="46">
        <f>VLOOKUP(B77,Policy!$B$5:$F$8,5,FALSE)</f>
        <v>1.2815515655446006</v>
      </c>
      <c r="Y77" s="47">
        <f t="shared" si="27"/>
        <v>4.7343175378026764E-2</v>
      </c>
      <c r="Z77" s="43">
        <f t="shared" si="28"/>
        <v>5.5601371962061439</v>
      </c>
      <c r="AA77" s="48">
        <f t="shared" si="29"/>
        <v>0.97256832084717793</v>
      </c>
      <c r="AB77" s="15">
        <f t="shared" si="30"/>
        <v>189.21148098095131</v>
      </c>
      <c r="AC77" s="46"/>
      <c r="AD77" s="15">
        <f t="shared" si="31"/>
        <v>150.50960294792421</v>
      </c>
      <c r="AE77" s="50">
        <f t="shared" si="21"/>
        <v>101.34518498176094</v>
      </c>
      <c r="AF77" s="52">
        <f t="shared" si="22"/>
        <v>28.493294756606268</v>
      </c>
      <c r="AG77" s="51">
        <f t="shared" si="32"/>
        <v>32</v>
      </c>
      <c r="AH77" s="43">
        <f t="shared" si="33"/>
        <v>3.8947050000000005</v>
      </c>
      <c r="AI77" s="53">
        <f>IF(AH77&gt;=Policy!$E$13,Policy!$C$13,IF(Solution!AH77&gt;=Policy!$E$14,Policy!$C$14,IF(Solution!AH77&gt;=Policy!$E$15,Policy!$C$15,IF(Solution!AH77&gt;=Policy!$E$16,Policy!$C$16,IF(Solution!AH77&gt;=Policy!$E$17,Policy!$C$17,IF(Solution!AH77&gt;=Policy!$E$18,Policy!$C$18))))))</f>
        <v>4</v>
      </c>
    </row>
    <row r="78" spans="1:35" x14ac:dyDescent="0.3">
      <c r="A78" s="16" t="s">
        <v>128</v>
      </c>
      <c r="B78" s="14" t="s">
        <v>3</v>
      </c>
      <c r="C78" s="15">
        <v>0</v>
      </c>
      <c r="D78" s="15">
        <v>137.96</v>
      </c>
      <c r="E78" s="15">
        <v>0</v>
      </c>
      <c r="F78" s="15">
        <v>353.99</v>
      </c>
      <c r="G78" s="15">
        <v>272.77</v>
      </c>
      <c r="H78" s="15">
        <v>136.63</v>
      </c>
      <c r="I78" s="15">
        <v>102.49</v>
      </c>
      <c r="J78" s="15">
        <v>0</v>
      </c>
      <c r="K78" s="15">
        <v>136.58000000000001</v>
      </c>
      <c r="L78" s="15">
        <v>272.87</v>
      </c>
      <c r="M78" s="15">
        <v>245.583</v>
      </c>
      <c r="N78" s="38">
        <v>300.15700000000004</v>
      </c>
      <c r="O78" s="41">
        <f t="shared" si="23"/>
        <v>1959.0300000000002</v>
      </c>
      <c r="P78" s="15">
        <f t="shared" si="24"/>
        <v>163.25250000000003</v>
      </c>
      <c r="Q78" s="42">
        <f t="shared" si="25"/>
        <v>124.90655938922718</v>
      </c>
      <c r="R78" s="44">
        <f t="shared" si="26"/>
        <v>0.76511268978562141</v>
      </c>
      <c r="S78" s="49">
        <f t="shared" si="18"/>
        <v>176.06052972367851</v>
      </c>
      <c r="T78" s="45"/>
      <c r="U78" s="46">
        <f>VLOOKUP(B78,Policy!$B$5:$J$8,9,FALSE)</f>
        <v>5.440534834623505</v>
      </c>
      <c r="V78" s="15">
        <f t="shared" si="19"/>
        <v>29.200468375541057</v>
      </c>
      <c r="W78" s="15">
        <f t="shared" si="20"/>
        <v>53.130769533344946</v>
      </c>
      <c r="X78" s="46">
        <f>VLOOKUP(B78,Policy!$B$5:$F$8,5,FALSE)</f>
        <v>1.2815515655446006</v>
      </c>
      <c r="Y78" s="47">
        <f t="shared" si="27"/>
        <v>4.7343175378026764E-2</v>
      </c>
      <c r="Z78" s="43">
        <f t="shared" si="28"/>
        <v>2.5153793399866711</v>
      </c>
      <c r="AA78" s="48">
        <f t="shared" si="29"/>
        <v>0.98571298550598208</v>
      </c>
      <c r="AB78" s="15">
        <f t="shared" si="30"/>
        <v>97.290289249588653</v>
      </c>
      <c r="AC78" s="46"/>
      <c r="AD78" s="15">
        <f t="shared" si="31"/>
        <v>68.089820874047589</v>
      </c>
      <c r="AE78" s="50">
        <f t="shared" si="21"/>
        <v>88.030264861839257</v>
      </c>
      <c r="AF78" s="52">
        <f t="shared" si="22"/>
        <v>32.803016466895684</v>
      </c>
      <c r="AG78" s="51">
        <f t="shared" si="32"/>
        <v>32</v>
      </c>
      <c r="AH78" s="43">
        <f t="shared" si="33"/>
        <v>2.9385450000000004</v>
      </c>
      <c r="AI78" s="53">
        <f>IF(AH78&gt;=Policy!$E$13,Policy!$C$13,IF(Solution!AH78&gt;=Policy!$E$14,Policy!$C$14,IF(Solution!AH78&gt;=Policy!$E$15,Policy!$C$15,IF(Solution!AH78&gt;=Policy!$E$16,Policy!$C$16,IF(Solution!AH78&gt;=Policy!$E$17,Policy!$C$17,IF(Solution!AH78&gt;=Policy!$E$18,Policy!$C$18))))))</f>
        <v>5</v>
      </c>
    </row>
    <row r="79" spans="1:35" x14ac:dyDescent="0.3">
      <c r="A79" s="16" t="s">
        <v>129</v>
      </c>
      <c r="B79" s="14" t="s">
        <v>3</v>
      </c>
      <c r="C79" s="15">
        <v>143.24</v>
      </c>
      <c r="D79" s="15">
        <v>107.19</v>
      </c>
      <c r="E79" s="15">
        <v>177.48</v>
      </c>
      <c r="F79" s="15">
        <v>35.71</v>
      </c>
      <c r="G79" s="15">
        <v>107.11</v>
      </c>
      <c r="H79" s="15">
        <v>249.24</v>
      </c>
      <c r="I79" s="15">
        <v>250.33</v>
      </c>
      <c r="J79" s="15">
        <v>141.96</v>
      </c>
      <c r="K79" s="15">
        <v>70.64</v>
      </c>
      <c r="L79" s="15">
        <v>106.06</v>
      </c>
      <c r="M79" s="15">
        <v>95.454000000000008</v>
      </c>
      <c r="N79" s="38">
        <v>116.66600000000001</v>
      </c>
      <c r="O79" s="41">
        <f t="shared" si="23"/>
        <v>1601.08</v>
      </c>
      <c r="P79" s="15">
        <f t="shared" si="24"/>
        <v>133.42333333333332</v>
      </c>
      <c r="Q79" s="42">
        <f t="shared" si="25"/>
        <v>65.040094444375882</v>
      </c>
      <c r="R79" s="44">
        <f t="shared" si="26"/>
        <v>0.48747166495897187</v>
      </c>
      <c r="S79" s="49">
        <f t="shared" si="18"/>
        <v>159.16514789299026</v>
      </c>
      <c r="T79" s="45"/>
      <c r="U79" s="46">
        <f>VLOOKUP(B79,Policy!$B$5:$J$8,9,FALSE)</f>
        <v>5.440534834623505</v>
      </c>
      <c r="V79" s="15">
        <f t="shared" si="19"/>
        <v>23.865017843887674</v>
      </c>
      <c r="W79" s="15">
        <f t="shared" si="20"/>
        <v>27.896118362844376</v>
      </c>
      <c r="X79" s="46">
        <f>VLOOKUP(B79,Policy!$B$5:$F$8,5,FALSE)</f>
        <v>1.2815515655446006</v>
      </c>
      <c r="Y79" s="47">
        <f t="shared" si="27"/>
        <v>4.7343175378026764E-2</v>
      </c>
      <c r="Z79" s="43">
        <f t="shared" si="28"/>
        <v>1.3206908240183342</v>
      </c>
      <c r="AA79" s="48">
        <f t="shared" si="29"/>
        <v>0.99170238685100676</v>
      </c>
      <c r="AB79" s="15">
        <f t="shared" si="30"/>
        <v>59.615332004408359</v>
      </c>
      <c r="AC79" s="46"/>
      <c r="AD79" s="15">
        <f t="shared" si="31"/>
        <v>35.750314160520688</v>
      </c>
      <c r="AE79" s="50">
        <f t="shared" si="21"/>
        <v>79.582573946495131</v>
      </c>
      <c r="AF79" s="52">
        <f t="shared" si="22"/>
        <v>36.285056949647391</v>
      </c>
      <c r="AG79" s="51">
        <f t="shared" si="32"/>
        <v>32</v>
      </c>
      <c r="AH79" s="43">
        <f t="shared" si="33"/>
        <v>2.4016199999999999</v>
      </c>
      <c r="AI79" s="53">
        <f>IF(AH79&gt;=Policy!$E$13,Policy!$C$13,IF(Solution!AH79&gt;=Policy!$E$14,Policy!$C$14,IF(Solution!AH79&gt;=Policy!$E$15,Policy!$C$15,IF(Solution!AH79&gt;=Policy!$E$16,Policy!$C$16,IF(Solution!AH79&gt;=Policy!$E$17,Policy!$C$17,IF(Solution!AH79&gt;=Policy!$E$18,Policy!$C$18))))))</f>
        <v>5</v>
      </c>
    </row>
    <row r="80" spans="1:35" x14ac:dyDescent="0.3">
      <c r="A80" s="16" t="s">
        <v>130</v>
      </c>
      <c r="B80" s="14" t="s">
        <v>3</v>
      </c>
      <c r="C80" s="15">
        <v>0</v>
      </c>
      <c r="D80" s="15">
        <v>0</v>
      </c>
      <c r="E80" s="15">
        <v>0</v>
      </c>
      <c r="F80" s="15">
        <v>0</v>
      </c>
      <c r="G80" s="15">
        <v>131.85</v>
      </c>
      <c r="H80" s="15">
        <v>0</v>
      </c>
      <c r="I80" s="15">
        <v>0</v>
      </c>
      <c r="J80" s="15">
        <v>495.26</v>
      </c>
      <c r="K80" s="15">
        <v>650.11</v>
      </c>
      <c r="L80" s="15">
        <v>98.77</v>
      </c>
      <c r="M80" s="15">
        <v>88.893000000000001</v>
      </c>
      <c r="N80" s="38">
        <v>108.64700000000001</v>
      </c>
      <c r="O80" s="41">
        <f t="shared" si="23"/>
        <v>1573.53</v>
      </c>
      <c r="P80" s="15">
        <f t="shared" si="24"/>
        <v>131.1275</v>
      </c>
      <c r="Q80" s="42">
        <f t="shared" si="25"/>
        <v>214.99228233146164</v>
      </c>
      <c r="R80" s="44">
        <f t="shared" si="26"/>
        <v>1.6395666990635958</v>
      </c>
      <c r="S80" s="49">
        <f t="shared" si="18"/>
        <v>157.78981773954391</v>
      </c>
      <c r="T80" s="45"/>
      <c r="U80" s="46">
        <f>VLOOKUP(B80,Policy!$B$5:$J$8,9,FALSE)</f>
        <v>5.440534834623505</v>
      </c>
      <c r="V80" s="15">
        <f t="shared" si="19"/>
        <v>23.454369255685268</v>
      </c>
      <c r="W80" s="15">
        <f t="shared" si="20"/>
        <v>91.040330683953698</v>
      </c>
      <c r="X80" s="46">
        <f>VLOOKUP(B80,Policy!$B$5:$F$8,5,FALSE)</f>
        <v>1.2815515655446006</v>
      </c>
      <c r="Y80" s="47">
        <f t="shared" si="27"/>
        <v>4.7343175378026764E-2</v>
      </c>
      <c r="Z80" s="43">
        <f t="shared" si="28"/>
        <v>4.3101383420439712</v>
      </c>
      <c r="AA80" s="48">
        <f t="shared" si="29"/>
        <v>0.97268430622590296</v>
      </c>
      <c r="AB80" s="15">
        <f t="shared" si="30"/>
        <v>140.12724757140427</v>
      </c>
      <c r="AC80" s="46"/>
      <c r="AD80" s="15">
        <f t="shared" si="31"/>
        <v>116.672878315719</v>
      </c>
      <c r="AE80" s="50">
        <f t="shared" si="21"/>
        <v>78.894908869771953</v>
      </c>
      <c r="AF80" s="52">
        <f t="shared" si="22"/>
        <v>36.601325348060428</v>
      </c>
      <c r="AG80" s="51">
        <f t="shared" si="32"/>
        <v>32</v>
      </c>
      <c r="AH80" s="43">
        <f t="shared" si="33"/>
        <v>2.3602949999999998</v>
      </c>
      <c r="AI80" s="53">
        <f>IF(AH80&gt;=Policy!$E$13,Policy!$C$13,IF(Solution!AH80&gt;=Policy!$E$14,Policy!$C$14,IF(Solution!AH80&gt;=Policy!$E$15,Policy!$C$15,IF(Solution!AH80&gt;=Policy!$E$16,Policy!$C$16,IF(Solution!AH80&gt;=Policy!$E$17,Policy!$C$17,IF(Solution!AH80&gt;=Policy!$E$18,Policy!$C$18))))))</f>
        <v>5</v>
      </c>
    </row>
    <row r="81" spans="1:35" x14ac:dyDescent="0.3">
      <c r="A81" s="16" t="s">
        <v>131</v>
      </c>
      <c r="B81" s="14" t="s">
        <v>3</v>
      </c>
      <c r="C81" s="15">
        <v>0</v>
      </c>
      <c r="D81" s="15">
        <v>67.86</v>
      </c>
      <c r="E81" s="15">
        <v>271.25</v>
      </c>
      <c r="F81" s="15">
        <v>67.8</v>
      </c>
      <c r="G81" s="15">
        <v>0</v>
      </c>
      <c r="H81" s="15">
        <v>167.58</v>
      </c>
      <c r="I81" s="15">
        <v>33.36</v>
      </c>
      <c r="J81" s="15">
        <v>366.61</v>
      </c>
      <c r="K81" s="15">
        <v>33.35</v>
      </c>
      <c r="L81" s="15">
        <v>366.71</v>
      </c>
      <c r="M81" s="15">
        <v>330.03899999999999</v>
      </c>
      <c r="N81" s="38">
        <v>403.38100000000003</v>
      </c>
      <c r="O81" s="41">
        <f t="shared" si="23"/>
        <v>2107.94</v>
      </c>
      <c r="P81" s="15">
        <f t="shared" si="24"/>
        <v>175.66166666666666</v>
      </c>
      <c r="Q81" s="42">
        <f t="shared" si="25"/>
        <v>160.48885145326412</v>
      </c>
      <c r="R81" s="44">
        <f t="shared" si="26"/>
        <v>0.91362477937662812</v>
      </c>
      <c r="S81" s="49">
        <f t="shared" si="18"/>
        <v>182.62935419219502</v>
      </c>
      <c r="T81" s="45"/>
      <c r="U81" s="46">
        <f>VLOOKUP(B81,Policy!$B$5:$J$8,9,FALSE)</f>
        <v>5.440534834623505</v>
      </c>
      <c r="V81" s="15">
        <f t="shared" si="19"/>
        <v>31.420057532318552</v>
      </c>
      <c r="W81" s="15">
        <f t="shared" si="20"/>
        <v>68.149591624808593</v>
      </c>
      <c r="X81" s="46">
        <f>VLOOKUP(B81,Policy!$B$5:$F$8,5,FALSE)</f>
        <v>1.2815515655446006</v>
      </c>
      <c r="Y81" s="47">
        <f t="shared" si="27"/>
        <v>4.7343175378026764E-2</v>
      </c>
      <c r="Z81" s="43">
        <f t="shared" si="28"/>
        <v>3.2264180682342172</v>
      </c>
      <c r="AA81" s="48">
        <f t="shared" si="29"/>
        <v>0.98233351871332353</v>
      </c>
      <c r="AB81" s="15">
        <f t="shared" si="30"/>
        <v>118.75727337031721</v>
      </c>
      <c r="AC81" s="46"/>
      <c r="AD81" s="15">
        <f t="shared" si="31"/>
        <v>87.337215837998656</v>
      </c>
      <c r="AE81" s="50">
        <f t="shared" si="21"/>
        <v>91.314677096097512</v>
      </c>
      <c r="AF81" s="52">
        <f t="shared" si="22"/>
        <v>31.62315544092867</v>
      </c>
      <c r="AG81" s="51">
        <f t="shared" si="32"/>
        <v>32</v>
      </c>
      <c r="AH81" s="43">
        <f t="shared" si="33"/>
        <v>3.1619100000000002</v>
      </c>
      <c r="AI81" s="53">
        <f>IF(AH81&gt;=Policy!$E$13,Policy!$C$13,IF(Solution!AH81&gt;=Policy!$E$14,Policy!$C$14,IF(Solution!AH81&gt;=Policy!$E$15,Policy!$C$15,IF(Solution!AH81&gt;=Policy!$E$16,Policy!$C$16,IF(Solution!AH81&gt;=Policy!$E$17,Policy!$C$17,IF(Solution!AH81&gt;=Policy!$E$18,Policy!$C$18))))))</f>
        <v>5</v>
      </c>
    </row>
    <row r="82" spans="1:35" x14ac:dyDescent="0.3">
      <c r="A82" s="16" t="s">
        <v>132</v>
      </c>
      <c r="B82" s="14" t="s">
        <v>3</v>
      </c>
      <c r="C82" s="15">
        <v>0</v>
      </c>
      <c r="D82" s="15">
        <v>0</v>
      </c>
      <c r="E82" s="15">
        <v>0</v>
      </c>
      <c r="F82" s="15">
        <v>72.319999999999993</v>
      </c>
      <c r="G82" s="15">
        <v>325.57</v>
      </c>
      <c r="H82" s="15">
        <v>0</v>
      </c>
      <c r="I82" s="15">
        <v>0</v>
      </c>
      <c r="J82" s="15">
        <v>108.15</v>
      </c>
      <c r="K82" s="15">
        <v>784.27</v>
      </c>
      <c r="L82" s="15">
        <v>83.41</v>
      </c>
      <c r="M82" s="15">
        <v>75.069000000000003</v>
      </c>
      <c r="N82" s="38">
        <v>91.751000000000005</v>
      </c>
      <c r="O82" s="41">
        <f t="shared" si="23"/>
        <v>1540.54</v>
      </c>
      <c r="P82" s="15">
        <f t="shared" si="24"/>
        <v>128.37833333333333</v>
      </c>
      <c r="Q82" s="42">
        <f t="shared" si="25"/>
        <v>225.88024460453835</v>
      </c>
      <c r="R82" s="44">
        <f t="shared" si="26"/>
        <v>1.759488838494593</v>
      </c>
      <c r="S82" s="49">
        <f t="shared" si="18"/>
        <v>156.12697688545822</v>
      </c>
      <c r="T82" s="45"/>
      <c r="U82" s="46">
        <f>VLOOKUP(B82,Policy!$B$5:$J$8,9,FALSE)</f>
        <v>5.440534834623505</v>
      </c>
      <c r="V82" s="15">
        <f t="shared" si="19"/>
        <v>22.962634340084641</v>
      </c>
      <c r="W82" s="15">
        <f t="shared" si="20"/>
        <v>95.635117755078412</v>
      </c>
      <c r="X82" s="46">
        <f>VLOOKUP(B82,Policy!$B$5:$F$8,5,FALSE)</f>
        <v>1.2815515655446006</v>
      </c>
      <c r="Y82" s="47">
        <f t="shared" si="27"/>
        <v>4.7343175378026764E-2</v>
      </c>
      <c r="Z82" s="43">
        <f t="shared" si="28"/>
        <v>4.5276701521769187</v>
      </c>
      <c r="AA82" s="48">
        <f t="shared" si="29"/>
        <v>0.97100007799741983</v>
      </c>
      <c r="AB82" s="15">
        <f t="shared" si="30"/>
        <v>145.52396922014762</v>
      </c>
      <c r="AC82" s="46"/>
      <c r="AD82" s="15">
        <f t="shared" si="31"/>
        <v>122.56133488006297</v>
      </c>
      <c r="AE82" s="50">
        <f t="shared" si="21"/>
        <v>78.06348844272911</v>
      </c>
      <c r="AF82" s="52">
        <f t="shared" si="22"/>
        <v>36.991150222124872</v>
      </c>
      <c r="AG82" s="51">
        <f t="shared" si="32"/>
        <v>32</v>
      </c>
      <c r="AH82" s="43">
        <f t="shared" si="33"/>
        <v>2.31081</v>
      </c>
      <c r="AI82" s="53">
        <f>IF(AH82&gt;=Policy!$E$13,Policy!$C$13,IF(Solution!AH82&gt;=Policy!$E$14,Policy!$C$14,IF(Solution!AH82&gt;=Policy!$E$15,Policy!$C$15,IF(Solution!AH82&gt;=Policy!$E$16,Policy!$C$16,IF(Solution!AH82&gt;=Policy!$E$17,Policy!$C$17,IF(Solution!AH82&gt;=Policy!$E$18,Policy!$C$18))))))</f>
        <v>5</v>
      </c>
    </row>
    <row r="83" spans="1:35" x14ac:dyDescent="0.3">
      <c r="A83" s="16" t="s">
        <v>133</v>
      </c>
      <c r="B83" s="14" t="s">
        <v>3</v>
      </c>
      <c r="C83" s="15">
        <v>131.66999999999999</v>
      </c>
      <c r="D83" s="15">
        <v>99</v>
      </c>
      <c r="E83" s="15">
        <v>0</v>
      </c>
      <c r="F83" s="15">
        <v>65.45</v>
      </c>
      <c r="G83" s="15">
        <v>459.65</v>
      </c>
      <c r="H83" s="15">
        <v>0</v>
      </c>
      <c r="I83" s="15">
        <v>32.71</v>
      </c>
      <c r="J83" s="15">
        <v>0</v>
      </c>
      <c r="K83" s="15">
        <v>395.21</v>
      </c>
      <c r="L83" s="15">
        <v>164.73</v>
      </c>
      <c r="M83" s="15">
        <v>148.25700000000001</v>
      </c>
      <c r="N83" s="38">
        <v>181.203</v>
      </c>
      <c r="O83" s="41">
        <f t="shared" si="23"/>
        <v>1677.88</v>
      </c>
      <c r="P83" s="15">
        <f t="shared" si="24"/>
        <v>139.82333333333335</v>
      </c>
      <c r="Q83" s="42">
        <f t="shared" si="25"/>
        <v>149.94076579668706</v>
      </c>
      <c r="R83" s="44">
        <f t="shared" si="26"/>
        <v>1.072358684506785</v>
      </c>
      <c r="S83" s="49">
        <f t="shared" si="18"/>
        <v>162.93782304061628</v>
      </c>
      <c r="T83" s="45"/>
      <c r="U83" s="46">
        <f>VLOOKUP(B83,Policy!$B$5:$J$8,9,FALSE)</f>
        <v>5.440534834623505</v>
      </c>
      <c r="V83" s="15">
        <f t="shared" si="19"/>
        <v>25.009765995392019</v>
      </c>
      <c r="W83" s="15">
        <f t="shared" si="20"/>
        <v>63.600254147699893</v>
      </c>
      <c r="X83" s="46">
        <f>VLOOKUP(B83,Policy!$B$5:$F$8,5,FALSE)</f>
        <v>1.2815515655446006</v>
      </c>
      <c r="Y83" s="47">
        <f t="shared" si="27"/>
        <v>4.7343175378026764E-2</v>
      </c>
      <c r="Z83" s="43">
        <f t="shared" si="28"/>
        <v>3.0110379862016301</v>
      </c>
      <c r="AA83" s="48">
        <f t="shared" si="29"/>
        <v>0.98152032517673282</v>
      </c>
      <c r="AB83" s="15">
        <f t="shared" si="30"/>
        <v>106.51677126741129</v>
      </c>
      <c r="AC83" s="46"/>
      <c r="AD83" s="15">
        <f t="shared" si="31"/>
        <v>81.507005272019271</v>
      </c>
      <c r="AE83" s="50">
        <f t="shared" si="21"/>
        <v>81.46891152030814</v>
      </c>
      <c r="AF83" s="52">
        <f t="shared" si="22"/>
        <v>35.444909892140643</v>
      </c>
      <c r="AG83" s="51">
        <f t="shared" si="32"/>
        <v>32</v>
      </c>
      <c r="AH83" s="43">
        <f t="shared" si="33"/>
        <v>2.5168200000000005</v>
      </c>
      <c r="AI83" s="53">
        <f>IF(AH83&gt;=Policy!$E$13,Policy!$C$13,IF(Solution!AH83&gt;=Policy!$E$14,Policy!$C$14,IF(Solution!AH83&gt;=Policy!$E$15,Policy!$C$15,IF(Solution!AH83&gt;=Policy!$E$16,Policy!$C$16,IF(Solution!AH83&gt;=Policy!$E$17,Policy!$C$17,IF(Solution!AH83&gt;=Policy!$E$18,Policy!$C$18))))))</f>
        <v>5</v>
      </c>
    </row>
    <row r="84" spans="1:35" x14ac:dyDescent="0.3">
      <c r="A84" s="16" t="s">
        <v>134</v>
      </c>
      <c r="B84" s="14" t="s">
        <v>3</v>
      </c>
      <c r="C84" s="15">
        <v>71.33</v>
      </c>
      <c r="D84" s="15">
        <v>142.99</v>
      </c>
      <c r="E84" s="15">
        <v>197.71</v>
      </c>
      <c r="F84" s="15">
        <v>144.24</v>
      </c>
      <c r="G84" s="15">
        <v>107.49</v>
      </c>
      <c r="H84" s="15">
        <v>465.92</v>
      </c>
      <c r="I84" s="15">
        <v>72.14</v>
      </c>
      <c r="J84" s="15">
        <v>0</v>
      </c>
      <c r="K84" s="15">
        <v>144.87</v>
      </c>
      <c r="L84" s="15">
        <v>0</v>
      </c>
      <c r="M84" s="15">
        <v>0</v>
      </c>
      <c r="N84" s="38">
        <v>0</v>
      </c>
      <c r="O84" s="41">
        <f t="shared" si="23"/>
        <v>1346.69</v>
      </c>
      <c r="P84" s="15">
        <f t="shared" si="24"/>
        <v>112.22416666666668</v>
      </c>
      <c r="Q84" s="42">
        <f t="shared" si="25"/>
        <v>131.12256954733982</v>
      </c>
      <c r="R84" s="44">
        <f t="shared" si="26"/>
        <v>1.1683986920286611</v>
      </c>
      <c r="S84" s="49">
        <f t="shared" si="18"/>
        <v>145.97392258876025</v>
      </c>
      <c r="T84" s="45"/>
      <c r="U84" s="46">
        <f>VLOOKUP(B84,Policy!$B$5:$J$8,9,FALSE)</f>
        <v>5.440534834623505</v>
      </c>
      <c r="V84" s="15">
        <f t="shared" si="19"/>
        <v>20.073188647778434</v>
      </c>
      <c r="W84" s="15">
        <f t="shared" si="20"/>
        <v>55.592501839369895</v>
      </c>
      <c r="X84" s="46">
        <f>VLOOKUP(B84,Policy!$B$5:$F$8,5,FALSE)</f>
        <v>1.2815515655446006</v>
      </c>
      <c r="Y84" s="47">
        <f t="shared" si="27"/>
        <v>4.7343175378026764E-2</v>
      </c>
      <c r="Z84" s="43">
        <f t="shared" si="28"/>
        <v>2.6319255642845643</v>
      </c>
      <c r="AA84" s="48">
        <f t="shared" si="29"/>
        <v>0.98196989217245834</v>
      </c>
      <c r="AB84" s="15">
        <f t="shared" si="30"/>
        <v>91.317846412564009</v>
      </c>
      <c r="AC84" s="46"/>
      <c r="AD84" s="15">
        <f t="shared" si="31"/>
        <v>71.244657764785572</v>
      </c>
      <c r="AE84" s="50">
        <f t="shared" si="21"/>
        <v>72.986961294380123</v>
      </c>
      <c r="AF84" s="52">
        <f t="shared" si="22"/>
        <v>39.564028651655157</v>
      </c>
      <c r="AG84" s="51">
        <f t="shared" si="32"/>
        <v>32</v>
      </c>
      <c r="AH84" s="43">
        <f t="shared" si="33"/>
        <v>2.020035</v>
      </c>
      <c r="AI84" s="53">
        <f>IF(AH84&gt;=Policy!$E$13,Policy!$C$13,IF(Solution!AH84&gt;=Policy!$E$14,Policy!$C$14,IF(Solution!AH84&gt;=Policy!$E$15,Policy!$C$15,IF(Solution!AH84&gt;=Policy!$E$16,Policy!$C$16,IF(Solution!AH84&gt;=Policy!$E$17,Policy!$C$17,IF(Solution!AH84&gt;=Policy!$E$18,Policy!$C$18))))))</f>
        <v>6</v>
      </c>
    </row>
    <row r="85" spans="1:35" x14ac:dyDescent="0.3">
      <c r="A85" s="16" t="s">
        <v>135</v>
      </c>
      <c r="B85" s="14" t="s">
        <v>3</v>
      </c>
      <c r="C85" s="15">
        <v>68.02</v>
      </c>
      <c r="D85" s="15">
        <v>0</v>
      </c>
      <c r="E85" s="15">
        <v>204.3</v>
      </c>
      <c r="F85" s="15">
        <v>407.99</v>
      </c>
      <c r="G85" s="15">
        <v>135.79</v>
      </c>
      <c r="H85" s="15">
        <v>169.82</v>
      </c>
      <c r="I85" s="15">
        <v>34.01</v>
      </c>
      <c r="J85" s="15">
        <v>67.86</v>
      </c>
      <c r="K85" s="15">
        <v>170.13</v>
      </c>
      <c r="L85" s="15">
        <v>67.989999999999995</v>
      </c>
      <c r="M85" s="15">
        <v>61.190999999999995</v>
      </c>
      <c r="N85" s="38">
        <v>74.789000000000001</v>
      </c>
      <c r="O85" s="41">
        <f t="shared" si="23"/>
        <v>1461.8899999999996</v>
      </c>
      <c r="P85" s="15">
        <f t="shared" si="24"/>
        <v>121.82416666666664</v>
      </c>
      <c r="Q85" s="42">
        <f t="shared" si="25"/>
        <v>108.99187863558993</v>
      </c>
      <c r="R85" s="44">
        <f t="shared" si="26"/>
        <v>0.89466549714895061</v>
      </c>
      <c r="S85" s="49">
        <f t="shared" si="18"/>
        <v>152.08935165249389</v>
      </c>
      <c r="T85" s="45"/>
      <c r="U85" s="46">
        <f>VLOOKUP(B85,Policy!$B$5:$J$8,9,FALSE)</f>
        <v>5.440534834623505</v>
      </c>
      <c r="V85" s="15">
        <f t="shared" si="19"/>
        <v>21.79031087503494</v>
      </c>
      <c r="W85" s="15">
        <f t="shared" si="20"/>
        <v>46.290014145467026</v>
      </c>
      <c r="X85" s="46">
        <f>VLOOKUP(B85,Policy!$B$5:$F$8,5,FALSE)</f>
        <v>1.2815515655446006</v>
      </c>
      <c r="Y85" s="47">
        <f t="shared" si="27"/>
        <v>4.7343175378026764E-2</v>
      </c>
      <c r="Z85" s="43">
        <f t="shared" si="28"/>
        <v>2.1915162579401852</v>
      </c>
      <c r="AA85" s="48">
        <f t="shared" si="29"/>
        <v>0.98559060030088408</v>
      </c>
      <c r="AB85" s="15">
        <f t="shared" si="30"/>
        <v>81.113350972239914</v>
      </c>
      <c r="AC85" s="46"/>
      <c r="AD85" s="15">
        <f t="shared" si="31"/>
        <v>59.323040097204974</v>
      </c>
      <c r="AE85" s="50">
        <f t="shared" si="21"/>
        <v>76.044675826246944</v>
      </c>
      <c r="AF85" s="52">
        <f t="shared" si="22"/>
        <v>37.973180850242009</v>
      </c>
      <c r="AG85" s="51">
        <f t="shared" si="32"/>
        <v>32</v>
      </c>
      <c r="AH85" s="43">
        <f t="shared" si="33"/>
        <v>2.1928349999999992</v>
      </c>
      <c r="AI85" s="53">
        <f>IF(AH85&gt;=Policy!$E$13,Policy!$C$13,IF(Solution!AH85&gt;=Policy!$E$14,Policy!$C$14,IF(Solution!AH85&gt;=Policy!$E$15,Policy!$C$15,IF(Solution!AH85&gt;=Policy!$E$16,Policy!$C$16,IF(Solution!AH85&gt;=Policy!$E$17,Policy!$C$17,IF(Solution!AH85&gt;=Policy!$E$18,Policy!$C$18))))))</f>
        <v>6</v>
      </c>
    </row>
    <row r="86" spans="1:35" x14ac:dyDescent="0.3">
      <c r="A86" s="16" t="s">
        <v>136</v>
      </c>
      <c r="B86" s="14" t="s">
        <v>3</v>
      </c>
      <c r="C86" s="15">
        <v>0</v>
      </c>
      <c r="D86" s="15">
        <v>175.74</v>
      </c>
      <c r="E86" s="15">
        <v>246.49</v>
      </c>
      <c r="F86" s="15">
        <v>70.430000000000007</v>
      </c>
      <c r="G86" s="15">
        <v>293.61</v>
      </c>
      <c r="H86" s="15">
        <v>0</v>
      </c>
      <c r="I86" s="15">
        <v>317.3</v>
      </c>
      <c r="J86" s="15">
        <v>70.42</v>
      </c>
      <c r="K86" s="15">
        <v>70.040000000000006</v>
      </c>
      <c r="L86" s="15">
        <v>0</v>
      </c>
      <c r="M86" s="15">
        <v>0</v>
      </c>
      <c r="N86" s="38">
        <v>0</v>
      </c>
      <c r="O86" s="41">
        <f t="shared" si="23"/>
        <v>1244.03</v>
      </c>
      <c r="P86" s="15">
        <f t="shared" si="24"/>
        <v>103.66916666666667</v>
      </c>
      <c r="Q86" s="42">
        <f t="shared" si="25"/>
        <v>122.246174616359</v>
      </c>
      <c r="R86" s="44">
        <f t="shared" si="26"/>
        <v>1.1791951121727835</v>
      </c>
      <c r="S86" s="49">
        <f t="shared" si="18"/>
        <v>140.29974692543738</v>
      </c>
      <c r="T86" s="45"/>
      <c r="U86" s="46">
        <f>VLOOKUP(B86,Policy!$B$5:$J$8,9,FALSE)</f>
        <v>5.440534834623505</v>
      </c>
      <c r="V86" s="15">
        <f t="shared" si="19"/>
        <v>18.542982329634736</v>
      </c>
      <c r="W86" s="15">
        <f t="shared" si="20"/>
        <v>51.826815043062993</v>
      </c>
      <c r="X86" s="46">
        <f>VLOOKUP(B86,Policy!$B$5:$F$8,5,FALSE)</f>
        <v>1.2815515655446006</v>
      </c>
      <c r="Y86" s="47">
        <f t="shared" si="27"/>
        <v>4.7343175378026764E-2</v>
      </c>
      <c r="Z86" s="43">
        <f t="shared" si="28"/>
        <v>2.4536459938682871</v>
      </c>
      <c r="AA86" s="48">
        <f t="shared" si="29"/>
        <v>0.98251140114192592</v>
      </c>
      <c r="AB86" s="15">
        <f t="shared" si="30"/>
        <v>84.961718285262577</v>
      </c>
      <c r="AC86" s="46"/>
      <c r="AD86" s="15">
        <f t="shared" si="31"/>
        <v>66.418735955627838</v>
      </c>
      <c r="AE86" s="50">
        <f t="shared" si="21"/>
        <v>70.149873462718688</v>
      </c>
      <c r="AF86" s="52">
        <f t="shared" si="22"/>
        <v>41.164125967850168</v>
      </c>
      <c r="AG86" s="51">
        <f t="shared" si="32"/>
        <v>32</v>
      </c>
      <c r="AH86" s="43">
        <f t="shared" si="33"/>
        <v>1.866045</v>
      </c>
      <c r="AI86" s="53">
        <f>IF(AH86&gt;=Policy!$E$13,Policy!$C$13,IF(Solution!AH86&gt;=Policy!$E$14,Policy!$C$14,IF(Solution!AH86&gt;=Policy!$E$15,Policy!$C$15,IF(Solution!AH86&gt;=Policy!$E$16,Policy!$C$16,IF(Solution!AH86&gt;=Policy!$E$17,Policy!$C$17,IF(Solution!AH86&gt;=Policy!$E$18,Policy!$C$18))))))</f>
        <v>6</v>
      </c>
    </row>
    <row r="87" spans="1:35" x14ac:dyDescent="0.3">
      <c r="A87" s="16" t="s">
        <v>137</v>
      </c>
      <c r="B87" s="14" t="s">
        <v>3</v>
      </c>
      <c r="C87" s="15">
        <v>0</v>
      </c>
      <c r="D87" s="15">
        <v>0</v>
      </c>
      <c r="E87" s="15">
        <v>88.02</v>
      </c>
      <c r="F87" s="15">
        <v>127.65</v>
      </c>
      <c r="G87" s="15">
        <v>293.23</v>
      </c>
      <c r="H87" s="15">
        <v>0</v>
      </c>
      <c r="I87" s="15">
        <v>0</v>
      </c>
      <c r="J87" s="15">
        <v>117.62</v>
      </c>
      <c r="K87" s="15">
        <v>410.61</v>
      </c>
      <c r="L87" s="15">
        <v>206.74</v>
      </c>
      <c r="M87" s="15">
        <v>186.066</v>
      </c>
      <c r="N87" s="38">
        <v>227.41400000000002</v>
      </c>
      <c r="O87" s="41">
        <f t="shared" si="23"/>
        <v>1657.3500000000001</v>
      </c>
      <c r="P87" s="15">
        <f t="shared" si="24"/>
        <v>138.11250000000001</v>
      </c>
      <c r="Q87" s="42">
        <f t="shared" si="25"/>
        <v>132.33541124973453</v>
      </c>
      <c r="R87" s="44">
        <f t="shared" si="26"/>
        <v>0.95817113765759454</v>
      </c>
      <c r="S87" s="49">
        <f t="shared" si="18"/>
        <v>161.93792762988937</v>
      </c>
      <c r="T87" s="45"/>
      <c r="U87" s="46">
        <f>VLOOKUP(B87,Policy!$B$5:$J$8,9,FALSE)</f>
        <v>5.440534834623505</v>
      </c>
      <c r="V87" s="15">
        <f t="shared" si="19"/>
        <v>24.70375454291306</v>
      </c>
      <c r="W87" s="15">
        <f t="shared" si="20"/>
        <v>56.174058008075249</v>
      </c>
      <c r="X87" s="46">
        <f>VLOOKUP(B87,Policy!$B$5:$F$8,5,FALSE)</f>
        <v>1.2815515655446006</v>
      </c>
      <c r="Y87" s="47">
        <f t="shared" si="27"/>
        <v>4.7343175378026764E-2</v>
      </c>
      <c r="Z87" s="43">
        <f t="shared" si="28"/>
        <v>2.6594582799717554</v>
      </c>
      <c r="AA87" s="48">
        <f t="shared" si="29"/>
        <v>0.98357729829635732</v>
      </c>
      <c r="AB87" s="15">
        <f t="shared" si="30"/>
        <v>96.693706526155097</v>
      </c>
      <c r="AC87" s="46"/>
      <c r="AD87" s="15">
        <f t="shared" si="31"/>
        <v>71.989951983242037</v>
      </c>
      <c r="AE87" s="50">
        <f t="shared" si="21"/>
        <v>80.968963814944686</v>
      </c>
      <c r="AF87" s="52">
        <f t="shared" si="22"/>
        <v>35.663766606274841</v>
      </c>
      <c r="AG87" s="51">
        <f t="shared" si="32"/>
        <v>32</v>
      </c>
      <c r="AH87" s="43">
        <f t="shared" si="33"/>
        <v>2.4860250000000002</v>
      </c>
      <c r="AI87" s="53">
        <f>IF(AH87&gt;=Policy!$E$13,Policy!$C$13,IF(Solution!AH87&gt;=Policy!$E$14,Policy!$C$14,IF(Solution!AH87&gt;=Policy!$E$15,Policy!$C$15,IF(Solution!AH87&gt;=Policy!$E$16,Policy!$C$16,IF(Solution!AH87&gt;=Policy!$E$17,Policy!$C$17,IF(Solution!AH87&gt;=Policy!$E$18,Policy!$C$18))))))</f>
        <v>5</v>
      </c>
    </row>
    <row r="88" spans="1:35" x14ac:dyDescent="0.3">
      <c r="A88" s="16" t="s">
        <v>138</v>
      </c>
      <c r="B88" s="14" t="s">
        <v>3</v>
      </c>
      <c r="C88" s="15">
        <v>0</v>
      </c>
      <c r="D88" s="15">
        <v>0</v>
      </c>
      <c r="E88" s="15">
        <v>101.75</v>
      </c>
      <c r="F88" s="15">
        <v>474.02</v>
      </c>
      <c r="G88" s="15">
        <v>158.80000000000001</v>
      </c>
      <c r="H88" s="15">
        <v>0</v>
      </c>
      <c r="I88" s="15">
        <v>0</v>
      </c>
      <c r="J88" s="15">
        <v>68</v>
      </c>
      <c r="K88" s="15">
        <v>102.28</v>
      </c>
      <c r="L88" s="15">
        <v>337.21</v>
      </c>
      <c r="M88" s="15">
        <v>303.48899999999998</v>
      </c>
      <c r="N88" s="38">
        <v>370.93099999999998</v>
      </c>
      <c r="O88" s="41">
        <f t="shared" si="23"/>
        <v>1916.48</v>
      </c>
      <c r="P88" s="15">
        <f t="shared" si="24"/>
        <v>159.70666666666668</v>
      </c>
      <c r="Q88" s="42">
        <f t="shared" si="25"/>
        <v>168.59903826660531</v>
      </c>
      <c r="R88" s="44">
        <f t="shared" si="26"/>
        <v>1.0556794014021871</v>
      </c>
      <c r="S88" s="49">
        <f t="shared" si="18"/>
        <v>174.13802178993362</v>
      </c>
      <c r="T88" s="45"/>
      <c r="U88" s="46">
        <f>VLOOKUP(B88,Policy!$B$5:$J$8,9,FALSE)</f>
        <v>5.440534834623505</v>
      </c>
      <c r="V88" s="15">
        <f t="shared" si="19"/>
        <v>28.56623616399796</v>
      </c>
      <c r="W88" s="15">
        <f t="shared" si="20"/>
        <v>71.521180906474839</v>
      </c>
      <c r="X88" s="46">
        <f>VLOOKUP(B88,Policy!$B$5:$F$8,5,FALSE)</f>
        <v>1.2815515655446006</v>
      </c>
      <c r="Y88" s="47">
        <f t="shared" si="27"/>
        <v>4.7343175378026764E-2</v>
      </c>
      <c r="Z88" s="43">
        <f t="shared" si="28"/>
        <v>3.3860398108988177</v>
      </c>
      <c r="AA88" s="48">
        <f t="shared" si="29"/>
        <v>0.98055542508124116</v>
      </c>
      <c r="AB88" s="15">
        <f t="shared" si="30"/>
        <v>120.22431752428939</v>
      </c>
      <c r="AC88" s="46"/>
      <c r="AD88" s="15">
        <f t="shared" si="31"/>
        <v>91.658081360291433</v>
      </c>
      <c r="AE88" s="50">
        <f t="shared" si="21"/>
        <v>87.069010894966809</v>
      </c>
      <c r="AF88" s="52">
        <f t="shared" si="22"/>
        <v>33.165166322281351</v>
      </c>
      <c r="AG88" s="51">
        <f t="shared" si="32"/>
        <v>32</v>
      </c>
      <c r="AH88" s="43">
        <f t="shared" si="33"/>
        <v>2.8747199999999999</v>
      </c>
      <c r="AI88" s="53">
        <f>IF(AH88&gt;=Policy!$E$13,Policy!$C$13,IF(Solution!AH88&gt;=Policy!$E$14,Policy!$C$14,IF(Solution!AH88&gt;=Policy!$E$15,Policy!$C$15,IF(Solution!AH88&gt;=Policy!$E$16,Policy!$C$16,IF(Solution!AH88&gt;=Policy!$E$17,Policy!$C$17,IF(Solution!AH88&gt;=Policy!$E$18,Policy!$C$18))))))</f>
        <v>5</v>
      </c>
    </row>
    <row r="89" spans="1:35" x14ac:dyDescent="0.3">
      <c r="A89" s="16" t="s">
        <v>139</v>
      </c>
      <c r="B89" s="14" t="s">
        <v>3</v>
      </c>
      <c r="C89" s="15">
        <v>65.2</v>
      </c>
      <c r="D89" s="15">
        <v>0</v>
      </c>
      <c r="E89" s="15">
        <v>130.18</v>
      </c>
      <c r="F89" s="15">
        <v>0</v>
      </c>
      <c r="G89" s="15">
        <v>326.43</v>
      </c>
      <c r="H89" s="15">
        <v>0</v>
      </c>
      <c r="I89" s="15">
        <v>130.13</v>
      </c>
      <c r="J89" s="15">
        <v>32.6</v>
      </c>
      <c r="K89" s="15">
        <v>195.05</v>
      </c>
      <c r="L89" s="15">
        <v>356.13</v>
      </c>
      <c r="M89" s="15">
        <v>320.517</v>
      </c>
      <c r="N89" s="38">
        <v>391.74300000000005</v>
      </c>
      <c r="O89" s="41">
        <f t="shared" si="23"/>
        <v>1947.98</v>
      </c>
      <c r="P89" s="15">
        <f t="shared" si="24"/>
        <v>162.33166666666668</v>
      </c>
      <c r="Q89" s="42">
        <f t="shared" si="25"/>
        <v>150.93615715522864</v>
      </c>
      <c r="R89" s="44">
        <f t="shared" si="26"/>
        <v>0.92980106872901347</v>
      </c>
      <c r="S89" s="49">
        <f t="shared" si="18"/>
        <v>175.56328874349094</v>
      </c>
      <c r="T89" s="45"/>
      <c r="U89" s="46">
        <f>VLOOKUP(B89,Policy!$B$5:$J$8,9,FALSE)</f>
        <v>5.440534834623505</v>
      </c>
      <c r="V89" s="15">
        <f t="shared" si="19"/>
        <v>29.035761773013412</v>
      </c>
      <c r="W89" s="15">
        <f t="shared" si="20"/>
        <v>64.084268799538705</v>
      </c>
      <c r="X89" s="46">
        <f>VLOOKUP(B89,Policy!$B$5:$F$8,5,FALSE)</f>
        <v>1.2815515655446006</v>
      </c>
      <c r="Y89" s="47">
        <f t="shared" si="27"/>
        <v>4.7343175378026764E-2</v>
      </c>
      <c r="Z89" s="43">
        <f t="shared" si="28"/>
        <v>3.0339527767491696</v>
      </c>
      <c r="AA89" s="48">
        <f t="shared" si="29"/>
        <v>0.98271875174779866</v>
      </c>
      <c r="AB89" s="15">
        <f t="shared" si="30"/>
        <v>111.16305677984323</v>
      </c>
      <c r="AC89" s="46"/>
      <c r="AD89" s="15">
        <f t="shared" si="31"/>
        <v>82.127295006829826</v>
      </c>
      <c r="AE89" s="50">
        <f t="shared" si="21"/>
        <v>87.781644371745472</v>
      </c>
      <c r="AF89" s="52">
        <f t="shared" si="22"/>
        <v>32.895923157000681</v>
      </c>
      <c r="AG89" s="51">
        <f t="shared" si="32"/>
        <v>32</v>
      </c>
      <c r="AH89" s="43">
        <f t="shared" si="33"/>
        <v>2.92197</v>
      </c>
      <c r="AI89" s="53">
        <f>IF(AH89&gt;=Policy!$E$13,Policy!$C$13,IF(Solution!AH89&gt;=Policy!$E$14,Policy!$C$14,IF(Solution!AH89&gt;=Policy!$E$15,Policy!$C$15,IF(Solution!AH89&gt;=Policy!$E$16,Policy!$C$16,IF(Solution!AH89&gt;=Policy!$E$17,Policy!$C$17,IF(Solution!AH89&gt;=Policy!$E$18,Policy!$C$18))))))</f>
        <v>5</v>
      </c>
    </row>
    <row r="90" spans="1:35" x14ac:dyDescent="0.3">
      <c r="A90" s="16" t="s">
        <v>140</v>
      </c>
      <c r="B90" s="14" t="s">
        <v>3</v>
      </c>
      <c r="C90" s="15">
        <v>0</v>
      </c>
      <c r="D90" s="15">
        <v>64.069999999999993</v>
      </c>
      <c r="E90" s="15">
        <v>257.56</v>
      </c>
      <c r="F90" s="15">
        <v>128.33000000000001</v>
      </c>
      <c r="G90" s="15">
        <v>0</v>
      </c>
      <c r="H90" s="15">
        <v>0</v>
      </c>
      <c r="I90" s="15">
        <v>160.85</v>
      </c>
      <c r="J90" s="15">
        <v>193.76</v>
      </c>
      <c r="K90" s="15">
        <v>235.67</v>
      </c>
      <c r="L90" s="15">
        <v>160.13</v>
      </c>
      <c r="M90" s="15">
        <v>144.11699999999999</v>
      </c>
      <c r="N90" s="38">
        <v>176.143</v>
      </c>
      <c r="O90" s="41">
        <f t="shared" si="23"/>
        <v>1520.6299999999999</v>
      </c>
      <c r="P90" s="15">
        <f t="shared" si="24"/>
        <v>126.71916666666665</v>
      </c>
      <c r="Q90" s="42">
        <f t="shared" si="25"/>
        <v>90.760139944234211</v>
      </c>
      <c r="R90" s="44">
        <f t="shared" si="26"/>
        <v>0.71623056189264367</v>
      </c>
      <c r="S90" s="49">
        <f t="shared" si="18"/>
        <v>155.11480027973727</v>
      </c>
      <c r="T90" s="45"/>
      <c r="U90" s="46">
        <f>VLOOKUP(B90,Policy!$B$5:$J$8,9,FALSE)</f>
        <v>5.440534834623505</v>
      </c>
      <c r="V90" s="15">
        <f t="shared" si="19"/>
        <v>22.665864344037093</v>
      </c>
      <c r="W90" s="15">
        <f t="shared" si="20"/>
        <v>38.637233816271078</v>
      </c>
      <c r="X90" s="46">
        <f>VLOOKUP(B90,Policy!$B$5:$F$8,5,FALSE)</f>
        <v>1.2815515655446006</v>
      </c>
      <c r="Y90" s="47">
        <f t="shared" si="27"/>
        <v>4.7343175378026764E-2</v>
      </c>
      <c r="Z90" s="43">
        <f t="shared" si="28"/>
        <v>1.829209336685548</v>
      </c>
      <c r="AA90" s="48">
        <f t="shared" si="29"/>
        <v>0.98820738360629212</v>
      </c>
      <c r="AB90" s="15">
        <f t="shared" si="30"/>
        <v>72.18147182959207</v>
      </c>
      <c r="AC90" s="46"/>
      <c r="AD90" s="15">
        <f t="shared" si="31"/>
        <v>49.51560748555498</v>
      </c>
      <c r="AE90" s="50">
        <f t="shared" si="21"/>
        <v>77.557400139868633</v>
      </c>
      <c r="AF90" s="52">
        <f t="shared" si="22"/>
        <v>37.232530005395205</v>
      </c>
      <c r="AG90" s="51">
        <f t="shared" si="32"/>
        <v>32</v>
      </c>
      <c r="AH90" s="43">
        <f t="shared" si="33"/>
        <v>2.2809449999999996</v>
      </c>
      <c r="AI90" s="53">
        <f>IF(AH90&gt;=Policy!$E$13,Policy!$C$13,IF(Solution!AH90&gt;=Policy!$E$14,Policy!$C$14,IF(Solution!AH90&gt;=Policy!$E$15,Policy!$C$15,IF(Solution!AH90&gt;=Policy!$E$16,Policy!$C$16,IF(Solution!AH90&gt;=Policy!$E$17,Policy!$C$17,IF(Solution!AH90&gt;=Policy!$E$18,Policy!$C$18))))))</f>
        <v>5</v>
      </c>
    </row>
    <row r="91" spans="1:35" x14ac:dyDescent="0.3">
      <c r="A91" s="16" t="s">
        <v>141</v>
      </c>
      <c r="B91" s="14" t="s">
        <v>3</v>
      </c>
      <c r="C91" s="15">
        <v>0</v>
      </c>
      <c r="D91" s="15">
        <v>0</v>
      </c>
      <c r="E91" s="15">
        <v>0</v>
      </c>
      <c r="F91" s="15">
        <v>306.5</v>
      </c>
      <c r="G91" s="15">
        <v>122.32</v>
      </c>
      <c r="H91" s="15">
        <v>0</v>
      </c>
      <c r="I91" s="15">
        <v>0</v>
      </c>
      <c r="J91" s="15">
        <v>0</v>
      </c>
      <c r="K91" s="15">
        <v>153.88</v>
      </c>
      <c r="L91" s="15">
        <v>617.26</v>
      </c>
      <c r="M91" s="15">
        <v>555.53399999999999</v>
      </c>
      <c r="N91" s="38">
        <v>678.98599999999999</v>
      </c>
      <c r="O91" s="41">
        <f t="shared" si="23"/>
        <v>2434.48</v>
      </c>
      <c r="P91" s="15">
        <f t="shared" si="24"/>
        <v>202.87333333333333</v>
      </c>
      <c r="Q91" s="42">
        <f t="shared" si="25"/>
        <v>267.87757298958024</v>
      </c>
      <c r="R91" s="44">
        <f t="shared" si="26"/>
        <v>1.3204178616685958</v>
      </c>
      <c r="S91" s="49">
        <f t="shared" si="18"/>
        <v>196.26577176002178</v>
      </c>
      <c r="T91" s="45"/>
      <c r="U91" s="46">
        <f>VLOOKUP(B91,Policy!$B$5:$J$8,9,FALSE)</f>
        <v>5.440534834623505</v>
      </c>
      <c r="V91" s="15">
        <f t="shared" si="19"/>
        <v>36.287323956696525</v>
      </c>
      <c r="W91" s="15">
        <f t="shared" si="20"/>
        <v>113.51220478253833</v>
      </c>
      <c r="X91" s="46">
        <f>VLOOKUP(B91,Policy!$B$5:$F$8,5,FALSE)</f>
        <v>1.2815515655446006</v>
      </c>
      <c r="Y91" s="47">
        <f t="shared" si="27"/>
        <v>4.7343175378026764E-2</v>
      </c>
      <c r="Z91" s="43">
        <f t="shared" si="28"/>
        <v>5.3740282185662007</v>
      </c>
      <c r="AA91" s="48">
        <f t="shared" si="29"/>
        <v>0.97261861724347365</v>
      </c>
      <c r="AB91" s="15">
        <f t="shared" si="30"/>
        <v>181.75906770417782</v>
      </c>
      <c r="AC91" s="46"/>
      <c r="AD91" s="15">
        <f t="shared" si="31"/>
        <v>145.4717437474813</v>
      </c>
      <c r="AE91" s="50">
        <f t="shared" si="21"/>
        <v>98.132885880010889</v>
      </c>
      <c r="AF91" s="52">
        <f t="shared" si="22"/>
        <v>29.425999265719145</v>
      </c>
      <c r="AG91" s="51">
        <f t="shared" si="32"/>
        <v>32</v>
      </c>
      <c r="AH91" s="43">
        <f t="shared" si="33"/>
        <v>3.6517200000000001</v>
      </c>
      <c r="AI91" s="53">
        <f>IF(AH91&gt;=Policy!$E$13,Policy!$C$13,IF(Solution!AH91&gt;=Policy!$E$14,Policy!$C$14,IF(Solution!AH91&gt;=Policy!$E$15,Policy!$C$15,IF(Solution!AH91&gt;=Policy!$E$16,Policy!$C$16,IF(Solution!AH91&gt;=Policy!$E$17,Policy!$C$17,IF(Solution!AH91&gt;=Policy!$E$18,Policy!$C$18))))))</f>
        <v>4</v>
      </c>
    </row>
    <row r="92" spans="1:35" x14ac:dyDescent="0.3">
      <c r="A92" s="16" t="s">
        <v>142</v>
      </c>
      <c r="B92" s="14" t="s">
        <v>3</v>
      </c>
      <c r="C92" s="15">
        <v>0</v>
      </c>
      <c r="D92" s="15">
        <v>140.4</v>
      </c>
      <c r="E92" s="15">
        <v>105.25</v>
      </c>
      <c r="F92" s="15">
        <v>140.19</v>
      </c>
      <c r="G92" s="15">
        <v>315.07</v>
      </c>
      <c r="H92" s="15">
        <v>104.97</v>
      </c>
      <c r="I92" s="15">
        <v>140.08000000000001</v>
      </c>
      <c r="J92" s="15">
        <v>34.69</v>
      </c>
      <c r="K92" s="15">
        <v>69.819999999999993</v>
      </c>
      <c r="L92" s="15">
        <v>139.69</v>
      </c>
      <c r="M92" s="15">
        <v>125.721</v>
      </c>
      <c r="N92" s="38">
        <v>153.65900000000002</v>
      </c>
      <c r="O92" s="41">
        <f t="shared" si="23"/>
        <v>1469.5400000000002</v>
      </c>
      <c r="P92" s="15">
        <f t="shared" si="24"/>
        <v>122.46166666666669</v>
      </c>
      <c r="Q92" s="42">
        <f t="shared" si="25"/>
        <v>77.106323221820617</v>
      </c>
      <c r="R92" s="44">
        <f t="shared" si="26"/>
        <v>0.62963640231762819</v>
      </c>
      <c r="S92" s="49">
        <f t="shared" si="18"/>
        <v>152.48677054050762</v>
      </c>
      <c r="T92" s="45"/>
      <c r="U92" s="46">
        <f>VLOOKUP(B92,Policy!$B$5:$J$8,9,FALSE)</f>
        <v>5.440534834623505</v>
      </c>
      <c r="V92" s="15">
        <f t="shared" si="19"/>
        <v>21.904338522938705</v>
      </c>
      <c r="W92" s="15">
        <f t="shared" si="20"/>
        <v>32.887467945344795</v>
      </c>
      <c r="X92" s="46">
        <f>VLOOKUP(B92,Policy!$B$5:$F$8,5,FALSE)</f>
        <v>1.2815515655446006</v>
      </c>
      <c r="Y92" s="47">
        <f t="shared" si="27"/>
        <v>4.7343175378026764E-2</v>
      </c>
      <c r="Z92" s="43">
        <f t="shared" si="28"/>
        <v>1.5569971626756922</v>
      </c>
      <c r="AA92" s="48">
        <f t="shared" si="29"/>
        <v>0.98978929675566785</v>
      </c>
      <c r="AB92" s="15">
        <f t="shared" si="30"/>
        <v>64.051324555093203</v>
      </c>
      <c r="AC92" s="46"/>
      <c r="AD92" s="15">
        <f t="shared" si="31"/>
        <v>42.146986032154494</v>
      </c>
      <c r="AE92" s="50">
        <f t="shared" si="21"/>
        <v>76.24338527025381</v>
      </c>
      <c r="AF92" s="52">
        <f t="shared" si="22"/>
        <v>37.874213187313906</v>
      </c>
      <c r="AG92" s="51">
        <f t="shared" si="32"/>
        <v>32</v>
      </c>
      <c r="AH92" s="43">
        <f t="shared" si="33"/>
        <v>2.2043100000000004</v>
      </c>
      <c r="AI92" s="53">
        <f>IF(AH92&gt;=Policy!$E$13,Policy!$C$13,IF(Solution!AH92&gt;=Policy!$E$14,Policy!$C$14,IF(Solution!AH92&gt;=Policy!$E$15,Policy!$C$15,IF(Solution!AH92&gt;=Policy!$E$16,Policy!$C$16,IF(Solution!AH92&gt;=Policy!$E$17,Policy!$C$17,IF(Solution!AH92&gt;=Policy!$E$18,Policy!$C$18))))))</f>
        <v>6</v>
      </c>
    </row>
    <row r="93" spans="1:35" x14ac:dyDescent="0.3">
      <c r="A93" s="16" t="s">
        <v>143</v>
      </c>
      <c r="B93" s="14" t="s">
        <v>3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1189.54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38">
        <v>0</v>
      </c>
      <c r="O93" s="41">
        <f t="shared" si="23"/>
        <v>1189.54</v>
      </c>
      <c r="P93" s="15">
        <f t="shared" si="24"/>
        <v>99.12833333333333</v>
      </c>
      <c r="Q93" s="42">
        <f t="shared" si="25"/>
        <v>343.39061960591368</v>
      </c>
      <c r="R93" s="44">
        <f t="shared" si="26"/>
        <v>3.4641016151377544</v>
      </c>
      <c r="S93" s="49">
        <f t="shared" si="18"/>
        <v>137.1926945687633</v>
      </c>
      <c r="T93" s="45"/>
      <c r="U93" s="46">
        <f>VLOOKUP(B93,Policy!$B$5:$J$8,9,FALSE)</f>
        <v>5.440534834623505</v>
      </c>
      <c r="V93" s="15">
        <f t="shared" si="19"/>
        <v>17.73077755391245</v>
      </c>
      <c r="W93" s="15">
        <f t="shared" si="20"/>
        <v>145.26996776589402</v>
      </c>
      <c r="X93" s="46">
        <f>VLOOKUP(B93,Policy!$B$5:$F$8,5,FALSE)</f>
        <v>1.2815515655446006</v>
      </c>
      <c r="Y93" s="47">
        <f t="shared" si="27"/>
        <v>4.7343175378026764E-2</v>
      </c>
      <c r="Z93" s="43">
        <f t="shared" si="28"/>
        <v>6.8775415611010153</v>
      </c>
      <c r="AA93" s="48">
        <f t="shared" si="29"/>
        <v>0.94986947677703149</v>
      </c>
      <c r="AB93" s="15">
        <f t="shared" si="30"/>
        <v>203.90173217090759</v>
      </c>
      <c r="AC93" s="46"/>
      <c r="AD93" s="15">
        <f t="shared" si="31"/>
        <v>186.17095461699515</v>
      </c>
      <c r="AE93" s="50">
        <f t="shared" si="21"/>
        <v>68.59634728438165</v>
      </c>
      <c r="AF93" s="52">
        <f t="shared" si="22"/>
        <v>42.096384751751607</v>
      </c>
      <c r="AG93" s="51">
        <f t="shared" si="32"/>
        <v>32</v>
      </c>
      <c r="AH93" s="43">
        <f t="shared" si="33"/>
        <v>1.7843100000000001</v>
      </c>
      <c r="AI93" s="53">
        <f>IF(AH93&gt;=Policy!$E$13,Policy!$C$13,IF(Solution!AH93&gt;=Policy!$E$14,Policy!$C$14,IF(Solution!AH93&gt;=Policy!$E$15,Policy!$C$15,IF(Solution!AH93&gt;=Policy!$E$16,Policy!$C$16,IF(Solution!AH93&gt;=Policy!$E$17,Policy!$C$17,IF(Solution!AH93&gt;=Policy!$E$18,Policy!$C$18))))))</f>
        <v>6</v>
      </c>
    </row>
    <row r="94" spans="1:35" x14ac:dyDescent="0.3">
      <c r="A94" s="16" t="s">
        <v>144</v>
      </c>
      <c r="B94" s="14" t="s">
        <v>3</v>
      </c>
      <c r="C94" s="15">
        <v>0</v>
      </c>
      <c r="D94" s="15">
        <v>0</v>
      </c>
      <c r="E94" s="15">
        <v>93.72</v>
      </c>
      <c r="F94" s="15">
        <v>156.07</v>
      </c>
      <c r="G94" s="15">
        <v>0</v>
      </c>
      <c r="H94" s="15">
        <v>0</v>
      </c>
      <c r="I94" s="15">
        <v>406.71</v>
      </c>
      <c r="J94" s="15">
        <v>125.92</v>
      </c>
      <c r="K94" s="15">
        <v>83.53</v>
      </c>
      <c r="L94" s="15">
        <v>313.92</v>
      </c>
      <c r="M94" s="15">
        <v>282.52800000000002</v>
      </c>
      <c r="N94" s="38">
        <v>345.31200000000007</v>
      </c>
      <c r="O94" s="41">
        <f t="shared" si="23"/>
        <v>1807.71</v>
      </c>
      <c r="P94" s="15">
        <f t="shared" si="24"/>
        <v>150.64250000000001</v>
      </c>
      <c r="Q94" s="42">
        <f t="shared" si="25"/>
        <v>149.7506034448306</v>
      </c>
      <c r="R94" s="44">
        <f t="shared" si="26"/>
        <v>0.99407938294193599</v>
      </c>
      <c r="S94" s="49">
        <f t="shared" si="18"/>
        <v>169.12423341766822</v>
      </c>
      <c r="T94" s="45"/>
      <c r="U94" s="46">
        <f>VLOOKUP(B94,Policy!$B$5:$J$8,9,FALSE)</f>
        <v>5.440534834623505</v>
      </c>
      <c r="V94" s="15">
        <f t="shared" si="19"/>
        <v>26.944956783280155</v>
      </c>
      <c r="W94" s="15">
        <f t="shared" si="20"/>
        <v>63.550001259380011</v>
      </c>
      <c r="X94" s="46">
        <f>VLOOKUP(B94,Policy!$B$5:$F$8,5,FALSE)</f>
        <v>1.2815515655446006</v>
      </c>
      <c r="Y94" s="47">
        <f t="shared" si="27"/>
        <v>4.7343175378026764E-2</v>
      </c>
      <c r="Z94" s="43">
        <f t="shared" si="28"/>
        <v>3.0086588548966495</v>
      </c>
      <c r="AA94" s="48">
        <f t="shared" si="29"/>
        <v>0.98221036220476765</v>
      </c>
      <c r="AB94" s="15">
        <f t="shared" si="30"/>
        <v>108.38756038759993</v>
      </c>
      <c r="AC94" s="46"/>
      <c r="AD94" s="15">
        <f t="shared" si="31"/>
        <v>81.442603604319785</v>
      </c>
      <c r="AE94" s="50">
        <f t="shared" si="21"/>
        <v>84.562116708834111</v>
      </c>
      <c r="AF94" s="52">
        <f t="shared" si="22"/>
        <v>34.148367380525031</v>
      </c>
      <c r="AG94" s="51">
        <f t="shared" si="32"/>
        <v>32</v>
      </c>
      <c r="AH94" s="43">
        <f t="shared" si="33"/>
        <v>2.7115649999999998</v>
      </c>
      <c r="AI94" s="53">
        <f>IF(AH94&gt;=Policy!$E$13,Policy!$C$13,IF(Solution!AH94&gt;=Policy!$E$14,Policy!$C$14,IF(Solution!AH94&gt;=Policy!$E$15,Policy!$C$15,IF(Solution!AH94&gt;=Policy!$E$16,Policy!$C$16,IF(Solution!AH94&gt;=Policy!$E$17,Policy!$C$17,IF(Solution!AH94&gt;=Policy!$E$18,Policy!$C$18))))))</f>
        <v>5</v>
      </c>
    </row>
    <row r="95" spans="1:35" x14ac:dyDescent="0.3">
      <c r="A95" s="16" t="s">
        <v>145</v>
      </c>
      <c r="B95" s="14" t="s">
        <v>3</v>
      </c>
      <c r="C95" s="15">
        <v>0</v>
      </c>
      <c r="D95" s="15">
        <v>0</v>
      </c>
      <c r="E95" s="15">
        <v>0</v>
      </c>
      <c r="F95" s="15">
        <v>118.86</v>
      </c>
      <c r="G95" s="15">
        <v>197.93</v>
      </c>
      <c r="H95" s="15">
        <v>79.14</v>
      </c>
      <c r="I95" s="15">
        <v>158.19999999999999</v>
      </c>
      <c r="J95" s="15">
        <v>237.02</v>
      </c>
      <c r="K95" s="15">
        <v>157.97999999999999</v>
      </c>
      <c r="L95" s="15">
        <v>197.61</v>
      </c>
      <c r="M95" s="15">
        <v>177.84900000000002</v>
      </c>
      <c r="N95" s="38">
        <v>217.37100000000004</v>
      </c>
      <c r="O95" s="41">
        <f t="shared" si="23"/>
        <v>1541.96</v>
      </c>
      <c r="P95" s="15">
        <f t="shared" si="24"/>
        <v>128.49666666666667</v>
      </c>
      <c r="Q95" s="42">
        <f t="shared" si="25"/>
        <v>88.175411594609457</v>
      </c>
      <c r="R95" s="44">
        <f t="shared" si="26"/>
        <v>0.68620777395996879</v>
      </c>
      <c r="S95" s="49">
        <f t="shared" si="18"/>
        <v>156.19891569989463</v>
      </c>
      <c r="T95" s="45"/>
      <c r="U95" s="46">
        <f>VLOOKUP(B95,Policy!$B$5:$J$8,9,FALSE)</f>
        <v>5.440534834623505</v>
      </c>
      <c r="V95" s="15">
        <f t="shared" si="19"/>
        <v>22.983800256427561</v>
      </c>
      <c r="W95" s="15">
        <f t="shared" si="20"/>
        <v>37.558741320957893</v>
      </c>
      <c r="X95" s="46">
        <f>VLOOKUP(B95,Policy!$B$5:$F$8,5,FALSE)</f>
        <v>1.2815515655446006</v>
      </c>
      <c r="Y95" s="47">
        <f t="shared" si="27"/>
        <v>4.7343175378026764E-2</v>
      </c>
      <c r="Z95" s="43">
        <f t="shared" si="28"/>
        <v>1.7781500773360501</v>
      </c>
      <c r="AA95" s="48">
        <f t="shared" si="29"/>
        <v>0.98861611766401492</v>
      </c>
      <c r="AB95" s="15">
        <f t="shared" si="30"/>
        <v>71.117263996185827</v>
      </c>
      <c r="AC95" s="46"/>
      <c r="AD95" s="15">
        <f t="shared" si="31"/>
        <v>48.13346373975827</v>
      </c>
      <c r="AE95" s="50">
        <f t="shared" si="21"/>
        <v>78.099457849947314</v>
      </c>
      <c r="AF95" s="52">
        <f t="shared" si="22"/>
        <v>36.97411361543849</v>
      </c>
      <c r="AG95" s="51">
        <f t="shared" si="32"/>
        <v>32</v>
      </c>
      <c r="AH95" s="43">
        <f t="shared" si="33"/>
        <v>2.3129400000000002</v>
      </c>
      <c r="AI95" s="53">
        <f>IF(AH95&gt;=Policy!$E$13,Policy!$C$13,IF(Solution!AH95&gt;=Policy!$E$14,Policy!$C$14,IF(Solution!AH95&gt;=Policy!$E$15,Policy!$C$15,IF(Solution!AH95&gt;=Policy!$E$16,Policy!$C$16,IF(Solution!AH95&gt;=Policy!$E$17,Policy!$C$17,IF(Solution!AH95&gt;=Policy!$E$18,Policy!$C$18))))))</f>
        <v>5</v>
      </c>
    </row>
    <row r="96" spans="1:35" x14ac:dyDescent="0.3">
      <c r="A96" s="16" t="s">
        <v>146</v>
      </c>
      <c r="B96" s="14" t="s">
        <v>3</v>
      </c>
      <c r="C96" s="15">
        <v>60.41</v>
      </c>
      <c r="D96" s="15">
        <v>120.15</v>
      </c>
      <c r="E96" s="15">
        <v>60.49</v>
      </c>
      <c r="F96" s="15">
        <v>150.24</v>
      </c>
      <c r="G96" s="15">
        <v>212.2</v>
      </c>
      <c r="H96" s="15">
        <v>301.54000000000002</v>
      </c>
      <c r="I96" s="15">
        <v>0</v>
      </c>
      <c r="J96" s="15">
        <v>0</v>
      </c>
      <c r="K96" s="15">
        <v>210.44</v>
      </c>
      <c r="L96" s="15">
        <v>30.28</v>
      </c>
      <c r="M96" s="15">
        <v>27.252000000000002</v>
      </c>
      <c r="N96" s="38">
        <v>33.308000000000007</v>
      </c>
      <c r="O96" s="41">
        <f t="shared" si="23"/>
        <v>1206.31</v>
      </c>
      <c r="P96" s="15">
        <f t="shared" si="24"/>
        <v>100.52583333333332</v>
      </c>
      <c r="Q96" s="42">
        <f t="shared" si="25"/>
        <v>98.192921546249337</v>
      </c>
      <c r="R96" s="44">
        <f t="shared" si="26"/>
        <v>0.97679291272972302</v>
      </c>
      <c r="S96" s="49">
        <f t="shared" si="18"/>
        <v>138.15637352038377</v>
      </c>
      <c r="T96" s="45"/>
      <c r="U96" s="46">
        <f>VLOOKUP(B96,Policy!$B$5:$J$8,9,FALSE)</f>
        <v>5.440534834623505</v>
      </c>
      <c r="V96" s="15">
        <f t="shared" si="19"/>
        <v>17.980744044807341</v>
      </c>
      <c r="W96" s="15">
        <f t="shared" si="20"/>
        <v>41.675411429312724</v>
      </c>
      <c r="X96" s="46">
        <f>VLOOKUP(B96,Policy!$B$5:$F$8,5,FALSE)</f>
        <v>1.2815515655446006</v>
      </c>
      <c r="Y96" s="47">
        <f t="shared" si="27"/>
        <v>4.7343175378026764E-2</v>
      </c>
      <c r="Z96" s="43">
        <f t="shared" si="28"/>
        <v>1.9730463122493733</v>
      </c>
      <c r="AA96" s="48">
        <f t="shared" si="29"/>
        <v>0.98571874563602191</v>
      </c>
      <c r="AB96" s="15">
        <f t="shared" si="30"/>
        <v>71.389932806758409</v>
      </c>
      <c r="AC96" s="46"/>
      <c r="AD96" s="15">
        <f t="shared" si="31"/>
        <v>53.409188761951064</v>
      </c>
      <c r="AE96" s="50">
        <f t="shared" si="21"/>
        <v>69.078186760191883</v>
      </c>
      <c r="AF96" s="52">
        <f t="shared" si="22"/>
        <v>41.802750814417585</v>
      </c>
      <c r="AG96" s="51">
        <f t="shared" si="32"/>
        <v>32</v>
      </c>
      <c r="AH96" s="43">
        <f t="shared" si="33"/>
        <v>1.8094650000000001</v>
      </c>
      <c r="AI96" s="53">
        <f>IF(AH96&gt;=Policy!$E$13,Policy!$C$13,IF(Solution!AH96&gt;=Policy!$E$14,Policy!$C$14,IF(Solution!AH96&gt;=Policy!$E$15,Policy!$C$15,IF(Solution!AH96&gt;=Policy!$E$16,Policy!$C$16,IF(Solution!AH96&gt;=Policy!$E$17,Policy!$C$17,IF(Solution!AH96&gt;=Policy!$E$18,Policy!$C$18))))))</f>
        <v>6</v>
      </c>
    </row>
    <row r="97" spans="1:35" x14ac:dyDescent="0.3">
      <c r="A97" s="16" t="s">
        <v>147</v>
      </c>
      <c r="B97" s="14" t="s">
        <v>3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1132.58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38">
        <v>0</v>
      </c>
      <c r="O97" s="41">
        <f t="shared" si="23"/>
        <v>1132.58</v>
      </c>
      <c r="P97" s="15">
        <f t="shared" si="24"/>
        <v>94.381666666666661</v>
      </c>
      <c r="Q97" s="42">
        <f t="shared" si="25"/>
        <v>326.94768393939313</v>
      </c>
      <c r="R97" s="44">
        <f t="shared" si="26"/>
        <v>3.4641016151377544</v>
      </c>
      <c r="S97" s="49">
        <f t="shared" si="18"/>
        <v>133.86773181111707</v>
      </c>
      <c r="T97" s="45"/>
      <c r="U97" s="46">
        <f>VLOOKUP(B97,Policy!$B$5:$J$8,9,FALSE)</f>
        <v>5.440534834623505</v>
      </c>
      <c r="V97" s="15">
        <f t="shared" si="19"/>
        <v>16.881756008213394</v>
      </c>
      <c r="W97" s="15">
        <f t="shared" si="20"/>
        <v>138.31385249112785</v>
      </c>
      <c r="X97" s="46">
        <f>VLOOKUP(B97,Policy!$B$5:$F$8,5,FALSE)</f>
        <v>1.2815515655446006</v>
      </c>
      <c r="Y97" s="47">
        <f t="shared" si="27"/>
        <v>4.7343175378026764E-2</v>
      </c>
      <c r="Z97" s="43">
        <f t="shared" si="28"/>
        <v>6.54821697569799</v>
      </c>
      <c r="AA97" s="48">
        <f t="shared" si="29"/>
        <v>0.95108442574542673</v>
      </c>
      <c r="AB97" s="15">
        <f t="shared" si="30"/>
        <v>194.13809020472323</v>
      </c>
      <c r="AC97" s="46"/>
      <c r="AD97" s="15">
        <f t="shared" si="31"/>
        <v>177.25633419650984</v>
      </c>
      <c r="AE97" s="50">
        <f t="shared" si="21"/>
        <v>66.933865905558534</v>
      </c>
      <c r="AF97" s="52">
        <f t="shared" si="22"/>
        <v>43.141960930846153</v>
      </c>
      <c r="AG97" s="51">
        <f t="shared" si="32"/>
        <v>32</v>
      </c>
      <c r="AH97" s="43">
        <f t="shared" si="33"/>
        <v>1.6988700000000001</v>
      </c>
      <c r="AI97" s="53">
        <f>IF(AH97&gt;=Policy!$E$13,Policy!$C$13,IF(Solution!AH97&gt;=Policy!$E$14,Policy!$C$14,IF(Solution!AH97&gt;=Policy!$E$15,Policy!$C$15,IF(Solution!AH97&gt;=Policy!$E$16,Policy!$C$16,IF(Solution!AH97&gt;=Policy!$E$17,Policy!$C$17,IF(Solution!AH97&gt;=Policy!$E$18,Policy!$C$18))))))</f>
        <v>6</v>
      </c>
    </row>
    <row r="98" spans="1:35" x14ac:dyDescent="0.3">
      <c r="A98" s="16" t="s">
        <v>148</v>
      </c>
      <c r="B98" s="14" t="s">
        <v>3</v>
      </c>
      <c r="C98" s="15">
        <v>0</v>
      </c>
      <c r="D98" s="15">
        <v>0</v>
      </c>
      <c r="E98" s="15">
        <v>168.27</v>
      </c>
      <c r="F98" s="15">
        <v>319.82</v>
      </c>
      <c r="G98" s="15">
        <v>16.73</v>
      </c>
      <c r="H98" s="15">
        <v>201.95</v>
      </c>
      <c r="I98" s="15">
        <v>0</v>
      </c>
      <c r="J98" s="15">
        <v>101</v>
      </c>
      <c r="K98" s="15">
        <v>100.68</v>
      </c>
      <c r="L98" s="15">
        <v>167.24</v>
      </c>
      <c r="M98" s="15">
        <v>150.51600000000002</v>
      </c>
      <c r="N98" s="38">
        <v>183.96400000000003</v>
      </c>
      <c r="O98" s="41">
        <f t="shared" si="23"/>
        <v>1410.17</v>
      </c>
      <c r="P98" s="15">
        <f t="shared" si="24"/>
        <v>117.51416666666667</v>
      </c>
      <c r="Q98" s="42">
        <f t="shared" si="25"/>
        <v>100.34162910398867</v>
      </c>
      <c r="R98" s="44">
        <f t="shared" si="26"/>
        <v>0.85386836285544576</v>
      </c>
      <c r="S98" s="49">
        <f t="shared" si="18"/>
        <v>149.37475173434163</v>
      </c>
      <c r="T98" s="45"/>
      <c r="U98" s="46">
        <f>VLOOKUP(B98,Policy!$B$5:$J$8,9,FALSE)</f>
        <v>5.440534834623505</v>
      </c>
      <c r="V98" s="15">
        <f t="shared" si="19"/>
        <v>21.019394541756242</v>
      </c>
      <c r="W98" s="15">
        <f t="shared" si="20"/>
        <v>42.633635815209033</v>
      </c>
      <c r="X98" s="46">
        <f>VLOOKUP(B98,Policy!$B$5:$F$8,5,FALSE)</f>
        <v>1.2815515655446006</v>
      </c>
      <c r="Y98" s="47">
        <f t="shared" si="27"/>
        <v>4.7343175378026764E-2</v>
      </c>
      <c r="Z98" s="43">
        <f t="shared" si="28"/>
        <v>2.0184116974023643</v>
      </c>
      <c r="AA98" s="48">
        <f t="shared" si="29"/>
        <v>0.98648759797778918</v>
      </c>
      <c r="AB98" s="15">
        <f t="shared" si="30"/>
        <v>75.656597265595735</v>
      </c>
      <c r="AC98" s="46"/>
      <c r="AD98" s="15">
        <f t="shared" si="31"/>
        <v>54.637202723839486</v>
      </c>
      <c r="AE98" s="50">
        <f t="shared" si="21"/>
        <v>74.687375867170815</v>
      </c>
      <c r="AF98" s="52">
        <f t="shared" si="22"/>
        <v>38.663270657463066</v>
      </c>
      <c r="AG98" s="51">
        <f t="shared" si="32"/>
        <v>32</v>
      </c>
      <c r="AH98" s="43">
        <f t="shared" si="33"/>
        <v>2.1152549999999999</v>
      </c>
      <c r="AI98" s="53">
        <f>IF(AH98&gt;=Policy!$E$13,Policy!$C$13,IF(Solution!AH98&gt;=Policy!$E$14,Policy!$C$14,IF(Solution!AH98&gt;=Policy!$E$15,Policy!$C$15,IF(Solution!AH98&gt;=Policy!$E$16,Policy!$C$16,IF(Solution!AH98&gt;=Policy!$E$17,Policy!$C$17,IF(Solution!AH98&gt;=Policy!$E$18,Policy!$C$18))))))</f>
        <v>6</v>
      </c>
    </row>
    <row r="99" spans="1:35" x14ac:dyDescent="0.3">
      <c r="A99" s="16" t="s">
        <v>149</v>
      </c>
      <c r="B99" s="14" t="s">
        <v>3</v>
      </c>
      <c r="C99" s="15">
        <v>0</v>
      </c>
      <c r="D99" s="15">
        <v>0</v>
      </c>
      <c r="E99" s="15">
        <v>204.06</v>
      </c>
      <c r="F99" s="15">
        <v>204.08</v>
      </c>
      <c r="G99" s="15">
        <v>0</v>
      </c>
      <c r="H99" s="15">
        <v>90.9</v>
      </c>
      <c r="I99" s="15">
        <v>374.77</v>
      </c>
      <c r="J99" s="15">
        <v>0</v>
      </c>
      <c r="K99" s="15">
        <v>0</v>
      </c>
      <c r="L99" s="15">
        <v>168.6</v>
      </c>
      <c r="M99" s="15">
        <v>151.74</v>
      </c>
      <c r="N99" s="38">
        <v>185.46</v>
      </c>
      <c r="O99" s="41">
        <f t="shared" si="23"/>
        <v>1379.61</v>
      </c>
      <c r="P99" s="15">
        <f t="shared" si="24"/>
        <v>114.96749999999999</v>
      </c>
      <c r="Q99" s="42">
        <f t="shared" si="25"/>
        <v>120.31798000034588</v>
      </c>
      <c r="R99" s="44">
        <f t="shared" si="26"/>
        <v>1.0465390653910531</v>
      </c>
      <c r="S99" s="49">
        <f t="shared" si="18"/>
        <v>147.74732536292743</v>
      </c>
      <c r="T99" s="45"/>
      <c r="U99" s="46">
        <f>VLOOKUP(B99,Policy!$B$5:$J$8,9,FALSE)</f>
        <v>5.440534834623505</v>
      </c>
      <c r="V99" s="15">
        <f t="shared" si="19"/>
        <v>20.563880173136802</v>
      </c>
      <c r="W99" s="15">
        <f t="shared" si="20"/>
        <v>51.042637579323276</v>
      </c>
      <c r="X99" s="46">
        <f>VLOOKUP(B99,Policy!$B$5:$F$8,5,FALSE)</f>
        <v>1.2815515655446006</v>
      </c>
      <c r="Y99" s="47">
        <f t="shared" si="27"/>
        <v>4.7343175378026764E-2</v>
      </c>
      <c r="Z99" s="43">
        <f t="shared" si="28"/>
        <v>2.4165205426749612</v>
      </c>
      <c r="AA99" s="48">
        <f t="shared" si="29"/>
        <v>0.9836442349346155</v>
      </c>
      <c r="AB99" s="15">
        <f t="shared" si="30"/>
        <v>85.977652272444203</v>
      </c>
      <c r="AC99" s="46"/>
      <c r="AD99" s="15">
        <f t="shared" si="31"/>
        <v>65.413772099307408</v>
      </c>
      <c r="AE99" s="50">
        <f t="shared" si="21"/>
        <v>73.873662681463713</v>
      </c>
      <c r="AF99" s="52">
        <f t="shared" si="22"/>
        <v>39.089143857661597</v>
      </c>
      <c r="AG99" s="51">
        <f t="shared" si="32"/>
        <v>32</v>
      </c>
      <c r="AH99" s="43">
        <f t="shared" si="33"/>
        <v>2.0694149999999998</v>
      </c>
      <c r="AI99" s="53">
        <f>IF(AH99&gt;=Policy!$E$13,Policy!$C$13,IF(Solution!AH99&gt;=Policy!$E$14,Policy!$C$14,IF(Solution!AH99&gt;=Policy!$E$15,Policy!$C$15,IF(Solution!AH99&gt;=Policy!$E$16,Policy!$C$16,IF(Solution!AH99&gt;=Policy!$E$17,Policy!$C$17,IF(Solution!AH99&gt;=Policy!$E$18,Policy!$C$18))))))</f>
        <v>6</v>
      </c>
    </row>
    <row r="100" spans="1:35" x14ac:dyDescent="0.3">
      <c r="A100" s="16" t="s">
        <v>150</v>
      </c>
      <c r="B100" s="14" t="s">
        <v>3</v>
      </c>
      <c r="C100" s="15">
        <v>0</v>
      </c>
      <c r="D100" s="15">
        <v>95.79</v>
      </c>
      <c r="E100" s="15">
        <v>191.18</v>
      </c>
      <c r="F100" s="15">
        <v>126.97</v>
      </c>
      <c r="G100" s="15">
        <v>159.04</v>
      </c>
      <c r="H100" s="15">
        <v>96.06</v>
      </c>
      <c r="I100" s="15">
        <v>0</v>
      </c>
      <c r="J100" s="15">
        <v>96.24</v>
      </c>
      <c r="K100" s="15">
        <v>181.17</v>
      </c>
      <c r="L100" s="15">
        <v>84.41</v>
      </c>
      <c r="M100" s="15">
        <v>75.968999999999994</v>
      </c>
      <c r="N100" s="38">
        <v>92.850999999999999</v>
      </c>
      <c r="O100" s="41">
        <f t="shared" si="23"/>
        <v>1199.6799999999998</v>
      </c>
      <c r="P100" s="15">
        <f t="shared" si="24"/>
        <v>99.973333333333315</v>
      </c>
      <c r="Q100" s="42">
        <f t="shared" si="25"/>
        <v>60.328257986593421</v>
      </c>
      <c r="R100" s="44">
        <f t="shared" si="26"/>
        <v>0.60344349813210285</v>
      </c>
      <c r="S100" s="49">
        <f t="shared" si="18"/>
        <v>137.77618981889671</v>
      </c>
      <c r="T100" s="45"/>
      <c r="U100" s="46">
        <f>VLOOKUP(B100,Policy!$B$5:$J$8,9,FALSE)</f>
        <v>5.440534834623505</v>
      </c>
      <c r="V100" s="15">
        <f t="shared" si="19"/>
        <v>17.881920083290755</v>
      </c>
      <c r="W100" s="15">
        <f t="shared" si="20"/>
        <v>25.750415488010088</v>
      </c>
      <c r="X100" s="46">
        <f>VLOOKUP(B100,Policy!$B$5:$F$8,5,FALSE)</f>
        <v>1.2815515655446006</v>
      </c>
      <c r="Y100" s="47">
        <f t="shared" si="27"/>
        <v>4.7343175378026764E-2</v>
      </c>
      <c r="Z100" s="43">
        <f t="shared" si="28"/>
        <v>1.2191064365059183</v>
      </c>
      <c r="AA100" s="48">
        <f t="shared" si="29"/>
        <v>0.99115154484887114</v>
      </c>
      <c r="AB100" s="15">
        <f t="shared" si="30"/>
        <v>50.882405365374012</v>
      </c>
      <c r="AC100" s="46"/>
      <c r="AD100" s="15">
        <f t="shared" si="31"/>
        <v>33.000485282083261</v>
      </c>
      <c r="AE100" s="50">
        <f t="shared" si="21"/>
        <v>68.888094909448355</v>
      </c>
      <c r="AF100" s="52">
        <f t="shared" si="22"/>
        <v>41.91810256393147</v>
      </c>
      <c r="AG100" s="51">
        <f t="shared" si="32"/>
        <v>32</v>
      </c>
      <c r="AH100" s="43">
        <f t="shared" si="33"/>
        <v>1.7995199999999998</v>
      </c>
      <c r="AI100" s="53">
        <f>IF(AH100&gt;=Policy!$E$13,Policy!$C$13,IF(Solution!AH100&gt;=Policy!$E$14,Policy!$C$14,IF(Solution!AH100&gt;=Policy!$E$15,Policy!$C$15,IF(Solution!AH100&gt;=Policy!$E$16,Policy!$C$16,IF(Solution!AH100&gt;=Policy!$E$17,Policy!$C$17,IF(Solution!AH100&gt;=Policy!$E$18,Policy!$C$18))))))</f>
        <v>6</v>
      </c>
    </row>
    <row r="101" spans="1:35" x14ac:dyDescent="0.3">
      <c r="A101" s="16" t="s">
        <v>151</v>
      </c>
      <c r="B101" s="14" t="s">
        <v>3</v>
      </c>
      <c r="C101" s="15">
        <v>0</v>
      </c>
      <c r="D101" s="15">
        <v>0</v>
      </c>
      <c r="E101" s="15">
        <v>35.58</v>
      </c>
      <c r="F101" s="15">
        <v>189.47</v>
      </c>
      <c r="G101" s="15">
        <v>143.08000000000001</v>
      </c>
      <c r="H101" s="15">
        <v>107.16</v>
      </c>
      <c r="I101" s="15">
        <v>215.16</v>
      </c>
      <c r="J101" s="15">
        <v>142.4</v>
      </c>
      <c r="K101" s="15">
        <v>0</v>
      </c>
      <c r="L101" s="15">
        <v>177.53</v>
      </c>
      <c r="M101" s="15">
        <v>159.77700000000002</v>
      </c>
      <c r="N101" s="38">
        <v>195.28300000000002</v>
      </c>
      <c r="O101" s="41">
        <f t="shared" si="23"/>
        <v>1365.44</v>
      </c>
      <c r="P101" s="15">
        <f t="shared" si="24"/>
        <v>113.78666666666668</v>
      </c>
      <c r="Q101" s="42">
        <f t="shared" si="25"/>
        <v>82.849112292751641</v>
      </c>
      <c r="R101" s="44">
        <f t="shared" si="26"/>
        <v>0.72810914248375591</v>
      </c>
      <c r="S101" s="49">
        <f t="shared" si="18"/>
        <v>146.98660922389917</v>
      </c>
      <c r="T101" s="45"/>
      <c r="U101" s="46">
        <f>VLOOKUP(B101,Policy!$B$5:$J$8,9,FALSE)</f>
        <v>5.440534834623505</v>
      </c>
      <c r="V101" s="15">
        <f t="shared" si="19"/>
        <v>20.3526681769543</v>
      </c>
      <c r="W101" s="15">
        <f t="shared" si="20"/>
        <v>35.26202188938634</v>
      </c>
      <c r="X101" s="46">
        <f>VLOOKUP(B101,Policy!$B$5:$F$8,5,FALSE)</f>
        <v>1.2815515655446006</v>
      </c>
      <c r="Y101" s="47">
        <f t="shared" si="27"/>
        <v>4.7343175378026764E-2</v>
      </c>
      <c r="Z101" s="43">
        <f t="shared" si="28"/>
        <v>1.6694160864930361</v>
      </c>
      <c r="AA101" s="48">
        <f t="shared" si="29"/>
        <v>0.98864239337646009</v>
      </c>
      <c r="AB101" s="15">
        <f t="shared" si="30"/>
        <v>65.542767533565339</v>
      </c>
      <c r="AC101" s="46"/>
      <c r="AD101" s="15">
        <f t="shared" si="31"/>
        <v>45.190099356611036</v>
      </c>
      <c r="AE101" s="50">
        <f t="shared" si="21"/>
        <v>73.493304611949583</v>
      </c>
      <c r="AF101" s="52">
        <f t="shared" si="22"/>
        <v>39.291446249357861</v>
      </c>
      <c r="AG101" s="51">
        <f t="shared" si="32"/>
        <v>32</v>
      </c>
      <c r="AH101" s="43">
        <f t="shared" si="33"/>
        <v>2.0481600000000002</v>
      </c>
      <c r="AI101" s="53">
        <f>IF(AH101&gt;=Policy!$E$13,Policy!$C$13,IF(Solution!AH101&gt;=Policy!$E$14,Policy!$C$14,IF(Solution!AH101&gt;=Policy!$E$15,Policy!$C$15,IF(Solution!AH101&gt;=Policy!$E$16,Policy!$C$16,IF(Solution!AH101&gt;=Policy!$E$17,Policy!$C$17,IF(Solution!AH101&gt;=Policy!$E$18,Policy!$C$18))))))</f>
        <v>6</v>
      </c>
    </row>
    <row r="102" spans="1:35" x14ac:dyDescent="0.3">
      <c r="A102" s="16" t="s">
        <v>152</v>
      </c>
      <c r="B102" s="14" t="s">
        <v>3</v>
      </c>
      <c r="C102" s="15">
        <v>0</v>
      </c>
      <c r="D102" s="15">
        <v>0</v>
      </c>
      <c r="E102" s="15">
        <v>100.32</v>
      </c>
      <c r="F102" s="15">
        <v>265.94</v>
      </c>
      <c r="G102" s="15">
        <v>262.81</v>
      </c>
      <c r="H102" s="15">
        <v>54.93</v>
      </c>
      <c r="I102" s="15">
        <v>0</v>
      </c>
      <c r="J102" s="15">
        <v>131.85</v>
      </c>
      <c r="K102" s="15">
        <v>164.2</v>
      </c>
      <c r="L102" s="15">
        <v>0</v>
      </c>
      <c r="M102" s="15">
        <v>0</v>
      </c>
      <c r="N102" s="38">
        <v>0</v>
      </c>
      <c r="O102" s="41">
        <f t="shared" si="23"/>
        <v>980.05</v>
      </c>
      <c r="P102" s="15">
        <f t="shared" si="24"/>
        <v>81.670833333333334</v>
      </c>
      <c r="Q102" s="42">
        <f t="shared" si="25"/>
        <v>103.21167538416407</v>
      </c>
      <c r="R102" s="44">
        <f t="shared" si="26"/>
        <v>1.2637519561348591</v>
      </c>
      <c r="S102" s="49">
        <f t="shared" ref="S102:S129" si="34">SQRT(2*$T$1*O102*(365/$Y$1)/(($T$3+$T$4)*$T$2))</f>
        <v>124.52758832148223</v>
      </c>
      <c r="T102" s="45"/>
      <c r="U102" s="46">
        <f>VLOOKUP(B102,Policy!$B$5:$J$8,9,FALSE)</f>
        <v>5.440534834623505</v>
      </c>
      <c r="V102" s="15">
        <f t="shared" si="19"/>
        <v>14.608208670336346</v>
      </c>
      <c r="W102" s="15">
        <f t="shared" si="20"/>
        <v>43.74334592887358</v>
      </c>
      <c r="X102" s="46">
        <f>VLOOKUP(B102,Policy!$B$5:$F$8,5,FALSE)</f>
        <v>1.2815515655446006</v>
      </c>
      <c r="Y102" s="47">
        <f t="shared" si="27"/>
        <v>4.7343175378026764E-2</v>
      </c>
      <c r="Z102" s="43">
        <f t="shared" si="28"/>
        <v>2.0709488979323551</v>
      </c>
      <c r="AA102" s="48">
        <f t="shared" si="29"/>
        <v>0.98336955749447297</v>
      </c>
      <c r="AB102" s="15">
        <f t="shared" si="30"/>
        <v>70.667562127643322</v>
      </c>
      <c r="AC102" s="46"/>
      <c r="AD102" s="15">
        <f t="shared" si="31"/>
        <v>56.059353457306969</v>
      </c>
      <c r="AE102" s="50">
        <f t="shared" si="21"/>
        <v>62.263794160741114</v>
      </c>
      <c r="AF102" s="52">
        <f t="shared" ref="AF102:AF129" si="35">S102/(O102/$Y$1)</f>
        <v>46.377806986726199</v>
      </c>
      <c r="AG102" s="51">
        <f t="shared" si="32"/>
        <v>64</v>
      </c>
      <c r="AH102" s="43">
        <f t="shared" si="33"/>
        <v>1.470075</v>
      </c>
      <c r="AI102" s="53">
        <f>IF(AH102&gt;=Policy!$E$13,Policy!$C$13,IF(Solution!AH102&gt;=Policy!$E$14,Policy!$C$14,IF(Solution!AH102&gt;=Policy!$E$15,Policy!$C$15,IF(Solution!AH102&gt;=Policy!$E$16,Policy!$C$16,IF(Solution!AH102&gt;=Policy!$E$17,Policy!$C$17,IF(Solution!AH102&gt;=Policy!$E$18,Policy!$C$18,IF(AH102&gt;=Policy!$E$19,Policy!$C$19,Policy!$C$20)))))))</f>
        <v>7</v>
      </c>
    </row>
    <row r="103" spans="1:35" x14ac:dyDescent="0.3">
      <c r="A103" s="16" t="s">
        <v>153</v>
      </c>
      <c r="B103" s="14" t="s">
        <v>3</v>
      </c>
      <c r="C103" s="15">
        <v>0</v>
      </c>
      <c r="D103" s="15">
        <v>260.97000000000003</v>
      </c>
      <c r="E103" s="15">
        <v>0</v>
      </c>
      <c r="F103" s="15">
        <v>0</v>
      </c>
      <c r="G103" s="15">
        <v>296.20999999999998</v>
      </c>
      <c r="H103" s="15">
        <v>0</v>
      </c>
      <c r="I103" s="15">
        <v>0</v>
      </c>
      <c r="J103" s="15">
        <v>0</v>
      </c>
      <c r="K103" s="15">
        <v>186.28</v>
      </c>
      <c r="L103" s="15">
        <v>223.42</v>
      </c>
      <c r="M103" s="15">
        <v>201.078</v>
      </c>
      <c r="N103" s="38">
        <v>245.762</v>
      </c>
      <c r="O103" s="41">
        <f t="shared" si="23"/>
        <v>1413.72</v>
      </c>
      <c r="P103" s="15">
        <f t="shared" si="24"/>
        <v>117.81</v>
      </c>
      <c r="Q103" s="42">
        <f t="shared" si="25"/>
        <v>126.03874199770337</v>
      </c>
      <c r="R103" s="44">
        <f t="shared" si="26"/>
        <v>1.0698475680986619</v>
      </c>
      <c r="S103" s="49">
        <f t="shared" si="34"/>
        <v>149.56265356623007</v>
      </c>
      <c r="T103" s="45"/>
      <c r="U103" s="46">
        <f>VLOOKUP(B103,Policy!$B$5:$J$8,9,FALSE)</f>
        <v>5.440534834623505</v>
      </c>
      <c r="V103" s="15">
        <f t="shared" si="19"/>
        <v>21.072309332613539</v>
      </c>
      <c r="W103" s="15">
        <f t="shared" si="20"/>
        <v>53.462486911572114</v>
      </c>
      <c r="X103" s="46">
        <f>VLOOKUP(B103,Policy!$B$5:$F$8,5,FALSE)</f>
        <v>1.2815515655446006</v>
      </c>
      <c r="Y103" s="47">
        <f t="shared" si="27"/>
        <v>4.7343175378026764E-2</v>
      </c>
      <c r="Z103" s="43">
        <f t="shared" si="28"/>
        <v>2.5310838940000191</v>
      </c>
      <c r="AA103" s="48">
        <f t="shared" si="29"/>
        <v>0.98307676526426968</v>
      </c>
      <c r="AB103" s="15">
        <f t="shared" si="30"/>
        <v>89.58724313204651</v>
      </c>
      <c r="AC103" s="46"/>
      <c r="AD103" s="15">
        <f t="shared" si="31"/>
        <v>68.514933799432967</v>
      </c>
      <c r="AE103" s="50">
        <f t="shared" si="21"/>
        <v>74.781326783115034</v>
      </c>
      <c r="AF103" s="52">
        <f t="shared" si="35"/>
        <v>38.614696369630458</v>
      </c>
      <c r="AG103" s="51">
        <f t="shared" si="32"/>
        <v>32</v>
      </c>
      <c r="AH103" s="43">
        <f t="shared" si="33"/>
        <v>2.1205799999999999</v>
      </c>
      <c r="AI103" s="53">
        <f>IF(AH103&gt;=Policy!$E$13,Policy!$C$13,IF(Solution!AH103&gt;=Policy!$E$14,Policy!$C$14,IF(Solution!AH103&gt;=Policy!$E$15,Policy!$C$15,IF(Solution!AH103&gt;=Policy!$E$16,Policy!$C$16,IF(Solution!AH103&gt;=Policy!$E$17,Policy!$C$17,IF(Solution!AH103&gt;=Policy!$E$18,Policy!$C$18))))))</f>
        <v>6</v>
      </c>
    </row>
    <row r="104" spans="1:35" x14ac:dyDescent="0.3">
      <c r="A104" s="16" t="s">
        <v>154</v>
      </c>
      <c r="B104" s="14" t="s">
        <v>3</v>
      </c>
      <c r="C104" s="15">
        <v>0</v>
      </c>
      <c r="D104" s="15">
        <v>148.74</v>
      </c>
      <c r="E104" s="15">
        <v>161.78</v>
      </c>
      <c r="F104" s="15">
        <v>53.85</v>
      </c>
      <c r="G104" s="15">
        <v>27.03</v>
      </c>
      <c r="H104" s="15">
        <v>175.57</v>
      </c>
      <c r="I104" s="15">
        <v>27.06</v>
      </c>
      <c r="J104" s="15">
        <v>217.24</v>
      </c>
      <c r="K104" s="15">
        <v>107.51</v>
      </c>
      <c r="L104" s="15">
        <v>0</v>
      </c>
      <c r="M104" s="15">
        <v>0</v>
      </c>
      <c r="N104" s="38">
        <v>0</v>
      </c>
      <c r="O104" s="41">
        <f t="shared" si="23"/>
        <v>918.78</v>
      </c>
      <c r="P104" s="15">
        <f t="shared" si="24"/>
        <v>76.564999999999998</v>
      </c>
      <c r="Q104" s="42">
        <f t="shared" si="25"/>
        <v>80.84164931293995</v>
      </c>
      <c r="R104" s="44">
        <f t="shared" si="26"/>
        <v>1.0558564528562653</v>
      </c>
      <c r="S104" s="49">
        <f t="shared" si="34"/>
        <v>120.57221167353653</v>
      </c>
      <c r="T104" s="45"/>
      <c r="U104" s="46">
        <f>VLOOKUP(B104,Policy!$B$5:$J$8,9,FALSE)</f>
        <v>5.440534834623505</v>
      </c>
      <c r="V104" s="15">
        <f t="shared" si="19"/>
        <v>13.694944096864065</v>
      </c>
      <c r="W104" s="15">
        <f t="shared" si="20"/>
        <v>34.293697244286179</v>
      </c>
      <c r="X104" s="46">
        <f>VLOOKUP(B104,Policy!$B$5:$F$8,5,FALSE)</f>
        <v>1.2815515655446006</v>
      </c>
      <c r="Y104" s="47">
        <f t="shared" si="27"/>
        <v>4.7343175378026764E-2</v>
      </c>
      <c r="Z104" s="43">
        <f t="shared" si="28"/>
        <v>1.6235725229971938</v>
      </c>
      <c r="AA104" s="48">
        <f t="shared" si="29"/>
        <v>0.98653443857036305</v>
      </c>
      <c r="AB104" s="15">
        <f t="shared" si="30"/>
        <v>57.644085488591571</v>
      </c>
      <c r="AC104" s="46"/>
      <c r="AD104" s="15">
        <f t="shared" si="31"/>
        <v>43.949141391727508</v>
      </c>
      <c r="AE104" s="50">
        <f t="shared" si="21"/>
        <v>60.286105836768265</v>
      </c>
      <c r="AF104" s="52">
        <f t="shared" si="35"/>
        <v>47.899232962015752</v>
      </c>
      <c r="AG104" s="51">
        <f t="shared" si="32"/>
        <v>64</v>
      </c>
      <c r="AH104" s="43">
        <f t="shared" si="33"/>
        <v>1.3781699999999999</v>
      </c>
      <c r="AI104" s="53">
        <f>IF(AH104&gt;=Policy!$E$13,Policy!$C$13,IF(Solution!AH104&gt;=Policy!$E$14,Policy!$C$14,IF(Solution!AH104&gt;=Policy!$E$15,Policy!$C$15,IF(Solution!AH104&gt;=Policy!$E$16,Policy!$C$16,IF(Solution!AH104&gt;=Policy!$E$17,Policy!$C$17,IF(Solution!AH104&gt;=Policy!$E$18,Policy!$C$18,IF(AH104&gt;=Policy!$E$19,Policy!$C$19,Policy!$C$20)))))))</f>
        <v>7</v>
      </c>
    </row>
    <row r="105" spans="1:35" x14ac:dyDescent="0.3">
      <c r="A105" s="16" t="s">
        <v>155</v>
      </c>
      <c r="B105" s="14" t="s">
        <v>3</v>
      </c>
      <c r="C105" s="15">
        <v>0</v>
      </c>
      <c r="D105" s="15">
        <v>0</v>
      </c>
      <c r="E105" s="15">
        <v>0</v>
      </c>
      <c r="F105" s="15">
        <v>0</v>
      </c>
      <c r="G105" s="15">
        <v>66.599999999999994</v>
      </c>
      <c r="H105" s="15">
        <v>365.41</v>
      </c>
      <c r="I105" s="15">
        <v>332.84</v>
      </c>
      <c r="J105" s="15">
        <v>133.09</v>
      </c>
      <c r="K105" s="15">
        <v>0</v>
      </c>
      <c r="L105" s="15">
        <v>0</v>
      </c>
      <c r="M105" s="15">
        <v>0</v>
      </c>
      <c r="N105" s="38">
        <v>0</v>
      </c>
      <c r="O105" s="41">
        <f t="shared" si="23"/>
        <v>897.93999999999994</v>
      </c>
      <c r="P105" s="15">
        <f t="shared" si="24"/>
        <v>74.828333333333333</v>
      </c>
      <c r="Q105" s="42">
        <f t="shared" si="25"/>
        <v>134.59166804100693</v>
      </c>
      <c r="R105" s="44">
        <f t="shared" si="26"/>
        <v>1.7986725354612592</v>
      </c>
      <c r="S105" s="49">
        <f t="shared" si="34"/>
        <v>119.19694372090696</v>
      </c>
      <c r="T105" s="45"/>
      <c r="U105" s="46">
        <f>VLOOKUP(B105,Policy!$B$5:$J$8,9,FALSE)</f>
        <v>5.440534834623505</v>
      </c>
      <c r="V105" s="15">
        <f t="shared" si="19"/>
        <v>13.384311916169395</v>
      </c>
      <c r="W105" s="15">
        <f t="shared" si="20"/>
        <v>56.981897944232685</v>
      </c>
      <c r="X105" s="46">
        <f>VLOOKUP(B105,Policy!$B$5:$F$8,5,FALSE)</f>
        <v>1.2815515655446006</v>
      </c>
      <c r="Y105" s="47">
        <f t="shared" si="27"/>
        <v>4.7343175378026764E-2</v>
      </c>
      <c r="Z105" s="43">
        <f t="shared" si="28"/>
        <v>2.6977039877466309</v>
      </c>
      <c r="AA105" s="48">
        <f t="shared" si="29"/>
        <v>0.97736767484522791</v>
      </c>
      <c r="AB105" s="15">
        <f t="shared" si="30"/>
        <v>86.40955243430345</v>
      </c>
      <c r="AC105" s="46"/>
      <c r="AD105" s="15">
        <f t="shared" si="31"/>
        <v>73.025240518134055</v>
      </c>
      <c r="AE105" s="50">
        <f t="shared" si="21"/>
        <v>59.598471860453479</v>
      </c>
      <c r="AF105" s="52">
        <f t="shared" si="35"/>
        <v>48.451883709525184</v>
      </c>
      <c r="AG105" s="51">
        <f t="shared" si="32"/>
        <v>64</v>
      </c>
      <c r="AH105" s="43">
        <f t="shared" si="33"/>
        <v>1.3469100000000001</v>
      </c>
      <c r="AI105" s="53">
        <f>IF(AH105&gt;=Policy!$E$13,Policy!$C$13,IF(Solution!AH105&gt;=Policy!$E$14,Policy!$C$14,IF(Solution!AH105&gt;=Policy!$E$15,Policy!$C$15,IF(Solution!AH105&gt;=Policy!$E$16,Policy!$C$16,IF(Solution!AH105&gt;=Policy!$E$17,Policy!$C$17,IF(Solution!AH105&gt;=Policy!$E$18,Policy!$C$18,IF(AH105&gt;=Policy!$E$19,Policy!$C$19,Policy!$C$20)))))))</f>
        <v>7</v>
      </c>
    </row>
    <row r="106" spans="1:35" x14ac:dyDescent="0.3">
      <c r="A106" s="16" t="s">
        <v>156</v>
      </c>
      <c r="B106" s="14" t="s">
        <v>3</v>
      </c>
      <c r="C106" s="15">
        <v>0</v>
      </c>
      <c r="D106" s="15">
        <v>64.75</v>
      </c>
      <c r="E106" s="15">
        <v>97.07</v>
      </c>
      <c r="F106" s="15">
        <v>194.61</v>
      </c>
      <c r="G106" s="15">
        <v>43.31</v>
      </c>
      <c r="H106" s="15">
        <v>162.58000000000001</v>
      </c>
      <c r="I106" s="15">
        <v>130.02000000000001</v>
      </c>
      <c r="J106" s="15">
        <v>129.79</v>
      </c>
      <c r="K106" s="15">
        <v>64.97</v>
      </c>
      <c r="L106" s="15">
        <v>0</v>
      </c>
      <c r="M106" s="15">
        <v>0</v>
      </c>
      <c r="N106" s="38">
        <v>0</v>
      </c>
      <c r="O106" s="41">
        <f t="shared" si="23"/>
        <v>887.1</v>
      </c>
      <c r="P106" s="15">
        <f t="shared" si="24"/>
        <v>73.924999999999997</v>
      </c>
      <c r="Q106" s="42">
        <f t="shared" si="25"/>
        <v>68.880060381665004</v>
      </c>
      <c r="R106" s="44">
        <f t="shared" si="26"/>
        <v>0.93175597405025368</v>
      </c>
      <c r="S106" s="49">
        <f t="shared" si="34"/>
        <v>118.47528183154193</v>
      </c>
      <c r="T106" s="45"/>
      <c r="U106" s="46">
        <f>VLOOKUP(B106,Policy!$B$5:$J$8,9,FALSE)</f>
        <v>5.440534834623505</v>
      </c>
      <c r="V106" s="15">
        <f t="shared" si="19"/>
        <v>13.222735484368524</v>
      </c>
      <c r="W106" s="15">
        <f t="shared" si="20"/>
        <v>29.244526500384822</v>
      </c>
      <c r="X106" s="46">
        <f>VLOOKUP(B106,Policy!$B$5:$F$8,5,FALSE)</f>
        <v>1.2815515655446006</v>
      </c>
      <c r="Y106" s="47">
        <f t="shared" si="27"/>
        <v>4.7343175378026764E-2</v>
      </c>
      <c r="Z106" s="43">
        <f t="shared" si="28"/>
        <v>1.38452874695507</v>
      </c>
      <c r="AA106" s="48">
        <f t="shared" si="29"/>
        <v>0.98831377545129029</v>
      </c>
      <c r="AB106" s="15">
        <f t="shared" si="30"/>
        <v>50.701104204547249</v>
      </c>
      <c r="AC106" s="46"/>
      <c r="AD106" s="15">
        <f t="shared" si="31"/>
        <v>37.478368720178729</v>
      </c>
      <c r="AE106" s="50">
        <f t="shared" si="21"/>
        <v>59.237640915770967</v>
      </c>
      <c r="AF106" s="52">
        <f t="shared" si="35"/>
        <v>48.747015971719989</v>
      </c>
      <c r="AG106" s="51">
        <f t="shared" si="32"/>
        <v>64</v>
      </c>
      <c r="AH106" s="43">
        <f t="shared" si="33"/>
        <v>1.3306500000000001</v>
      </c>
      <c r="AI106" s="53">
        <f>IF(AH106&gt;=Policy!$E$13,Policy!$C$13,IF(Solution!AH106&gt;=Policy!$E$14,Policy!$C$14,IF(Solution!AH106&gt;=Policy!$E$15,Policy!$C$15,IF(Solution!AH106&gt;=Policy!$E$16,Policy!$C$16,IF(Solution!AH106&gt;=Policy!$E$17,Policy!$C$17,IF(Solution!AH106&gt;=Policy!$E$18,Policy!$C$18,IF(AH106&gt;=Policy!$E$19,Policy!$C$19,Policy!$C$20)))))))</f>
        <v>7</v>
      </c>
    </row>
    <row r="107" spans="1:35" x14ac:dyDescent="0.3">
      <c r="A107" s="16" t="s">
        <v>157</v>
      </c>
      <c r="B107" s="14" t="s">
        <v>3</v>
      </c>
      <c r="C107" s="15">
        <v>0</v>
      </c>
      <c r="D107" s="15">
        <v>0</v>
      </c>
      <c r="E107" s="15">
        <v>34.520000000000003</v>
      </c>
      <c r="F107" s="15">
        <v>0</v>
      </c>
      <c r="G107" s="15">
        <v>173.74</v>
      </c>
      <c r="H107" s="15">
        <v>104.32</v>
      </c>
      <c r="I107" s="15">
        <v>139.11000000000001</v>
      </c>
      <c r="J107" s="15">
        <v>69.39</v>
      </c>
      <c r="K107" s="15">
        <v>173.74</v>
      </c>
      <c r="L107" s="15">
        <v>171.85</v>
      </c>
      <c r="M107" s="15">
        <v>154.66499999999999</v>
      </c>
      <c r="N107" s="38">
        <v>189.035</v>
      </c>
      <c r="O107" s="41">
        <f t="shared" si="23"/>
        <v>1210.3700000000001</v>
      </c>
      <c r="P107" s="15">
        <f t="shared" si="24"/>
        <v>100.86416666666668</v>
      </c>
      <c r="Q107" s="42">
        <f t="shared" si="25"/>
        <v>76.108168682156034</v>
      </c>
      <c r="R107" s="44">
        <f t="shared" si="26"/>
        <v>0.75456102198986452</v>
      </c>
      <c r="S107" s="49">
        <f t="shared" si="34"/>
        <v>138.3886702394127</v>
      </c>
      <c r="T107" s="45"/>
      <c r="U107" s="46">
        <f>VLOOKUP(B107,Policy!$B$5:$J$8,9,FALSE)</f>
        <v>5.440534834623505</v>
      </c>
      <c r="V107" s="15">
        <f t="shared" si="19"/>
        <v>18.041260678858226</v>
      </c>
      <c r="W107" s="15">
        <f t="shared" si="20"/>
        <v>32.378894054641748</v>
      </c>
      <c r="X107" s="46">
        <f>VLOOKUP(B107,Policy!$B$5:$F$8,5,FALSE)</f>
        <v>1.2815515655446006</v>
      </c>
      <c r="Y107" s="47">
        <f t="shared" si="27"/>
        <v>4.7343175378026764E-2</v>
      </c>
      <c r="Z107" s="43">
        <f t="shared" si="28"/>
        <v>1.5329196597754524</v>
      </c>
      <c r="AA107" s="48">
        <f t="shared" si="29"/>
        <v>0.98892308411430285</v>
      </c>
      <c r="AB107" s="15">
        <f t="shared" si="30"/>
        <v>59.536483045187111</v>
      </c>
      <c r="AC107" s="46"/>
      <c r="AD107" s="15">
        <f t="shared" si="31"/>
        <v>41.495222366328889</v>
      </c>
      <c r="AE107" s="50">
        <f t="shared" si="21"/>
        <v>69.194335119706352</v>
      </c>
      <c r="AF107" s="52">
        <f t="shared" si="35"/>
        <v>41.732581472926157</v>
      </c>
      <c r="AG107" s="51">
        <f t="shared" si="32"/>
        <v>32</v>
      </c>
      <c r="AH107" s="43">
        <f t="shared" si="33"/>
        <v>1.8155550000000003</v>
      </c>
      <c r="AI107" s="53">
        <f>IF(AH107&gt;=Policy!$E$13,Policy!$C$13,IF(Solution!AH107&gt;=Policy!$E$14,Policy!$C$14,IF(Solution!AH107&gt;=Policy!$E$15,Policy!$C$15,IF(Solution!AH107&gt;=Policy!$E$16,Policy!$C$16,IF(Solution!AH107&gt;=Policy!$E$17,Policy!$C$17,IF(Solution!AH107&gt;=Policy!$E$18,Policy!$C$18,IF(AH107&gt;=Policy!$E$19,Policy!$C$19,Policy!$C$20)))))))</f>
        <v>6</v>
      </c>
    </row>
    <row r="108" spans="1:35" x14ac:dyDescent="0.3">
      <c r="A108" s="16" t="s">
        <v>158</v>
      </c>
      <c r="B108" s="14" t="s">
        <v>3</v>
      </c>
      <c r="C108" s="15">
        <v>0</v>
      </c>
      <c r="D108" s="15">
        <v>0</v>
      </c>
      <c r="E108" s="15">
        <v>132.59</v>
      </c>
      <c r="F108" s="15">
        <v>165.08</v>
      </c>
      <c r="G108" s="15">
        <v>99.06</v>
      </c>
      <c r="H108" s="15">
        <v>65.91</v>
      </c>
      <c r="I108" s="15">
        <v>66.11</v>
      </c>
      <c r="J108" s="15">
        <v>99.01</v>
      </c>
      <c r="K108" s="15">
        <v>166.43</v>
      </c>
      <c r="L108" s="15">
        <v>65.83</v>
      </c>
      <c r="M108" s="15">
        <v>59.247</v>
      </c>
      <c r="N108" s="38">
        <v>72.413000000000011</v>
      </c>
      <c r="O108" s="41">
        <f t="shared" si="23"/>
        <v>991.68000000000006</v>
      </c>
      <c r="P108" s="15">
        <f t="shared" si="24"/>
        <v>82.64</v>
      </c>
      <c r="Q108" s="42">
        <f t="shared" si="25"/>
        <v>53.932606580300337</v>
      </c>
      <c r="R108" s="44">
        <f t="shared" si="26"/>
        <v>0.65262108640247263</v>
      </c>
      <c r="S108" s="49">
        <f t="shared" si="34"/>
        <v>125.26427759144397</v>
      </c>
      <c r="T108" s="45"/>
      <c r="U108" s="46">
        <f>VLOOKUP(B108,Policy!$B$5:$J$8,9,FALSE)</f>
        <v>5.440534834623505</v>
      </c>
      <c r="V108" s="15">
        <f t="shared" si="19"/>
        <v>14.781560506299829</v>
      </c>
      <c r="W108" s="15">
        <f t="shared" si="20"/>
        <v>22.990028756500624</v>
      </c>
      <c r="X108" s="46">
        <f>VLOOKUP(B108,Policy!$B$5:$F$8,5,FALSE)</f>
        <v>1.2815515655446006</v>
      </c>
      <c r="Y108" s="47">
        <f t="shared" si="27"/>
        <v>4.7343175378026764E-2</v>
      </c>
      <c r="Z108" s="43">
        <f t="shared" si="28"/>
        <v>1.0884209633648876</v>
      </c>
      <c r="AA108" s="48">
        <f t="shared" si="29"/>
        <v>0.99131100275120065</v>
      </c>
      <c r="AB108" s="15">
        <f t="shared" si="30"/>
        <v>44.244467851108595</v>
      </c>
      <c r="AC108" s="46"/>
      <c r="AD108" s="15">
        <f t="shared" si="31"/>
        <v>29.462907344808762</v>
      </c>
      <c r="AE108" s="50">
        <f t="shared" si="21"/>
        <v>62.632138795721986</v>
      </c>
      <c r="AF108" s="52">
        <f t="shared" si="35"/>
        <v>46.105055381652399</v>
      </c>
      <c r="AG108" s="51">
        <f t="shared" si="32"/>
        <v>64</v>
      </c>
      <c r="AH108" s="43">
        <f t="shared" si="33"/>
        <v>1.48752</v>
      </c>
      <c r="AI108" s="53">
        <f>IF(AH108&gt;=Policy!$E$13,Policy!$C$13,IF(Solution!AH108&gt;=Policy!$E$14,Policy!$C$14,IF(Solution!AH108&gt;=Policy!$E$15,Policy!$C$15,IF(Solution!AH108&gt;=Policy!$E$16,Policy!$C$16,IF(Solution!AH108&gt;=Policy!$E$17,Policy!$C$17,IF(Solution!AH108&gt;=Policy!$E$18,Policy!$C$18,IF(AH108&gt;=Policy!$E$19,Policy!$C$19,Policy!$C$20)))))))</f>
        <v>7</v>
      </c>
    </row>
    <row r="109" spans="1:35" x14ac:dyDescent="0.3">
      <c r="A109" s="16" t="s">
        <v>159</v>
      </c>
      <c r="B109" s="14" t="s">
        <v>3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852.2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38">
        <v>0</v>
      </c>
      <c r="O109" s="41">
        <f t="shared" si="23"/>
        <v>852.2</v>
      </c>
      <c r="P109" s="15">
        <f t="shared" si="24"/>
        <v>71.016666666666666</v>
      </c>
      <c r="Q109" s="42">
        <f t="shared" si="25"/>
        <v>246.00894970169955</v>
      </c>
      <c r="R109" s="44">
        <f t="shared" si="26"/>
        <v>3.4641016151377548</v>
      </c>
      <c r="S109" s="49">
        <f t="shared" si="34"/>
        <v>116.12138999852642</v>
      </c>
      <c r="T109" s="45"/>
      <c r="U109" s="46">
        <f>VLOOKUP(B109,Policy!$B$5:$J$8,9,FALSE)</f>
        <v>5.440534834623505</v>
      </c>
      <c r="V109" s="15">
        <f t="shared" si="19"/>
        <v>12.702530920729181</v>
      </c>
      <c r="W109" s="15">
        <f t="shared" si="20"/>
        <v>104.07305893882921</v>
      </c>
      <c r="X109" s="46">
        <f>VLOOKUP(B109,Policy!$B$5:$F$8,5,FALSE)</f>
        <v>1.2815515655446006</v>
      </c>
      <c r="Y109" s="47">
        <f t="shared" si="27"/>
        <v>4.7343175378026764E-2</v>
      </c>
      <c r="Z109" s="43">
        <f t="shared" si="28"/>
        <v>4.9271490814687073</v>
      </c>
      <c r="AA109" s="48">
        <f t="shared" si="29"/>
        <v>0.95756897948318365</v>
      </c>
      <c r="AB109" s="15">
        <f t="shared" si="30"/>
        <v>146.07752253480123</v>
      </c>
      <c r="AC109" s="46"/>
      <c r="AD109" s="15">
        <f t="shared" si="31"/>
        <v>133.37499161407206</v>
      </c>
      <c r="AE109" s="50">
        <f t="shared" si="21"/>
        <v>58.060694999263212</v>
      </c>
      <c r="AF109" s="52">
        <f t="shared" si="35"/>
        <v>49.735164690755859</v>
      </c>
      <c r="AG109" s="51">
        <f t="shared" si="32"/>
        <v>64</v>
      </c>
      <c r="AH109" s="43">
        <f t="shared" si="33"/>
        <v>1.2783</v>
      </c>
      <c r="AI109" s="53">
        <f>IF(AH109&gt;=Policy!$E$13,Policy!$C$13,IF(Solution!AH109&gt;=Policy!$E$14,Policy!$C$14,IF(Solution!AH109&gt;=Policy!$E$15,Policy!$C$15,IF(Solution!AH109&gt;=Policy!$E$16,Policy!$C$16,IF(Solution!AH109&gt;=Policy!$E$17,Policy!$C$17,IF(Solution!AH109&gt;=Policy!$E$18,Policy!$C$18,IF(AH109&gt;=Policy!$E$19,Policy!$C$19,Policy!$C$20)))))))</f>
        <v>7</v>
      </c>
    </row>
    <row r="110" spans="1:35" x14ac:dyDescent="0.3">
      <c r="A110" s="16" t="s">
        <v>160</v>
      </c>
      <c r="B110" s="14" t="s">
        <v>3</v>
      </c>
      <c r="C110" s="15">
        <v>69.11</v>
      </c>
      <c r="D110" s="15">
        <v>68.87</v>
      </c>
      <c r="E110" s="15">
        <v>103.32</v>
      </c>
      <c r="F110" s="15">
        <v>306.63</v>
      </c>
      <c r="G110" s="15">
        <v>101.44</v>
      </c>
      <c r="H110" s="15">
        <v>202.01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38">
        <v>0</v>
      </c>
      <c r="O110" s="41">
        <f t="shared" si="23"/>
        <v>851.38000000000011</v>
      </c>
      <c r="P110" s="15">
        <f t="shared" si="24"/>
        <v>70.948333333333338</v>
      </c>
      <c r="Q110" s="42">
        <f t="shared" si="25"/>
        <v>97.659133523731711</v>
      </c>
      <c r="R110" s="44">
        <f t="shared" si="26"/>
        <v>1.3764824194657854</v>
      </c>
      <c r="S110" s="49">
        <f t="shared" si="34"/>
        <v>116.06550965573524</v>
      </c>
      <c r="T110" s="45"/>
      <c r="U110" s="46">
        <f>VLOOKUP(B110,Policy!$B$5:$J$8,9,FALSE)</f>
        <v>5.440534834623505</v>
      </c>
      <c r="V110" s="15">
        <f t="shared" si="19"/>
        <v>12.69030834931989</v>
      </c>
      <c r="W110" s="15">
        <f t="shared" si="20"/>
        <v>41.376338819924094</v>
      </c>
      <c r="X110" s="46">
        <f>VLOOKUP(B110,Policy!$B$5:$F$8,5,FALSE)</f>
        <v>1.2815515655446006</v>
      </c>
      <c r="Y110" s="47">
        <f t="shared" si="27"/>
        <v>4.7343175378026764E-2</v>
      </c>
      <c r="Z110" s="43">
        <f t="shared" si="28"/>
        <v>1.9588872652523233</v>
      </c>
      <c r="AA110" s="48">
        <f t="shared" si="29"/>
        <v>0.98312257214858556</v>
      </c>
      <c r="AB110" s="15">
        <f t="shared" si="30"/>
        <v>65.716220140497441</v>
      </c>
      <c r="AC110" s="46"/>
      <c r="AD110" s="15">
        <f t="shared" si="31"/>
        <v>53.025911791177556</v>
      </c>
      <c r="AE110" s="50">
        <f t="shared" si="21"/>
        <v>58.03275482786762</v>
      </c>
      <c r="AF110" s="52">
        <f t="shared" si="35"/>
        <v>49.759109944259158</v>
      </c>
      <c r="AG110" s="51">
        <f t="shared" si="32"/>
        <v>64</v>
      </c>
      <c r="AH110" s="43">
        <f t="shared" si="33"/>
        <v>1.2770700000000001</v>
      </c>
      <c r="AI110" s="53">
        <f>IF(AH110&gt;=Policy!$E$13,Policy!$C$13,IF(Solution!AH110&gt;=Policy!$E$14,Policy!$C$14,IF(Solution!AH110&gt;=Policy!$E$15,Policy!$C$15,IF(Solution!AH110&gt;=Policy!$E$16,Policy!$C$16,IF(Solution!AH110&gt;=Policy!$E$17,Policy!$C$17,IF(Solution!AH110&gt;=Policy!$E$18,Policy!$C$18,IF(AH110&gt;=Policy!$E$19,Policy!$C$19,Policy!$C$20)))))))</f>
        <v>7</v>
      </c>
    </row>
    <row r="111" spans="1:35" x14ac:dyDescent="0.3">
      <c r="A111" s="16" t="s">
        <v>161</v>
      </c>
      <c r="B111" s="14" t="s">
        <v>3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157.47999999999999</v>
      </c>
      <c r="I111" s="15">
        <v>0</v>
      </c>
      <c r="J111" s="15">
        <v>0</v>
      </c>
      <c r="K111" s="15">
        <v>409.23</v>
      </c>
      <c r="L111" s="15">
        <v>280.93</v>
      </c>
      <c r="M111" s="15">
        <v>252.83700000000002</v>
      </c>
      <c r="N111" s="38">
        <v>309.02300000000002</v>
      </c>
      <c r="O111" s="41">
        <f t="shared" si="23"/>
        <v>1409.5</v>
      </c>
      <c r="P111" s="15">
        <f t="shared" si="24"/>
        <v>117.45833333333333</v>
      </c>
      <c r="Q111" s="42">
        <f t="shared" si="25"/>
        <v>155.22858524964423</v>
      </c>
      <c r="R111" s="44">
        <f t="shared" si="26"/>
        <v>1.3215629819054493</v>
      </c>
      <c r="S111" s="49">
        <f t="shared" si="34"/>
        <v>149.33926205078629</v>
      </c>
      <c r="T111" s="45"/>
      <c r="U111" s="46">
        <f>VLOOKUP(B111,Policy!$B$5:$J$8,9,FALSE)</f>
        <v>5.440534834623505</v>
      </c>
      <c r="V111" s="15">
        <f t="shared" si="19"/>
        <v>21.009407806580356</v>
      </c>
      <c r="W111" s="15">
        <f t="shared" si="20"/>
        <v>65.777361477261252</v>
      </c>
      <c r="X111" s="46">
        <f>VLOOKUP(B111,Policy!$B$5:$F$8,5,FALSE)</f>
        <v>1.2815515655446006</v>
      </c>
      <c r="Y111" s="47">
        <f t="shared" si="27"/>
        <v>4.7343175378026764E-2</v>
      </c>
      <c r="Z111" s="43">
        <f t="shared" si="28"/>
        <v>3.1141091603218412</v>
      </c>
      <c r="AA111" s="48">
        <f t="shared" si="29"/>
        <v>0.9791474183174762</v>
      </c>
      <c r="AB111" s="15">
        <f t="shared" si="30"/>
        <v>105.30648838515762</v>
      </c>
      <c r="AC111" s="46"/>
      <c r="AD111" s="15">
        <f t="shared" si="31"/>
        <v>84.297080578577265</v>
      </c>
      <c r="AE111" s="50">
        <f t="shared" si="21"/>
        <v>74.669631025393144</v>
      </c>
      <c r="AF111" s="52">
        <f t="shared" si="35"/>
        <v>38.672458778671157</v>
      </c>
      <c r="AG111" s="51">
        <f t="shared" si="32"/>
        <v>32</v>
      </c>
      <c r="AH111" s="43">
        <f t="shared" si="33"/>
        <v>2.1142500000000002</v>
      </c>
      <c r="AI111" s="53">
        <f>IF(AH111&gt;=Policy!$E$13,Policy!$C$13,IF(Solution!AH111&gt;=Policy!$E$14,Policy!$C$14,IF(Solution!AH111&gt;=Policy!$E$15,Policy!$C$15,IF(Solution!AH111&gt;=Policy!$E$16,Policy!$C$16,IF(Solution!AH111&gt;=Policy!$E$17,Policy!$C$17,IF(Solution!AH111&gt;=Policy!$E$18,Policy!$C$18,IF(AH111&gt;=Policy!$E$19,Policy!$C$19,Policy!$C$20)))))))</f>
        <v>6</v>
      </c>
    </row>
    <row r="112" spans="1:35" x14ac:dyDescent="0.3">
      <c r="A112" s="16" t="s">
        <v>162</v>
      </c>
      <c r="B112" s="14" t="s">
        <v>3</v>
      </c>
      <c r="C112" s="15">
        <v>0</v>
      </c>
      <c r="D112" s="15">
        <v>0</v>
      </c>
      <c r="E112" s="15">
        <v>824.83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38">
        <v>0</v>
      </c>
      <c r="O112" s="41">
        <f t="shared" si="23"/>
        <v>824.83</v>
      </c>
      <c r="P112" s="15">
        <f t="shared" si="24"/>
        <v>68.735833333333332</v>
      </c>
      <c r="Q112" s="42">
        <f t="shared" si="25"/>
        <v>238.10791126783951</v>
      </c>
      <c r="R112" s="44">
        <f t="shared" si="26"/>
        <v>3.4641016151377548</v>
      </c>
      <c r="S112" s="49">
        <f t="shared" si="34"/>
        <v>114.24144429644046</v>
      </c>
      <c r="T112" s="45"/>
      <c r="U112" s="46">
        <f>VLOOKUP(B112,Policy!$B$5:$J$8,9,FALSE)</f>
        <v>5.440534834623505</v>
      </c>
      <c r="V112" s="15">
        <f t="shared" si="19"/>
        <v>12.294565336006865</v>
      </c>
      <c r="W112" s="15">
        <f t="shared" si="20"/>
        <v>100.73055762088065</v>
      </c>
      <c r="X112" s="46">
        <f>VLOOKUP(B112,Policy!$B$5:$F$8,5,FALSE)</f>
        <v>1.2815515655446006</v>
      </c>
      <c r="Y112" s="47">
        <f t="shared" si="27"/>
        <v>4.7343175378026764E-2</v>
      </c>
      <c r="Z112" s="43">
        <f t="shared" si="28"/>
        <v>4.768904455371783</v>
      </c>
      <c r="AA112" s="48">
        <f t="shared" si="29"/>
        <v>0.95825591592664794</v>
      </c>
      <c r="AB112" s="15">
        <f t="shared" si="30"/>
        <v>141.38596915322705</v>
      </c>
      <c r="AC112" s="46"/>
      <c r="AD112" s="15">
        <f t="shared" si="31"/>
        <v>129.0914038172202</v>
      </c>
      <c r="AE112" s="50">
        <f t="shared" si="21"/>
        <v>57.120722148220231</v>
      </c>
      <c r="AF112" s="52">
        <f t="shared" si="35"/>
        <v>50.553601552078327</v>
      </c>
      <c r="AG112" s="51">
        <f t="shared" si="32"/>
        <v>64</v>
      </c>
      <c r="AH112" s="43">
        <f t="shared" si="33"/>
        <v>1.2372449999999999</v>
      </c>
      <c r="AI112" s="53">
        <f>IF(AH112&gt;=Policy!$E$13,Policy!$C$13,IF(Solution!AH112&gt;=Policy!$E$14,Policy!$C$14,IF(Solution!AH112&gt;=Policy!$E$15,Policy!$C$15,IF(Solution!AH112&gt;=Policy!$E$16,Policy!$C$16,IF(Solution!AH112&gt;=Policy!$E$17,Policy!$C$17,IF(Solution!AH112&gt;=Policy!$E$18,Policy!$C$18,IF(AH112&gt;=Policy!$E$19,Policy!$C$19,Policy!$C$20)))))))</f>
        <v>7</v>
      </c>
    </row>
    <row r="113" spans="1:35" x14ac:dyDescent="0.3">
      <c r="A113" s="16" t="s">
        <v>163</v>
      </c>
      <c r="B113" s="14" t="s">
        <v>3</v>
      </c>
      <c r="C113" s="15">
        <v>0</v>
      </c>
      <c r="D113" s="15">
        <v>0</v>
      </c>
      <c r="E113" s="15">
        <v>539.73</v>
      </c>
      <c r="F113" s="15">
        <v>85.3</v>
      </c>
      <c r="G113" s="15">
        <v>0</v>
      </c>
      <c r="H113" s="15">
        <v>113.8</v>
      </c>
      <c r="I113" s="15">
        <v>0</v>
      </c>
      <c r="J113" s="15">
        <v>28.53</v>
      </c>
      <c r="K113" s="15">
        <v>28.55</v>
      </c>
      <c r="L113" s="15">
        <v>28.43</v>
      </c>
      <c r="M113" s="15">
        <v>25.587</v>
      </c>
      <c r="N113" s="38">
        <v>31.273000000000003</v>
      </c>
      <c r="O113" s="41">
        <f t="shared" si="23"/>
        <v>881.19999999999982</v>
      </c>
      <c r="P113" s="15">
        <f t="shared" si="24"/>
        <v>73.433333333333323</v>
      </c>
      <c r="Q113" s="42">
        <f t="shared" si="25"/>
        <v>151.02545630235102</v>
      </c>
      <c r="R113" s="44">
        <f t="shared" si="26"/>
        <v>2.0566335402045079</v>
      </c>
      <c r="S113" s="49">
        <f t="shared" si="34"/>
        <v>118.08064182872458</v>
      </c>
      <c r="T113" s="45"/>
      <c r="U113" s="46">
        <f>VLOOKUP(B113,Policy!$B$5:$J$8,9,FALSE)</f>
        <v>5.440534834623505</v>
      </c>
      <c r="V113" s="15">
        <f t="shared" si="19"/>
        <v>13.134792592521181</v>
      </c>
      <c r="W113" s="15">
        <f t="shared" si="20"/>
        <v>63.923756659561676</v>
      </c>
      <c r="X113" s="46">
        <f>VLOOKUP(B113,Policy!$B$5:$F$8,5,FALSE)</f>
        <v>1.2815515655446006</v>
      </c>
      <c r="Y113" s="47">
        <f t="shared" si="27"/>
        <v>4.7343175378026764E-2</v>
      </c>
      <c r="Z113" s="43">
        <f t="shared" si="28"/>
        <v>3.0263536223559346</v>
      </c>
      <c r="AA113" s="48">
        <f t="shared" si="29"/>
        <v>0.97437045077426288</v>
      </c>
      <c r="AB113" s="15">
        <f t="shared" si="30"/>
        <v>95.05638301507453</v>
      </c>
      <c r="AC113" s="46"/>
      <c r="AD113" s="15">
        <f t="shared" si="31"/>
        <v>81.921590422553351</v>
      </c>
      <c r="AE113" s="50">
        <f t="shared" si="21"/>
        <v>59.04032091436229</v>
      </c>
      <c r="AF113" s="52">
        <f t="shared" si="35"/>
        <v>48.909934484208449</v>
      </c>
      <c r="AG113" s="51">
        <f t="shared" si="32"/>
        <v>64</v>
      </c>
      <c r="AH113" s="43">
        <f t="shared" si="33"/>
        <v>1.3217999999999996</v>
      </c>
      <c r="AI113" s="53">
        <f>IF(AH113&gt;=Policy!$E$13,Policy!$C$13,IF(Solution!AH113&gt;=Policy!$E$14,Policy!$C$14,IF(Solution!AH113&gt;=Policy!$E$15,Policy!$C$15,IF(Solution!AH113&gt;=Policy!$E$16,Policy!$C$16,IF(Solution!AH113&gt;=Policy!$E$17,Policy!$C$17,IF(Solution!AH113&gt;=Policy!$E$18,Policy!$C$18,IF(AH113&gt;=Policy!$E$19,Policy!$C$19,Policy!$C$20)))))))</f>
        <v>7</v>
      </c>
    </row>
    <row r="114" spans="1:35" x14ac:dyDescent="0.3">
      <c r="A114" s="16" t="s">
        <v>164</v>
      </c>
      <c r="B114" s="14" t="s">
        <v>3</v>
      </c>
      <c r="C114" s="15">
        <v>226.97</v>
      </c>
      <c r="D114" s="15">
        <v>188.42</v>
      </c>
      <c r="E114" s="15">
        <v>0</v>
      </c>
      <c r="F114" s="15">
        <v>339.81</v>
      </c>
      <c r="G114" s="15">
        <v>0</v>
      </c>
      <c r="H114" s="15">
        <v>37.85</v>
      </c>
      <c r="I114" s="15">
        <v>0</v>
      </c>
      <c r="J114" s="15">
        <v>25.15</v>
      </c>
      <c r="K114" s="15">
        <v>0</v>
      </c>
      <c r="L114" s="15">
        <v>0</v>
      </c>
      <c r="M114" s="15">
        <v>0</v>
      </c>
      <c r="N114" s="38">
        <v>0</v>
      </c>
      <c r="O114" s="41">
        <f t="shared" si="23"/>
        <v>818.2</v>
      </c>
      <c r="P114" s="15">
        <f t="shared" si="24"/>
        <v>68.183333333333337</v>
      </c>
      <c r="Q114" s="42">
        <f t="shared" si="25"/>
        <v>116.29345915581082</v>
      </c>
      <c r="R114" s="44">
        <f t="shared" si="26"/>
        <v>1.7055994987408087</v>
      </c>
      <c r="S114" s="49">
        <f t="shared" si="34"/>
        <v>113.78138042599751</v>
      </c>
      <c r="T114" s="45"/>
      <c r="U114" s="46">
        <f>VLOOKUP(B114,Policy!$B$5:$J$8,9,FALSE)</f>
        <v>5.440534834623505</v>
      </c>
      <c r="V114" s="15">
        <f t="shared" si="19"/>
        <v>12.195741374490281</v>
      </c>
      <c r="W114" s="15">
        <f t="shared" si="20"/>
        <v>49.240770168040527</v>
      </c>
      <c r="X114" s="46">
        <f>VLOOKUP(B114,Policy!$B$5:$F$8,5,FALSE)</f>
        <v>1.2815515655446006</v>
      </c>
      <c r="Y114" s="47">
        <f t="shared" si="27"/>
        <v>4.7343175378026764E-2</v>
      </c>
      <c r="Z114" s="43">
        <f t="shared" si="28"/>
        <v>2.331214417814651</v>
      </c>
      <c r="AA114" s="48">
        <f t="shared" si="29"/>
        <v>0.97951145952803009</v>
      </c>
      <c r="AB114" s="15">
        <f t="shared" si="30"/>
        <v>75.300327471964479</v>
      </c>
      <c r="AC114" s="46"/>
      <c r="AD114" s="15">
        <f t="shared" si="31"/>
        <v>63.104586097474204</v>
      </c>
      <c r="AE114" s="50">
        <f t="shared" si="21"/>
        <v>56.890690212998756</v>
      </c>
      <c r="AF114" s="52">
        <f t="shared" si="35"/>
        <v>50.758010089818001</v>
      </c>
      <c r="AG114" s="51">
        <f t="shared" si="32"/>
        <v>64</v>
      </c>
      <c r="AH114" s="43">
        <f t="shared" si="33"/>
        <v>1.2273000000000001</v>
      </c>
      <c r="AI114" s="53">
        <f>IF(AH114&gt;=Policy!$E$13,Policy!$C$13,IF(Solution!AH114&gt;=Policy!$E$14,Policy!$C$14,IF(Solution!AH114&gt;=Policy!$E$15,Policy!$C$15,IF(Solution!AH114&gt;=Policy!$E$16,Policy!$C$16,IF(Solution!AH114&gt;=Policy!$E$17,Policy!$C$17,IF(Solution!AH114&gt;=Policy!$E$18,Policy!$C$18,IF(AH114&gt;=Policy!$E$19,Policy!$C$19,Policy!$C$20)))))))</f>
        <v>7</v>
      </c>
    </row>
    <row r="115" spans="1:35" x14ac:dyDescent="0.3">
      <c r="A115" s="16" t="s">
        <v>165</v>
      </c>
      <c r="B115" s="14" t="s">
        <v>3</v>
      </c>
      <c r="C115" s="15">
        <v>0</v>
      </c>
      <c r="D115" s="15">
        <v>0</v>
      </c>
      <c r="E115" s="15">
        <v>148.72</v>
      </c>
      <c r="F115" s="15">
        <v>119.52</v>
      </c>
      <c r="G115" s="15">
        <v>0</v>
      </c>
      <c r="H115" s="15">
        <v>239.58</v>
      </c>
      <c r="I115" s="15">
        <v>0</v>
      </c>
      <c r="J115" s="15">
        <v>300.39</v>
      </c>
      <c r="K115" s="15">
        <v>0</v>
      </c>
      <c r="L115" s="15">
        <v>0</v>
      </c>
      <c r="M115" s="15">
        <v>0</v>
      </c>
      <c r="N115" s="38">
        <v>0</v>
      </c>
      <c r="O115" s="41">
        <f t="shared" si="23"/>
        <v>808.21</v>
      </c>
      <c r="P115" s="15">
        <f t="shared" si="24"/>
        <v>67.350833333333341</v>
      </c>
      <c r="Q115" s="42">
        <f t="shared" si="25"/>
        <v>108.54482957062098</v>
      </c>
      <c r="R115" s="44">
        <f t="shared" si="26"/>
        <v>1.6116330592883676</v>
      </c>
      <c r="S115" s="49">
        <f t="shared" si="34"/>
        <v>113.08462721074162</v>
      </c>
      <c r="T115" s="45"/>
      <c r="U115" s="46">
        <f>VLOOKUP(B115,Policy!$B$5:$J$8,9,FALSE)</f>
        <v>5.440534834623505</v>
      </c>
      <c r="V115" s="15">
        <f t="shared" si="19"/>
        <v>12.046834681345377</v>
      </c>
      <c r="W115" s="15">
        <f t="shared" si="20"/>
        <v>45.966259303120225</v>
      </c>
      <c r="X115" s="46">
        <f>VLOOKUP(B115,Policy!$B$5:$F$8,5,FALSE)</f>
        <v>1.2815515655446006</v>
      </c>
      <c r="Y115" s="47">
        <f t="shared" si="27"/>
        <v>4.7343175378026764E-2</v>
      </c>
      <c r="Z115" s="43">
        <f t="shared" si="28"/>
        <v>2.1761886756594753</v>
      </c>
      <c r="AA115" s="48">
        <f t="shared" si="29"/>
        <v>0.98075610514589229</v>
      </c>
      <c r="AB115" s="15">
        <f t="shared" si="30"/>
        <v>70.954966253488166</v>
      </c>
      <c r="AC115" s="46"/>
      <c r="AD115" s="15">
        <f t="shared" si="31"/>
        <v>58.908131572142786</v>
      </c>
      <c r="AE115" s="50">
        <f t="shared" si="21"/>
        <v>56.542313605370808</v>
      </c>
      <c r="AF115" s="52">
        <f t="shared" si="35"/>
        <v>51.070747617476513</v>
      </c>
      <c r="AG115" s="51">
        <f t="shared" si="32"/>
        <v>64</v>
      </c>
      <c r="AH115" s="43">
        <f t="shared" si="33"/>
        <v>1.212315</v>
      </c>
      <c r="AI115" s="53">
        <f>IF(AH115&gt;=Policy!$E$13,Policy!$C$13,IF(Solution!AH115&gt;=Policy!$E$14,Policy!$C$14,IF(Solution!AH115&gt;=Policy!$E$15,Policy!$C$15,IF(Solution!AH115&gt;=Policy!$E$16,Policy!$C$16,IF(Solution!AH115&gt;=Policy!$E$17,Policy!$C$17,IF(Solution!AH115&gt;=Policy!$E$18,Policy!$C$18,IF(AH115&gt;=Policy!$E$19,Policy!$C$19,Policy!$C$20)))))))</f>
        <v>7</v>
      </c>
    </row>
    <row r="116" spans="1:35" x14ac:dyDescent="0.3">
      <c r="A116" s="16" t="s">
        <v>166</v>
      </c>
      <c r="B116" s="14" t="s">
        <v>3</v>
      </c>
      <c r="C116" s="15">
        <v>0</v>
      </c>
      <c r="D116" s="15">
        <v>0</v>
      </c>
      <c r="E116" s="15">
        <v>124.97</v>
      </c>
      <c r="F116" s="15">
        <v>63.17</v>
      </c>
      <c r="G116" s="15">
        <v>0</v>
      </c>
      <c r="H116" s="15">
        <v>0</v>
      </c>
      <c r="I116" s="15">
        <v>62.24</v>
      </c>
      <c r="J116" s="15">
        <v>248.66</v>
      </c>
      <c r="K116" s="15">
        <v>216.01</v>
      </c>
      <c r="L116" s="15">
        <v>61.6</v>
      </c>
      <c r="M116" s="15">
        <v>55.440000000000005</v>
      </c>
      <c r="N116" s="38">
        <v>67.760000000000005</v>
      </c>
      <c r="O116" s="41">
        <f t="shared" si="23"/>
        <v>899.85</v>
      </c>
      <c r="P116" s="15">
        <f t="shared" si="24"/>
        <v>74.987499999999997</v>
      </c>
      <c r="Q116" s="42">
        <f t="shared" si="25"/>
        <v>83.096850626789148</v>
      </c>
      <c r="R116" s="44">
        <f t="shared" si="26"/>
        <v>1.1081426988069898</v>
      </c>
      <c r="S116" s="49">
        <f t="shared" si="34"/>
        <v>119.32364774592001</v>
      </c>
      <c r="T116" s="45"/>
      <c r="U116" s="46">
        <f>VLOOKUP(B116,Policy!$B$5:$J$8,9,FALSE)</f>
        <v>5.440534834623505</v>
      </c>
      <c r="V116" s="15">
        <f t="shared" si="19"/>
        <v>13.412781564208114</v>
      </c>
      <c r="W116" s="15">
        <f t="shared" si="20"/>
        <v>35.240572317171001</v>
      </c>
      <c r="X116" s="46">
        <f>VLOOKUP(B116,Policy!$B$5:$F$8,5,FALSE)</f>
        <v>1.2815515655446006</v>
      </c>
      <c r="Y116" s="47">
        <f t="shared" si="27"/>
        <v>4.7343175378026764E-2</v>
      </c>
      <c r="Z116" s="43">
        <f t="shared" si="28"/>
        <v>1.6684005956338617</v>
      </c>
      <c r="AA116" s="48">
        <f t="shared" si="29"/>
        <v>0.98601785457324898</v>
      </c>
      <c r="AB116" s="15">
        <f t="shared" si="30"/>
        <v>58.57539218796633</v>
      </c>
      <c r="AC116" s="46"/>
      <c r="AD116" s="15">
        <f t="shared" si="31"/>
        <v>45.162610623758212</v>
      </c>
      <c r="AE116" s="50">
        <f t="shared" si="21"/>
        <v>59.661823872960007</v>
      </c>
      <c r="AF116" s="52">
        <f t="shared" si="35"/>
        <v>48.40043499167728</v>
      </c>
      <c r="AG116" s="51">
        <f t="shared" si="32"/>
        <v>64</v>
      </c>
      <c r="AH116" s="43">
        <f t="shared" si="33"/>
        <v>1.3497749999999999</v>
      </c>
      <c r="AI116" s="53">
        <f>IF(AH116&gt;=Policy!$E$13,Policy!$C$13,IF(Solution!AH116&gt;=Policy!$E$14,Policy!$C$14,IF(Solution!AH116&gt;=Policy!$E$15,Policy!$C$15,IF(Solution!AH116&gt;=Policy!$E$16,Policy!$C$16,IF(Solution!AH116&gt;=Policy!$E$17,Policy!$C$17,IF(Solution!AH116&gt;=Policy!$E$18,Policy!$C$18,IF(AH116&gt;=Policy!$E$19,Policy!$C$19,Policy!$C$20)))))))</f>
        <v>7</v>
      </c>
    </row>
    <row r="117" spans="1:35" x14ac:dyDescent="0.3">
      <c r="A117" s="16" t="s">
        <v>167</v>
      </c>
      <c r="B117" s="14" t="s">
        <v>3</v>
      </c>
      <c r="C117" s="15">
        <v>0</v>
      </c>
      <c r="D117" s="15">
        <v>0</v>
      </c>
      <c r="E117" s="15">
        <v>64.430000000000007</v>
      </c>
      <c r="F117" s="15">
        <v>100.47</v>
      </c>
      <c r="G117" s="15">
        <v>64.180000000000007</v>
      </c>
      <c r="H117" s="15">
        <v>0</v>
      </c>
      <c r="I117" s="15">
        <v>129.19999999999999</v>
      </c>
      <c r="J117" s="15">
        <v>0</v>
      </c>
      <c r="K117" s="15">
        <v>193.71</v>
      </c>
      <c r="L117" s="15">
        <v>194.56</v>
      </c>
      <c r="M117" s="15">
        <v>175.10400000000001</v>
      </c>
      <c r="N117" s="38">
        <v>214.01600000000002</v>
      </c>
      <c r="O117" s="41">
        <f t="shared" si="23"/>
        <v>1135.67</v>
      </c>
      <c r="P117" s="15">
        <f t="shared" si="24"/>
        <v>94.639166666666668</v>
      </c>
      <c r="Q117" s="42">
        <f t="shared" si="25"/>
        <v>84.970429382369502</v>
      </c>
      <c r="R117" s="44">
        <f t="shared" si="26"/>
        <v>0.89783577323380381</v>
      </c>
      <c r="S117" s="49">
        <f t="shared" si="34"/>
        <v>134.05022202636016</v>
      </c>
      <c r="T117" s="45"/>
      <c r="U117" s="46">
        <f>VLOOKUP(B117,Policy!$B$5:$J$8,9,FALSE)</f>
        <v>5.440534834623505</v>
      </c>
      <c r="V117" s="15">
        <f t="shared" si="19"/>
        <v>16.927814234621579</v>
      </c>
      <c r="W117" s="15">
        <f t="shared" si="20"/>
        <v>36.086781815107123</v>
      </c>
      <c r="X117" s="46">
        <f>VLOOKUP(B117,Policy!$B$5:$F$8,5,FALSE)</f>
        <v>1.2815515655446006</v>
      </c>
      <c r="Y117" s="47">
        <f t="shared" si="27"/>
        <v>4.7343175378026764E-2</v>
      </c>
      <c r="Z117" s="43">
        <f t="shared" si="28"/>
        <v>1.7084628403012034</v>
      </c>
      <c r="AA117" s="48">
        <f t="shared" si="29"/>
        <v>0.98725505400531721</v>
      </c>
      <c r="AB117" s="15">
        <f t="shared" si="30"/>
        <v>63.174885965238538</v>
      </c>
      <c r="AC117" s="46"/>
      <c r="AD117" s="15">
        <f t="shared" si="31"/>
        <v>46.247071730616959</v>
      </c>
      <c r="AE117" s="50">
        <f t="shared" si="21"/>
        <v>67.02511101318008</v>
      </c>
      <c r="AF117" s="52">
        <f t="shared" si="35"/>
        <v>43.083229318042619</v>
      </c>
      <c r="AG117" s="51">
        <f t="shared" si="32"/>
        <v>32</v>
      </c>
      <c r="AH117" s="43">
        <f t="shared" si="33"/>
        <v>1.703505</v>
      </c>
      <c r="AI117" s="53">
        <f>IF(AH117&gt;=Policy!$E$13,Policy!$C$13,IF(Solution!AH117&gt;=Policy!$E$14,Policy!$C$14,IF(Solution!AH117&gt;=Policy!$E$15,Policy!$C$15,IF(Solution!AH117&gt;=Policy!$E$16,Policy!$C$16,IF(Solution!AH117&gt;=Policy!$E$17,Policy!$C$17,IF(Solution!AH117&gt;=Policy!$E$18,Policy!$C$18,IF(AH117&gt;=Policy!$E$19,Policy!$C$19,Policy!$C$20)))))))</f>
        <v>6</v>
      </c>
    </row>
    <row r="118" spans="1:35" x14ac:dyDescent="0.3">
      <c r="A118" s="16" t="s">
        <v>168</v>
      </c>
      <c r="B118" s="14" t="s">
        <v>3</v>
      </c>
      <c r="C118" s="15">
        <v>0</v>
      </c>
      <c r="D118" s="15">
        <v>57.19</v>
      </c>
      <c r="E118" s="15">
        <v>56.95</v>
      </c>
      <c r="F118" s="15">
        <v>0</v>
      </c>
      <c r="G118" s="15">
        <v>113.59</v>
      </c>
      <c r="H118" s="15">
        <v>344.41</v>
      </c>
      <c r="I118" s="15">
        <v>86.5</v>
      </c>
      <c r="J118" s="15">
        <v>0</v>
      </c>
      <c r="K118" s="15">
        <v>85.07</v>
      </c>
      <c r="L118" s="15">
        <v>0</v>
      </c>
      <c r="M118" s="15">
        <v>0</v>
      </c>
      <c r="N118" s="38">
        <v>0</v>
      </c>
      <c r="O118" s="41">
        <f t="shared" si="23"/>
        <v>743.71</v>
      </c>
      <c r="P118" s="15">
        <f t="shared" si="24"/>
        <v>61.975833333333334</v>
      </c>
      <c r="Q118" s="42">
        <f t="shared" si="25"/>
        <v>98.471058365420546</v>
      </c>
      <c r="R118" s="44">
        <f t="shared" si="26"/>
        <v>1.5888621914254837</v>
      </c>
      <c r="S118" s="49">
        <f t="shared" si="34"/>
        <v>108.47840011329095</v>
      </c>
      <c r="T118" s="45"/>
      <c r="U118" s="46">
        <f>VLOOKUP(B118,Policy!$B$5:$J$8,9,FALSE)</f>
        <v>5.440534834623505</v>
      </c>
      <c r="V118" s="15">
        <f t="shared" si="19"/>
        <v>11.085425100980403</v>
      </c>
      <c r="W118" s="15">
        <f t="shared" si="20"/>
        <v>41.701811144719763</v>
      </c>
      <c r="X118" s="46">
        <f>VLOOKUP(B118,Policy!$B$5:$F$8,5,FALSE)</f>
        <v>1.2815515655446006</v>
      </c>
      <c r="Y118" s="47">
        <f t="shared" si="27"/>
        <v>4.7343175378026764E-2</v>
      </c>
      <c r="Z118" s="43">
        <f t="shared" si="28"/>
        <v>1.9742961586058188</v>
      </c>
      <c r="AA118" s="48">
        <f t="shared" si="29"/>
        <v>0.98180009885337605</v>
      </c>
      <c r="AB118" s="15">
        <f t="shared" si="30"/>
        <v>64.528446459541286</v>
      </c>
      <c r="AC118" s="46"/>
      <c r="AD118" s="15">
        <f t="shared" si="31"/>
        <v>53.443021358560884</v>
      </c>
      <c r="AE118" s="50">
        <f t="shared" si="21"/>
        <v>54.239200056645473</v>
      </c>
      <c r="AF118" s="52">
        <f t="shared" si="35"/>
        <v>53.239321834251513</v>
      </c>
      <c r="AG118" s="51">
        <f t="shared" si="32"/>
        <v>64</v>
      </c>
      <c r="AH118" s="43">
        <f t="shared" si="33"/>
        <v>1.1155649999999999</v>
      </c>
      <c r="AI118" s="53">
        <f>IF(AH118&gt;=Policy!$E$13,Policy!$C$13,IF(Solution!AH118&gt;=Policy!$E$14,Policy!$C$14,IF(Solution!AH118&gt;=Policy!$E$15,Policy!$C$15,IF(Solution!AH118&gt;=Policy!$E$16,Policy!$C$16,IF(Solution!AH118&gt;=Policy!$E$17,Policy!$C$17,IF(Solution!AH118&gt;=Policy!$E$18,Policy!$C$18,IF(AH118&gt;=Policy!$E$19,Policy!$C$19,Policy!$C$20)))))))</f>
        <v>8</v>
      </c>
    </row>
    <row r="119" spans="1:35" x14ac:dyDescent="0.3">
      <c r="A119" s="16" t="s">
        <v>169</v>
      </c>
      <c r="B119" s="14" t="s">
        <v>3</v>
      </c>
      <c r="C119" s="15">
        <v>0</v>
      </c>
      <c r="D119" s="15">
        <v>0</v>
      </c>
      <c r="E119" s="15">
        <v>33.03</v>
      </c>
      <c r="F119" s="15">
        <v>198.77</v>
      </c>
      <c r="G119" s="15">
        <v>0</v>
      </c>
      <c r="H119" s="15">
        <v>0</v>
      </c>
      <c r="I119" s="15">
        <v>0</v>
      </c>
      <c r="J119" s="15">
        <v>265.47000000000003</v>
      </c>
      <c r="K119" s="15">
        <v>66.39</v>
      </c>
      <c r="L119" s="15">
        <v>165.61</v>
      </c>
      <c r="M119" s="15">
        <v>149.04900000000001</v>
      </c>
      <c r="N119" s="38">
        <v>182.17100000000002</v>
      </c>
      <c r="O119" s="41">
        <f t="shared" si="23"/>
        <v>1060.49</v>
      </c>
      <c r="P119" s="15">
        <f t="shared" si="24"/>
        <v>88.374166666666667</v>
      </c>
      <c r="Q119" s="42">
        <f t="shared" si="25"/>
        <v>97.510408084874669</v>
      </c>
      <c r="R119" s="44">
        <f t="shared" si="26"/>
        <v>1.1033813586346839</v>
      </c>
      <c r="S119" s="49">
        <f t="shared" si="34"/>
        <v>129.53727287267992</v>
      </c>
      <c r="T119" s="45"/>
      <c r="U119" s="46">
        <f>VLOOKUP(B119,Policy!$B$5:$J$8,9,FALSE)</f>
        <v>5.440534834623505</v>
      </c>
      <c r="V119" s="15">
        <f t="shared" si="19"/>
        <v>15.807213114438028</v>
      </c>
      <c r="W119" s="15">
        <f t="shared" si="20"/>
        <v>41.35420304626161</v>
      </c>
      <c r="X119" s="46">
        <f>VLOOKUP(B119,Policy!$B$5:$F$8,5,FALSE)</f>
        <v>1.2815515655446006</v>
      </c>
      <c r="Y119" s="47">
        <f t="shared" si="27"/>
        <v>4.7343175378026764E-2</v>
      </c>
      <c r="Z119" s="43">
        <f t="shared" si="28"/>
        <v>1.957839287437692</v>
      </c>
      <c r="AA119" s="48">
        <f t="shared" si="29"/>
        <v>0.98488590006552001</v>
      </c>
      <c r="AB119" s="15">
        <f t="shared" si="30"/>
        <v>68.804756770223889</v>
      </c>
      <c r="AC119" s="46"/>
      <c r="AD119" s="15">
        <f t="shared" si="31"/>
        <v>52.997543655785854</v>
      </c>
      <c r="AE119" s="50">
        <f t="shared" si="21"/>
        <v>64.76863643633996</v>
      </c>
      <c r="AF119" s="52">
        <f t="shared" si="35"/>
        <v>44.584205978866535</v>
      </c>
      <c r="AG119" s="51">
        <f t="shared" si="32"/>
        <v>32</v>
      </c>
      <c r="AH119" s="43">
        <f t="shared" si="33"/>
        <v>1.590735</v>
      </c>
      <c r="AI119" s="53">
        <f>IF(AH119&gt;=Policy!$E$13,Policy!$C$13,IF(Solution!AH119&gt;=Policy!$E$14,Policy!$C$14,IF(Solution!AH119&gt;=Policy!$E$15,Policy!$C$15,IF(Solution!AH119&gt;=Policy!$E$16,Policy!$C$16,IF(Solution!AH119&gt;=Policy!$E$17,Policy!$C$17,IF(Solution!AH119&gt;=Policy!$E$18,Policy!$C$18,IF(AH119&gt;=Policy!$E$19,Policy!$C$19,Policy!$C$20)))))))</f>
        <v>7</v>
      </c>
    </row>
    <row r="120" spans="1:35" x14ac:dyDescent="0.3">
      <c r="A120" s="16" t="s">
        <v>170</v>
      </c>
      <c r="B120" s="14" t="s">
        <v>3</v>
      </c>
      <c r="C120" s="15">
        <v>0</v>
      </c>
      <c r="D120" s="15">
        <v>155.44</v>
      </c>
      <c r="E120" s="15">
        <v>141.15</v>
      </c>
      <c r="F120" s="15">
        <v>62.83</v>
      </c>
      <c r="G120" s="15">
        <v>0</v>
      </c>
      <c r="H120" s="15">
        <v>62.5</v>
      </c>
      <c r="I120" s="15">
        <v>15.76</v>
      </c>
      <c r="J120" s="15">
        <v>62.99</v>
      </c>
      <c r="K120" s="15">
        <v>31.47</v>
      </c>
      <c r="L120" s="15">
        <v>196.85</v>
      </c>
      <c r="M120" s="15">
        <v>177.16499999999999</v>
      </c>
      <c r="N120" s="38">
        <v>216.53500000000003</v>
      </c>
      <c r="O120" s="41">
        <f t="shared" si="23"/>
        <v>1122.69</v>
      </c>
      <c r="P120" s="15">
        <f t="shared" si="24"/>
        <v>93.557500000000005</v>
      </c>
      <c r="Q120" s="42">
        <f t="shared" si="25"/>
        <v>79.277389803719629</v>
      </c>
      <c r="R120" s="44">
        <f t="shared" si="26"/>
        <v>0.84736541489158668</v>
      </c>
      <c r="S120" s="49">
        <f t="shared" si="34"/>
        <v>133.28196531594591</v>
      </c>
      <c r="T120" s="45"/>
      <c r="U120" s="46">
        <f>VLOOKUP(B120,Policy!$B$5:$J$8,9,FALSE)</f>
        <v>5.440534834623505</v>
      </c>
      <c r="V120" s="15">
        <f t="shared" si="19"/>
        <v>16.734339872557435</v>
      </c>
      <c r="W120" s="15">
        <f t="shared" si="20"/>
        <v>33.686146456187856</v>
      </c>
      <c r="X120" s="46">
        <f>VLOOKUP(B120,Policy!$B$5:$F$8,5,FALSE)</f>
        <v>1.2815515655446006</v>
      </c>
      <c r="Y120" s="47">
        <f t="shared" si="27"/>
        <v>4.7343175378026764E-2</v>
      </c>
      <c r="Z120" s="43">
        <f t="shared" si="28"/>
        <v>1.5948091394851964</v>
      </c>
      <c r="AA120" s="48">
        <f t="shared" si="29"/>
        <v>0.98803432155502291</v>
      </c>
      <c r="AB120" s="15">
        <f t="shared" si="30"/>
        <v>59.90487360064968</v>
      </c>
      <c r="AC120" s="46"/>
      <c r="AD120" s="15">
        <f t="shared" si="31"/>
        <v>43.170533728092245</v>
      </c>
      <c r="AE120" s="50">
        <f t="shared" si="21"/>
        <v>66.640982657972955</v>
      </c>
      <c r="AF120" s="52">
        <f t="shared" si="35"/>
        <v>43.331567343006753</v>
      </c>
      <c r="AG120" s="51">
        <f t="shared" si="32"/>
        <v>32</v>
      </c>
      <c r="AH120" s="43">
        <f t="shared" si="33"/>
        <v>1.6840349999999999</v>
      </c>
      <c r="AI120" s="53">
        <f>IF(AH120&gt;=Policy!$E$13,Policy!$C$13,IF(Solution!AH120&gt;=Policy!$E$14,Policy!$C$14,IF(Solution!AH120&gt;=Policy!$E$15,Policy!$C$15,IF(Solution!AH120&gt;=Policy!$E$16,Policy!$C$16,IF(Solution!AH120&gt;=Policy!$E$17,Policy!$C$17,IF(Solution!AH120&gt;=Policy!$E$18,Policy!$C$18,IF(AH120&gt;=Policy!$E$19,Policy!$C$19,Policy!$C$20)))))))</f>
        <v>6</v>
      </c>
    </row>
    <row r="121" spans="1:35" x14ac:dyDescent="0.3">
      <c r="A121" s="16" t="s">
        <v>171</v>
      </c>
      <c r="B121" s="14" t="s">
        <v>3</v>
      </c>
      <c r="C121" s="15">
        <v>452.82</v>
      </c>
      <c r="D121" s="15">
        <v>133.54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133.28</v>
      </c>
      <c r="M121" s="15">
        <v>119.952</v>
      </c>
      <c r="N121" s="38">
        <v>146.608</v>
      </c>
      <c r="O121" s="41">
        <f t="shared" si="23"/>
        <v>986.2</v>
      </c>
      <c r="P121" s="15">
        <f t="shared" si="24"/>
        <v>82.183333333333337</v>
      </c>
      <c r="Q121" s="42">
        <f t="shared" si="25"/>
        <v>133.30608218909614</v>
      </c>
      <c r="R121" s="44">
        <f t="shared" si="26"/>
        <v>1.6220573780867509</v>
      </c>
      <c r="S121" s="49">
        <f t="shared" si="34"/>
        <v>124.91769442215477</v>
      </c>
      <c r="T121" s="45"/>
      <c r="U121" s="46">
        <f>VLOOKUP(B121,Policy!$B$5:$J$8,9,FALSE)</f>
        <v>5.440534834623505</v>
      </c>
      <c r="V121" s="15">
        <f t="shared" si="19"/>
        <v>14.699877955906029</v>
      </c>
      <c r="W121" s="15">
        <f t="shared" si="20"/>
        <v>56.451145186347816</v>
      </c>
      <c r="X121" s="46">
        <f>VLOOKUP(B121,Policy!$B$5:$F$8,5,FALSE)</f>
        <v>1.2815515655446006</v>
      </c>
      <c r="Y121" s="47">
        <f t="shared" si="27"/>
        <v>4.7343175378026764E-2</v>
      </c>
      <c r="Z121" s="43">
        <f t="shared" si="28"/>
        <v>2.6725764668477159</v>
      </c>
      <c r="AA121" s="48">
        <f t="shared" si="29"/>
        <v>0.97860530104073296</v>
      </c>
      <c r="AB121" s="15">
        <f t="shared" si="30"/>
        <v>87.044931446255617</v>
      </c>
      <c r="AC121" s="46"/>
      <c r="AD121" s="15">
        <f t="shared" si="31"/>
        <v>72.345053490349585</v>
      </c>
      <c r="AE121" s="50">
        <f t="shared" si="21"/>
        <v>62.458847211077384</v>
      </c>
      <c r="AF121" s="52">
        <f t="shared" si="35"/>
        <v>46.232973498363911</v>
      </c>
      <c r="AG121" s="51">
        <f t="shared" si="32"/>
        <v>64</v>
      </c>
      <c r="AH121" s="43">
        <f t="shared" si="33"/>
        <v>1.4793000000000001</v>
      </c>
      <c r="AI121" s="53">
        <f>IF(AH121&gt;=Policy!$E$13,Policy!$C$13,IF(Solution!AH121&gt;=Policy!$E$14,Policy!$C$14,IF(Solution!AH121&gt;=Policy!$E$15,Policy!$C$15,IF(Solution!AH121&gt;=Policy!$E$16,Policy!$C$16,IF(Solution!AH121&gt;=Policy!$E$17,Policy!$C$17,IF(Solution!AH121&gt;=Policy!$E$18,Policy!$C$18,IF(AH121&gt;=Policy!$E$19,Policy!$C$19,Policy!$C$20)))))))</f>
        <v>7</v>
      </c>
    </row>
    <row r="122" spans="1:35" x14ac:dyDescent="0.3">
      <c r="A122" s="16" t="s">
        <v>172</v>
      </c>
      <c r="B122" s="14" t="s">
        <v>3</v>
      </c>
      <c r="C122" s="15">
        <v>0</v>
      </c>
      <c r="D122" s="15">
        <v>0</v>
      </c>
      <c r="E122" s="15">
        <v>0</v>
      </c>
      <c r="F122" s="15">
        <v>98.38</v>
      </c>
      <c r="G122" s="15">
        <v>0</v>
      </c>
      <c r="H122" s="15">
        <v>164.53</v>
      </c>
      <c r="I122" s="15">
        <v>0</v>
      </c>
      <c r="J122" s="15">
        <v>65.59</v>
      </c>
      <c r="K122" s="15">
        <v>359.41</v>
      </c>
      <c r="L122" s="15">
        <v>0</v>
      </c>
      <c r="M122" s="15">
        <v>0</v>
      </c>
      <c r="N122" s="38">
        <v>0</v>
      </c>
      <c r="O122" s="41">
        <f t="shared" si="23"/>
        <v>687.91000000000008</v>
      </c>
      <c r="P122" s="15">
        <f t="shared" si="24"/>
        <v>57.325833333333343</v>
      </c>
      <c r="Q122" s="42">
        <f t="shared" si="25"/>
        <v>109.04182996016073</v>
      </c>
      <c r="R122" s="44">
        <f t="shared" si="26"/>
        <v>1.9021412096377848</v>
      </c>
      <c r="S122" s="49">
        <f t="shared" si="34"/>
        <v>104.32953512181571</v>
      </c>
      <c r="T122" s="45"/>
      <c r="U122" s="46">
        <f>VLOOKUP(B122,Policy!$B$5:$J$8,9,FALSE)</f>
        <v>5.440534834623505</v>
      </c>
      <c r="V122" s="15">
        <f t="shared" si="19"/>
        <v>10.253694022153029</v>
      </c>
      <c r="W122" s="15">
        <f t="shared" si="20"/>
        <v>46.159796961887665</v>
      </c>
      <c r="X122" s="46">
        <f>VLOOKUP(B122,Policy!$B$5:$F$8,5,FALSE)</f>
        <v>1.2815515655446006</v>
      </c>
      <c r="Y122" s="47">
        <f t="shared" si="27"/>
        <v>4.7343175378026764E-2</v>
      </c>
      <c r="Z122" s="43">
        <f t="shared" si="28"/>
        <v>2.1853513629807546</v>
      </c>
      <c r="AA122" s="48">
        <f t="shared" si="29"/>
        <v>0.9790533777378656</v>
      </c>
      <c r="AB122" s="15">
        <f t="shared" si="30"/>
        <v>69.409854083881072</v>
      </c>
      <c r="AC122" s="46"/>
      <c r="AD122" s="15">
        <f t="shared" si="31"/>
        <v>59.156160061728038</v>
      </c>
      <c r="AE122" s="50">
        <f t="shared" si="21"/>
        <v>52.164767560907855</v>
      </c>
      <c r="AF122" s="52">
        <f t="shared" si="35"/>
        <v>55.356486051173455</v>
      </c>
      <c r="AG122" s="51">
        <f t="shared" si="32"/>
        <v>64</v>
      </c>
      <c r="AH122" s="43">
        <f t="shared" si="33"/>
        <v>1.0318650000000003</v>
      </c>
      <c r="AI122" s="53">
        <f>IF(AH122&gt;=Policy!$E$13,Policy!$C$13,IF(Solution!AH122&gt;=Policy!$E$14,Policy!$C$14,IF(Solution!AH122&gt;=Policy!$E$15,Policy!$C$15,IF(Solution!AH122&gt;=Policy!$E$16,Policy!$C$16,IF(Solution!AH122&gt;=Policy!$E$17,Policy!$C$17,IF(Solution!AH122&gt;=Policy!$E$18,Policy!$C$18,IF(AH122&gt;=Policy!$E$19,Policy!$C$19,Policy!$C$20)))))))</f>
        <v>8</v>
      </c>
    </row>
    <row r="123" spans="1:35" x14ac:dyDescent="0.3">
      <c r="A123" s="16" t="s">
        <v>173</v>
      </c>
      <c r="B123" s="14" t="s">
        <v>3</v>
      </c>
      <c r="C123" s="15">
        <v>0</v>
      </c>
      <c r="D123" s="15">
        <v>65.86</v>
      </c>
      <c r="E123" s="15">
        <v>65.69</v>
      </c>
      <c r="F123" s="15">
        <v>245.72</v>
      </c>
      <c r="G123" s="15">
        <v>0</v>
      </c>
      <c r="H123" s="15">
        <v>98.71</v>
      </c>
      <c r="I123" s="15">
        <v>98.76</v>
      </c>
      <c r="J123" s="15">
        <v>0</v>
      </c>
      <c r="K123" s="15">
        <v>97.63</v>
      </c>
      <c r="L123" s="15">
        <v>0</v>
      </c>
      <c r="M123" s="15">
        <v>0</v>
      </c>
      <c r="N123" s="38">
        <v>0</v>
      </c>
      <c r="O123" s="41">
        <f t="shared" si="23"/>
        <v>672.37</v>
      </c>
      <c r="P123" s="15">
        <f t="shared" si="24"/>
        <v>56.030833333333334</v>
      </c>
      <c r="Q123" s="42">
        <f t="shared" si="25"/>
        <v>74.09232648997444</v>
      </c>
      <c r="R123" s="44">
        <f t="shared" si="26"/>
        <v>1.3223491795881632</v>
      </c>
      <c r="S123" s="49">
        <f t="shared" si="34"/>
        <v>103.14439307487737</v>
      </c>
      <c r="T123" s="45"/>
      <c r="U123" s="46">
        <f>VLOOKUP(B123,Policy!$B$5:$J$8,9,FALSE)</f>
        <v>5.440534834623505</v>
      </c>
      <c r="V123" s="15">
        <f t="shared" si="19"/>
        <v>10.022061388372071</v>
      </c>
      <c r="W123" s="15">
        <f t="shared" si="20"/>
        <v>31.396192612962203</v>
      </c>
      <c r="X123" s="46">
        <f>VLOOKUP(B123,Policy!$B$5:$F$8,5,FALSE)</f>
        <v>1.2815515655446006</v>
      </c>
      <c r="Y123" s="47">
        <f t="shared" si="27"/>
        <v>4.7343175378026764E-2</v>
      </c>
      <c r="Z123" s="43">
        <f t="shared" si="28"/>
        <v>1.4863954530777779</v>
      </c>
      <c r="AA123" s="48">
        <f t="shared" si="29"/>
        <v>0.98558917834730253</v>
      </c>
      <c r="AB123" s="15">
        <f t="shared" si="30"/>
        <v>50.257901183653608</v>
      </c>
      <c r="AC123" s="46"/>
      <c r="AD123" s="15">
        <f t="shared" si="31"/>
        <v>40.235839795281535</v>
      </c>
      <c r="AE123" s="50">
        <f t="shared" si="21"/>
        <v>51.572196537438685</v>
      </c>
      <c r="AF123" s="52">
        <f t="shared" si="35"/>
        <v>55.992539037033538</v>
      </c>
      <c r="AG123" s="51">
        <f t="shared" si="32"/>
        <v>64</v>
      </c>
      <c r="AH123" s="43">
        <f t="shared" si="33"/>
        <v>1.0085550000000001</v>
      </c>
      <c r="AI123" s="53">
        <f>IF(AH123&gt;=Policy!$E$13,Policy!$C$13,IF(Solution!AH123&gt;=Policy!$E$14,Policy!$C$14,IF(Solution!AH123&gt;=Policy!$E$15,Policy!$C$15,IF(Solution!AH123&gt;=Policy!$E$16,Policy!$C$16,IF(Solution!AH123&gt;=Policy!$E$17,Policy!$C$17,IF(Solution!AH123&gt;=Policy!$E$18,Policy!$C$18,IF(AH123&gt;=Policy!$E$19,Policy!$C$19,Policy!$C$20)))))))</f>
        <v>8</v>
      </c>
    </row>
    <row r="124" spans="1:35" x14ac:dyDescent="0.3">
      <c r="A124" s="16" t="s">
        <v>174</v>
      </c>
      <c r="B124" s="14" t="s">
        <v>3</v>
      </c>
      <c r="C124" s="15">
        <v>0</v>
      </c>
      <c r="D124" s="15">
        <v>60.1</v>
      </c>
      <c r="E124" s="15">
        <v>119.94</v>
      </c>
      <c r="F124" s="15">
        <v>70.040000000000006</v>
      </c>
      <c r="G124" s="15">
        <v>0</v>
      </c>
      <c r="H124" s="15">
        <v>0</v>
      </c>
      <c r="I124" s="15">
        <v>30.13</v>
      </c>
      <c r="J124" s="15">
        <v>120.05</v>
      </c>
      <c r="K124" s="15">
        <v>210.91</v>
      </c>
      <c r="L124" s="15">
        <v>60.27</v>
      </c>
      <c r="M124" s="15">
        <v>54.243000000000002</v>
      </c>
      <c r="N124" s="38">
        <v>66.297000000000011</v>
      </c>
      <c r="O124" s="41">
        <f t="shared" si="23"/>
        <v>791.98</v>
      </c>
      <c r="P124" s="15">
        <f t="shared" si="24"/>
        <v>65.998333333333335</v>
      </c>
      <c r="Q124" s="42">
        <f t="shared" si="25"/>
        <v>61.353499436882274</v>
      </c>
      <c r="R124" s="44">
        <f t="shared" si="26"/>
        <v>0.9296219516182066</v>
      </c>
      <c r="S124" s="49">
        <f t="shared" si="34"/>
        <v>111.94341925242435</v>
      </c>
      <c r="T124" s="45"/>
      <c r="U124" s="46">
        <f>VLOOKUP(B124,Policy!$B$5:$J$8,9,FALSE)</f>
        <v>5.440534834623505</v>
      </c>
      <c r="V124" s="15">
        <f t="shared" si="19"/>
        <v>11.804917200890749</v>
      </c>
      <c r="W124" s="15">
        <f t="shared" si="20"/>
        <v>26.049424527334658</v>
      </c>
      <c r="X124" s="46">
        <f>VLOOKUP(B124,Policy!$B$5:$F$8,5,FALSE)</f>
        <v>1.2815515655446006</v>
      </c>
      <c r="Y124" s="47">
        <f t="shared" si="27"/>
        <v>4.7343175378026764E-2</v>
      </c>
      <c r="Z124" s="43">
        <f t="shared" si="28"/>
        <v>1.2332624738942766</v>
      </c>
      <c r="AA124" s="48">
        <f t="shared" si="29"/>
        <v>0.98898316236782657</v>
      </c>
      <c r="AB124" s="15">
        <f t="shared" si="30"/>
        <v>45.188597985432395</v>
      </c>
      <c r="AC124" s="46"/>
      <c r="AD124" s="15">
        <f t="shared" si="31"/>
        <v>33.383680784541646</v>
      </c>
      <c r="AE124" s="50">
        <f t="shared" si="21"/>
        <v>55.971709626212174</v>
      </c>
      <c r="AF124" s="52">
        <f t="shared" si="35"/>
        <v>51.591388705693184</v>
      </c>
      <c r="AG124" s="51">
        <f t="shared" si="32"/>
        <v>64</v>
      </c>
      <c r="AH124" s="43">
        <f t="shared" si="33"/>
        <v>1.18797</v>
      </c>
      <c r="AI124" s="53">
        <f>IF(AH124&gt;=Policy!$E$13,Policy!$C$13,IF(Solution!AH124&gt;=Policy!$E$14,Policy!$C$14,IF(Solution!AH124&gt;=Policy!$E$15,Policy!$C$15,IF(Solution!AH124&gt;=Policy!$E$16,Policy!$C$16,IF(Solution!AH124&gt;=Policy!$E$17,Policy!$C$17,IF(Solution!AH124&gt;=Policy!$E$18,Policy!$C$18,IF(AH124&gt;=Policy!$E$19,Policy!$C$19,Policy!$C$20)))))))</f>
        <v>8</v>
      </c>
    </row>
    <row r="125" spans="1:35" x14ac:dyDescent="0.3">
      <c r="A125" s="16" t="s">
        <v>175</v>
      </c>
      <c r="B125" s="14" t="s">
        <v>3</v>
      </c>
      <c r="C125" s="15">
        <v>0</v>
      </c>
      <c r="D125" s="15">
        <v>0</v>
      </c>
      <c r="E125" s="15">
        <v>0</v>
      </c>
      <c r="F125" s="15">
        <v>0</v>
      </c>
      <c r="G125" s="15">
        <v>371.8</v>
      </c>
      <c r="H125" s="15">
        <v>0</v>
      </c>
      <c r="I125" s="15">
        <v>0</v>
      </c>
      <c r="J125" s="15">
        <v>286.86</v>
      </c>
      <c r="K125" s="15">
        <v>0</v>
      </c>
      <c r="L125" s="15">
        <v>0</v>
      </c>
      <c r="M125" s="15">
        <v>0</v>
      </c>
      <c r="N125" s="38">
        <v>0</v>
      </c>
      <c r="O125" s="41">
        <f t="shared" si="23"/>
        <v>658.66000000000008</v>
      </c>
      <c r="P125" s="15">
        <f t="shared" si="24"/>
        <v>54.888333333333343</v>
      </c>
      <c r="Q125" s="42">
        <f t="shared" si="25"/>
        <v>129.46433344104213</v>
      </c>
      <c r="R125" s="44">
        <f t="shared" si="26"/>
        <v>2.3586858186203887</v>
      </c>
      <c r="S125" s="49">
        <f t="shared" si="34"/>
        <v>102.08739120497681</v>
      </c>
      <c r="T125" s="45"/>
      <c r="U125" s="46">
        <f>VLOOKUP(B125,Policy!$B$5:$J$8,9,FALSE)</f>
        <v>5.440534834623505</v>
      </c>
      <c r="V125" s="15">
        <f t="shared" si="19"/>
        <v>9.8177059566386813</v>
      </c>
      <c r="W125" s="15">
        <f t="shared" si="20"/>
        <v>54.787200027117471</v>
      </c>
      <c r="X125" s="46">
        <f>VLOOKUP(B125,Policy!$B$5:$F$8,5,FALSE)</f>
        <v>1.2815515655446006</v>
      </c>
      <c r="Y125" s="47">
        <f t="shared" si="27"/>
        <v>4.7343175378026764E-2</v>
      </c>
      <c r="Z125" s="43">
        <f t="shared" si="28"/>
        <v>2.5938000193548549</v>
      </c>
      <c r="AA125" s="48">
        <f t="shared" si="29"/>
        <v>0.97459235671771771</v>
      </c>
      <c r="AB125" s="15">
        <f t="shared" si="30"/>
        <v>80.030327923196253</v>
      </c>
      <c r="AC125" s="46"/>
      <c r="AD125" s="15">
        <f t="shared" si="31"/>
        <v>70.212621966557577</v>
      </c>
      <c r="AE125" s="50">
        <f t="shared" si="21"/>
        <v>51.043695602488405</v>
      </c>
      <c r="AF125" s="52">
        <f t="shared" si="35"/>
        <v>56.572279764698827</v>
      </c>
      <c r="AG125" s="51">
        <f t="shared" si="32"/>
        <v>64</v>
      </c>
      <c r="AH125" s="43">
        <f t="shared" si="33"/>
        <v>0.98799000000000015</v>
      </c>
      <c r="AI125" s="53">
        <f>IF(AH125&gt;=Policy!$E$13,Policy!$C$13,IF(Solution!AH125&gt;=Policy!$E$14,Policy!$C$14,IF(Solution!AH125&gt;=Policy!$E$15,Policy!$C$15,IF(Solution!AH125&gt;=Policy!$E$16,Policy!$C$16,IF(Solution!AH125&gt;=Policy!$E$17,Policy!$C$17,IF(Solution!AH125&gt;=Policy!$E$18,Policy!$C$18,IF(AH125&gt;=Policy!$E$19,Policy!$C$19,Policy!$C$20)))))))</f>
        <v>8</v>
      </c>
    </row>
    <row r="126" spans="1:35" x14ac:dyDescent="0.3">
      <c r="A126" s="16" t="s">
        <v>176</v>
      </c>
      <c r="B126" s="14" t="s">
        <v>3</v>
      </c>
      <c r="C126" s="15">
        <v>0</v>
      </c>
      <c r="D126" s="15">
        <v>0</v>
      </c>
      <c r="E126" s="15">
        <v>170.37</v>
      </c>
      <c r="F126" s="15">
        <v>68.069999999999993</v>
      </c>
      <c r="G126" s="15">
        <v>68.2</v>
      </c>
      <c r="H126" s="15">
        <v>0</v>
      </c>
      <c r="I126" s="15">
        <v>0</v>
      </c>
      <c r="J126" s="15">
        <v>238.78</v>
      </c>
      <c r="K126" s="15">
        <v>0</v>
      </c>
      <c r="L126" s="15">
        <v>102.95</v>
      </c>
      <c r="M126" s="15">
        <v>92.655000000000001</v>
      </c>
      <c r="N126" s="38">
        <v>113.24500000000002</v>
      </c>
      <c r="O126" s="41">
        <f t="shared" si="23"/>
        <v>854.27</v>
      </c>
      <c r="P126" s="15">
        <f t="shared" si="24"/>
        <v>71.189166666666665</v>
      </c>
      <c r="Q126" s="42">
        <f t="shared" si="25"/>
        <v>77.7641552981991</v>
      </c>
      <c r="R126" s="44">
        <f t="shared" si="26"/>
        <v>1.0923593987596301</v>
      </c>
      <c r="S126" s="49">
        <f t="shared" si="34"/>
        <v>116.26233431230784</v>
      </c>
      <c r="T126" s="45"/>
      <c r="U126" s="46">
        <f>VLOOKUP(B126,Policy!$B$5:$J$8,9,FALSE)</f>
        <v>5.440534834623505</v>
      </c>
      <c r="V126" s="15">
        <f t="shared" si="19"/>
        <v>12.733385460750196</v>
      </c>
      <c r="W126" s="15">
        <f t="shared" si="20"/>
        <v>32.981658074947937</v>
      </c>
      <c r="X126" s="46">
        <f>VLOOKUP(B126,Policy!$B$5:$F$8,5,FALSE)</f>
        <v>1.2815515655446006</v>
      </c>
      <c r="Y126" s="47">
        <f t="shared" si="27"/>
        <v>4.7343175378026764E-2</v>
      </c>
      <c r="Z126" s="43">
        <f t="shared" si="28"/>
        <v>1.5614564225003729</v>
      </c>
      <c r="AA126" s="48">
        <f t="shared" si="29"/>
        <v>0.98656954178895173</v>
      </c>
      <c r="AB126" s="15">
        <f t="shared" si="30"/>
        <v>55.001081000956447</v>
      </c>
      <c r="AC126" s="46"/>
      <c r="AD126" s="15">
        <f t="shared" si="31"/>
        <v>42.267695540206248</v>
      </c>
      <c r="AE126" s="50">
        <f t="shared" si="21"/>
        <v>58.131167156153921</v>
      </c>
      <c r="AF126" s="52">
        <f t="shared" si="35"/>
        <v>49.674870970527309</v>
      </c>
      <c r="AG126" s="51">
        <f t="shared" si="32"/>
        <v>64</v>
      </c>
      <c r="AH126" s="43">
        <f t="shared" si="33"/>
        <v>1.2814049999999999</v>
      </c>
      <c r="AI126" s="53">
        <f>IF(AH126&gt;=Policy!$E$13,Policy!$C$13,IF(Solution!AH126&gt;=Policy!$E$14,Policy!$C$14,IF(Solution!AH126&gt;=Policy!$E$15,Policy!$C$15,IF(Solution!AH126&gt;=Policy!$E$16,Policy!$C$16,IF(Solution!AH126&gt;=Policy!$E$17,Policy!$C$17,IF(Solution!AH126&gt;=Policy!$E$18,Policy!$C$18,IF(AH126&gt;=Policy!$E$19,Policy!$C$19,Policy!$C$20)))))))</f>
        <v>7</v>
      </c>
    </row>
    <row r="127" spans="1:35" x14ac:dyDescent="0.3">
      <c r="A127" s="16" t="s">
        <v>177</v>
      </c>
      <c r="B127" s="14" t="s">
        <v>3</v>
      </c>
      <c r="C127" s="15">
        <v>0</v>
      </c>
      <c r="D127" s="15">
        <v>63.99</v>
      </c>
      <c r="E127" s="15">
        <v>96.43</v>
      </c>
      <c r="F127" s="15">
        <v>0</v>
      </c>
      <c r="G127" s="15">
        <v>127.98</v>
      </c>
      <c r="H127" s="15">
        <v>63.82</v>
      </c>
      <c r="I127" s="15">
        <v>0</v>
      </c>
      <c r="J127" s="15">
        <v>0</v>
      </c>
      <c r="K127" s="15">
        <v>223.55</v>
      </c>
      <c r="L127" s="15">
        <v>63.71</v>
      </c>
      <c r="M127" s="15">
        <v>57.338999999999999</v>
      </c>
      <c r="N127" s="38">
        <v>70.081000000000003</v>
      </c>
      <c r="O127" s="41">
        <f t="shared" si="23"/>
        <v>766.9</v>
      </c>
      <c r="P127" s="15">
        <f t="shared" si="24"/>
        <v>63.908333333333331</v>
      </c>
      <c r="Q127" s="42">
        <f t="shared" si="25"/>
        <v>65.41247521318202</v>
      </c>
      <c r="R127" s="44">
        <f t="shared" si="26"/>
        <v>1.0235359271850102</v>
      </c>
      <c r="S127" s="49">
        <f t="shared" si="34"/>
        <v>110.15667783155988</v>
      </c>
      <c r="T127" s="45"/>
      <c r="U127" s="46">
        <f>VLOOKUP(B127,Policy!$B$5:$J$8,9,FALSE)</f>
        <v>5.440534834623505</v>
      </c>
      <c r="V127" s="15">
        <f t="shared" si="19"/>
        <v>11.431085382665112</v>
      </c>
      <c r="W127" s="15">
        <f t="shared" si="20"/>
        <v>27.753883558838883</v>
      </c>
      <c r="X127" s="46">
        <f>VLOOKUP(B127,Policy!$B$5:$F$8,5,FALSE)</f>
        <v>1.2815515655446006</v>
      </c>
      <c r="Y127" s="47">
        <f t="shared" si="27"/>
        <v>4.7343175378026764E-2</v>
      </c>
      <c r="Z127" s="43">
        <f t="shared" si="28"/>
        <v>1.3139569767474428</v>
      </c>
      <c r="AA127" s="48">
        <f t="shared" si="29"/>
        <v>0.98807192625437912</v>
      </c>
      <c r="AB127" s="15">
        <f t="shared" si="30"/>
        <v>46.999118307437634</v>
      </c>
      <c r="AC127" s="46"/>
      <c r="AD127" s="15">
        <f t="shared" si="31"/>
        <v>35.568032924772524</v>
      </c>
      <c r="AE127" s="50">
        <f t="shared" si="21"/>
        <v>55.078338915779938</v>
      </c>
      <c r="AF127" s="52">
        <f t="shared" si="35"/>
        <v>52.428201080348622</v>
      </c>
      <c r="AG127" s="51">
        <f t="shared" si="32"/>
        <v>64</v>
      </c>
      <c r="AH127" s="43">
        <f t="shared" si="33"/>
        <v>1.15035</v>
      </c>
      <c r="AI127" s="53">
        <f>IF(AH127&gt;=Policy!$E$13,Policy!$C$13,IF(Solution!AH127&gt;=Policy!$E$14,Policy!$C$14,IF(Solution!AH127&gt;=Policy!$E$15,Policy!$C$15,IF(Solution!AH127&gt;=Policy!$E$16,Policy!$C$16,IF(Solution!AH127&gt;=Policy!$E$17,Policy!$C$17,IF(Solution!AH127&gt;=Policy!$E$18,Policy!$C$18,IF(AH127&gt;=Policy!$E$19,Policy!$C$19,Policy!$C$20)))))))</f>
        <v>8</v>
      </c>
    </row>
    <row r="128" spans="1:35" x14ac:dyDescent="0.3">
      <c r="A128" s="16" t="s">
        <v>178</v>
      </c>
      <c r="B128" s="14" t="s">
        <v>3</v>
      </c>
      <c r="C128" s="15">
        <v>0</v>
      </c>
      <c r="D128" s="15">
        <v>0</v>
      </c>
      <c r="E128" s="15">
        <v>351.88</v>
      </c>
      <c r="F128" s="15">
        <v>0</v>
      </c>
      <c r="G128" s="15">
        <v>0</v>
      </c>
      <c r="H128" s="15">
        <v>0</v>
      </c>
      <c r="I128" s="15">
        <v>257.99</v>
      </c>
      <c r="J128" s="15">
        <v>0</v>
      </c>
      <c r="K128" s="15">
        <v>0</v>
      </c>
      <c r="L128" s="15">
        <v>0</v>
      </c>
      <c r="M128" s="15">
        <v>0</v>
      </c>
      <c r="N128" s="38">
        <v>0</v>
      </c>
      <c r="O128" s="41">
        <f t="shared" si="23"/>
        <v>609.87</v>
      </c>
      <c r="P128" s="15">
        <f t="shared" si="24"/>
        <v>50.822499999999998</v>
      </c>
      <c r="Q128" s="42">
        <f t="shared" si="25"/>
        <v>120.37186942025644</v>
      </c>
      <c r="R128" s="44">
        <f t="shared" si="26"/>
        <v>2.3684759588815281</v>
      </c>
      <c r="S128" s="49">
        <f t="shared" si="34"/>
        <v>98.233608160099152</v>
      </c>
      <c r="T128" s="45"/>
      <c r="U128" s="46">
        <f>VLOOKUP(B128,Policy!$B$5:$J$8,9,FALSE)</f>
        <v>5.440534834623505</v>
      </c>
      <c r="V128" s="15">
        <f t="shared" si="19"/>
        <v>9.0904629577858547</v>
      </c>
      <c r="W128" s="15">
        <f t="shared" si="20"/>
        <v>50.939161867760909</v>
      </c>
      <c r="X128" s="46">
        <f>VLOOKUP(B128,Policy!$B$5:$F$8,5,FALSE)</f>
        <v>1.2815515655446006</v>
      </c>
      <c r="Y128" s="47">
        <f t="shared" si="27"/>
        <v>4.7343175378026764E-2</v>
      </c>
      <c r="Z128" s="43">
        <f t="shared" si="28"/>
        <v>2.4116216739150982</v>
      </c>
      <c r="AA128" s="48">
        <f t="shared" si="29"/>
        <v>0.9754501364748337</v>
      </c>
      <c r="AB128" s="15">
        <f t="shared" si="30"/>
        <v>74.371625596944668</v>
      </c>
      <c r="AC128" s="46"/>
      <c r="AD128" s="15">
        <f t="shared" si="31"/>
        <v>65.281162639158808</v>
      </c>
      <c r="AE128" s="50">
        <f t="shared" si="21"/>
        <v>49.116804080049576</v>
      </c>
      <c r="AF128" s="52">
        <f t="shared" si="35"/>
        <v>58.791655563376111</v>
      </c>
      <c r="AG128" s="51">
        <f t="shared" si="32"/>
        <v>64</v>
      </c>
      <c r="AH128" s="43">
        <f t="shared" si="33"/>
        <v>0.91480499999999998</v>
      </c>
      <c r="AI128" s="53">
        <f>IF(AH128&gt;=Policy!$E$13,Policy!$C$13,IF(Solution!AH128&gt;=Policy!$E$14,Policy!$C$14,IF(Solution!AH128&gt;=Policy!$E$15,Policy!$C$15,IF(Solution!AH128&gt;=Policy!$E$16,Policy!$C$16,IF(Solution!AH128&gt;=Policy!$E$17,Policy!$C$17,IF(Solution!AH128&gt;=Policy!$E$18,Policy!$C$18,IF(AH128&gt;=Policy!$E$19,Policy!$C$19,Policy!$C$20)))))))</f>
        <v>8</v>
      </c>
    </row>
    <row r="129" spans="1:35" x14ac:dyDescent="0.3">
      <c r="A129" s="16" t="s">
        <v>179</v>
      </c>
      <c r="B129" s="14" t="s">
        <v>3</v>
      </c>
      <c r="C129" s="15">
        <v>106.39</v>
      </c>
      <c r="D129" s="15">
        <v>71.34</v>
      </c>
      <c r="E129" s="15">
        <v>0</v>
      </c>
      <c r="F129" s="15">
        <v>0</v>
      </c>
      <c r="G129" s="15">
        <v>0</v>
      </c>
      <c r="H129" s="15">
        <v>141.6</v>
      </c>
      <c r="I129" s="15">
        <v>35.380000000000003</v>
      </c>
      <c r="J129" s="15">
        <v>0</v>
      </c>
      <c r="K129" s="15">
        <v>175.9</v>
      </c>
      <c r="L129" s="15">
        <v>70.25</v>
      </c>
      <c r="M129" s="15">
        <v>63.225000000000001</v>
      </c>
      <c r="N129" s="38">
        <v>77.275000000000006</v>
      </c>
      <c r="O129" s="41">
        <f t="shared" si="23"/>
        <v>741.36</v>
      </c>
      <c r="P129" s="15">
        <f t="shared" si="24"/>
        <v>61.78</v>
      </c>
      <c r="Q129" s="42">
        <f t="shared" si="25"/>
        <v>58.58483363310151</v>
      </c>
      <c r="R129" s="44">
        <f t="shared" si="26"/>
        <v>0.94828154148756083</v>
      </c>
      <c r="S129" s="49">
        <f t="shared" si="34"/>
        <v>108.30687765250849</v>
      </c>
      <c r="T129" s="45"/>
      <c r="U129" s="46">
        <f>VLOOKUP(B129,Policy!$B$5:$J$8,9,FALSE)</f>
        <v>5.440534834623505</v>
      </c>
      <c r="V129" s="15">
        <f t="shared" si="19"/>
        <v>11.050396999990362</v>
      </c>
      <c r="W129" s="15">
        <f t="shared" si="20"/>
        <v>24.870140536139921</v>
      </c>
      <c r="X129" s="46">
        <f>VLOOKUP(B129,Policy!$B$5:$F$8,5,FALSE)</f>
        <v>1.2815515655446006</v>
      </c>
      <c r="Y129" s="47">
        <f t="shared" si="27"/>
        <v>4.7343175378026764E-2</v>
      </c>
      <c r="Z129" s="43">
        <f t="shared" si="28"/>
        <v>1.1774314250786448</v>
      </c>
      <c r="AA129" s="48">
        <f t="shared" si="29"/>
        <v>0.98912874740183798</v>
      </c>
      <c r="AB129" s="15">
        <f t="shared" si="30"/>
        <v>42.922764539394706</v>
      </c>
      <c r="AC129" s="46"/>
      <c r="AD129" s="15">
        <f t="shared" si="31"/>
        <v>31.872367539404348</v>
      </c>
      <c r="AE129" s="50">
        <f t="shared" si="21"/>
        <v>54.153438826254245</v>
      </c>
      <c r="AF129" s="52">
        <f t="shared" si="35"/>
        <v>53.323635404075745</v>
      </c>
      <c r="AG129" s="51">
        <f t="shared" si="32"/>
        <v>64</v>
      </c>
      <c r="AH129" s="43">
        <f t="shared" si="33"/>
        <v>1.1120399999999999</v>
      </c>
      <c r="AI129" s="53">
        <f>IF(AH129&gt;=Policy!$E$13,Policy!$C$13,IF(Solution!AH129&gt;=Policy!$E$14,Policy!$C$14,IF(Solution!AH129&gt;=Policy!$E$15,Policy!$C$15,IF(Solution!AH129&gt;=Policy!$E$16,Policy!$C$16,IF(Solution!AH129&gt;=Policy!$E$17,Policy!$C$17,IF(Solution!AH129&gt;=Policy!$E$18,Policy!$C$18,IF(AH129&gt;=Policy!$E$19,Policy!$C$19,Policy!$C$20)))))))</f>
        <v>8</v>
      </c>
    </row>
    <row r="130" spans="1:35" x14ac:dyDescent="0.3">
      <c r="A130" s="16" t="s">
        <v>180</v>
      </c>
      <c r="B130" s="14" t="s">
        <v>4</v>
      </c>
      <c r="C130" s="15">
        <v>91.65</v>
      </c>
      <c r="D130" s="15">
        <v>0</v>
      </c>
      <c r="E130" s="15">
        <v>122.16</v>
      </c>
      <c r="F130" s="15">
        <v>122.1</v>
      </c>
      <c r="G130" s="15">
        <v>0</v>
      </c>
      <c r="H130" s="15">
        <v>121.84</v>
      </c>
      <c r="I130" s="15">
        <v>60.97</v>
      </c>
      <c r="J130" s="15">
        <v>0</v>
      </c>
      <c r="K130" s="15">
        <v>0</v>
      </c>
      <c r="L130" s="15">
        <v>60.98</v>
      </c>
      <c r="M130" s="15">
        <v>54.881999999999998</v>
      </c>
      <c r="N130" s="38">
        <v>67.078000000000003</v>
      </c>
      <c r="O130" s="41">
        <f t="shared" si="23"/>
        <v>701.66</v>
      </c>
      <c r="P130" s="15">
        <f t="shared" si="24"/>
        <v>58.471666666666664</v>
      </c>
      <c r="Q130" s="42">
        <f t="shared" si="25"/>
        <v>49.540018143890208</v>
      </c>
      <c r="R130" s="44">
        <f t="shared" si="26"/>
        <v>0.84724826515218554</v>
      </c>
      <c r="S130" s="49"/>
      <c r="T130" s="45">
        <f t="shared" ref="T130:T161" si="36">(O130/$Y$1)*U130</f>
        <v>68.129330608388841</v>
      </c>
      <c r="U130" s="46">
        <f>VLOOKUP(B130,Policy!$B$5:$J$8,9,FALSE)</f>
        <v>35.440534834623506</v>
      </c>
      <c r="V130" s="15">
        <f t="shared" si="19"/>
        <v>68.129330608388841</v>
      </c>
      <c r="W130" s="15">
        <f t="shared" si="20"/>
        <v>21.050320468207236</v>
      </c>
      <c r="X130" s="46">
        <f>VLOOKUP(B130,Policy!$B$5:$F$8,5,FALSE)</f>
        <v>0.84162123357291474</v>
      </c>
      <c r="Y130" s="47">
        <f t="shared" si="27"/>
        <v>0.11163767369322539</v>
      </c>
      <c r="Z130" s="43">
        <f t="shared" si="28"/>
        <v>2.3500088075675429</v>
      </c>
      <c r="AA130" s="48">
        <f>1-Z130/T130</f>
        <v>0.96550665056324236</v>
      </c>
      <c r="AB130" s="15"/>
      <c r="AC130" s="45">
        <f>+V130+X130*W130</f>
        <v>85.845727287946588</v>
      </c>
      <c r="AD130" s="15">
        <f t="shared" si="31"/>
        <v>17.71639667955775</v>
      </c>
      <c r="AE130" s="50">
        <f t="shared" si="21"/>
        <v>34.064665304194421</v>
      </c>
      <c r="AF130" s="52">
        <f>T130/(O130/$Y$1)</f>
        <v>35.440534834623506</v>
      </c>
      <c r="AG130" s="51">
        <f t="shared" si="32"/>
        <v>32</v>
      </c>
      <c r="AH130" s="43">
        <f t="shared" si="33"/>
        <v>1.0524899999999999</v>
      </c>
      <c r="AI130" s="53">
        <f>IF(AH130&gt;=Policy!$E$13,Policy!$C$13,IF(Solution!AH130&gt;=Policy!$E$14,Policy!$C$14,IF(Solution!AH130&gt;=Policy!$E$15,Policy!$C$15,IF(Solution!AH130&gt;=Policy!$E$16,Policy!$C$16,IF(Solution!AH130&gt;=Policy!$E$17,Policy!$C$17,IF(Solution!AH130&gt;=Policy!$E$18,Policy!$C$18,IF(AH130&gt;=Policy!$E$19,Policy!$C$19,Policy!$C$20)))))))</f>
        <v>8</v>
      </c>
    </row>
    <row r="131" spans="1:35" x14ac:dyDescent="0.3">
      <c r="A131" s="16" t="s">
        <v>181</v>
      </c>
      <c r="B131" s="14" t="s">
        <v>4</v>
      </c>
      <c r="C131" s="15">
        <v>0</v>
      </c>
      <c r="D131" s="15">
        <v>0</v>
      </c>
      <c r="E131" s="15">
        <v>0</v>
      </c>
      <c r="F131" s="15">
        <v>179.95</v>
      </c>
      <c r="G131" s="15">
        <v>0</v>
      </c>
      <c r="H131" s="15">
        <v>0</v>
      </c>
      <c r="I131" s="15">
        <v>0</v>
      </c>
      <c r="J131" s="15">
        <v>92.11</v>
      </c>
      <c r="K131" s="15">
        <v>302.62</v>
      </c>
      <c r="L131" s="15">
        <v>0</v>
      </c>
      <c r="M131" s="15">
        <v>0</v>
      </c>
      <c r="N131" s="38">
        <v>0</v>
      </c>
      <c r="O131" s="41">
        <f t="shared" si="23"/>
        <v>574.68000000000006</v>
      </c>
      <c r="P131" s="15">
        <f t="shared" si="24"/>
        <v>47.890000000000008</v>
      </c>
      <c r="Q131" s="42">
        <f t="shared" si="25"/>
        <v>97.665334782520546</v>
      </c>
      <c r="R131" s="44">
        <f t="shared" si="26"/>
        <v>2.0393680263629261</v>
      </c>
      <c r="S131" s="49"/>
      <c r="T131" s="45">
        <f t="shared" si="36"/>
        <v>55.799908380168326</v>
      </c>
      <c r="U131" s="46">
        <f>VLOOKUP(B131,Policy!$B$5:$J$8,9,FALSE)</f>
        <v>35.440534834623506</v>
      </c>
      <c r="V131" s="15">
        <f t="shared" si="19"/>
        <v>55.799908380168326</v>
      </c>
      <c r="W131" s="15">
        <f t="shared" si="20"/>
        <v>41.33885792604611</v>
      </c>
      <c r="X131" s="46">
        <f>VLOOKUP(B131,Policy!$B$5:$F$8,5,FALSE)</f>
        <v>0.84162123357291474</v>
      </c>
      <c r="Y131" s="47">
        <f t="shared" si="27"/>
        <v>0.11163767369322539</v>
      </c>
      <c r="Z131" s="43">
        <f t="shared" si="28"/>
        <v>4.6149739319985397</v>
      </c>
      <c r="AA131" s="48">
        <f t="shared" ref="AA131:AA194" si="37">1-Z131/T131</f>
        <v>0.91729423818124523</v>
      </c>
      <c r="AB131" s="15"/>
      <c r="AC131" s="45">
        <f t="shared" ref="AC131:AC194" si="38">+V131+X131*W131</f>
        <v>90.591568982382711</v>
      </c>
      <c r="AD131" s="15">
        <f t="shared" si="31"/>
        <v>34.791660602214392</v>
      </c>
      <c r="AE131" s="50">
        <f t="shared" si="21"/>
        <v>27.899954190084163</v>
      </c>
      <c r="AF131" s="52">
        <f t="shared" ref="AF131:AF194" si="39">T131/(O131/$Y$1)</f>
        <v>35.440534834623506</v>
      </c>
      <c r="AG131" s="51">
        <f t="shared" si="32"/>
        <v>32</v>
      </c>
      <c r="AH131" s="43">
        <f t="shared" si="33"/>
        <v>0.86202000000000012</v>
      </c>
      <c r="AI131" s="53">
        <f>IF(AH131&gt;=Policy!$E$13,Policy!$C$13,IF(Solution!AH131&gt;=Policy!$E$14,Policy!$C$14,IF(Solution!AH131&gt;=Policy!$E$15,Policy!$C$15,IF(Solution!AH131&gt;=Policy!$E$16,Policy!$C$16,IF(Solution!AH131&gt;=Policy!$E$17,Policy!$C$17,IF(Solution!AH131&gt;=Policy!$E$18,Policy!$C$18,IF(AH131&gt;=Policy!$E$19,Policy!$C$19,Policy!$C$20)))))))</f>
        <v>8</v>
      </c>
    </row>
    <row r="132" spans="1:35" x14ac:dyDescent="0.3">
      <c r="A132" s="16" t="s">
        <v>182</v>
      </c>
      <c r="B132" s="14" t="s">
        <v>4</v>
      </c>
      <c r="C132" s="15">
        <v>134.81</v>
      </c>
      <c r="D132" s="15">
        <v>0</v>
      </c>
      <c r="E132" s="15">
        <v>270.18</v>
      </c>
      <c r="F132" s="15">
        <v>0</v>
      </c>
      <c r="G132" s="15">
        <v>0</v>
      </c>
      <c r="H132" s="15">
        <v>0</v>
      </c>
      <c r="I132" s="15">
        <v>0</v>
      </c>
      <c r="J132" s="15">
        <v>101.49</v>
      </c>
      <c r="K132" s="15">
        <v>67.61</v>
      </c>
      <c r="L132" s="15">
        <v>0</v>
      </c>
      <c r="M132" s="15">
        <v>0</v>
      </c>
      <c r="N132" s="38">
        <v>0</v>
      </c>
      <c r="O132" s="41">
        <f t="shared" si="23"/>
        <v>574.09</v>
      </c>
      <c r="P132" s="15">
        <f t="shared" si="24"/>
        <v>47.840833333333336</v>
      </c>
      <c r="Q132" s="42">
        <f t="shared" si="25"/>
        <v>84.518613706560458</v>
      </c>
      <c r="R132" s="44">
        <f t="shared" si="26"/>
        <v>1.7666626565150507</v>
      </c>
      <c r="S132" s="49"/>
      <c r="T132" s="45">
        <f t="shared" si="36"/>
        <v>55.742620940298657</v>
      </c>
      <c r="U132" s="46">
        <f>VLOOKUP(B132,Policy!$B$5:$J$8,9,FALSE)</f>
        <v>35.440534834623506</v>
      </c>
      <c r="V132" s="15">
        <f t="shared" si="19"/>
        <v>55.742620940298657</v>
      </c>
      <c r="W132" s="15">
        <f t="shared" si="20"/>
        <v>35.783900189632462</v>
      </c>
      <c r="X132" s="46">
        <f>VLOOKUP(B132,Policy!$B$5:$F$8,5,FALSE)</f>
        <v>0.84162123357291474</v>
      </c>
      <c r="Y132" s="47">
        <f t="shared" si="27"/>
        <v>0.11163767369322539</v>
      </c>
      <c r="Z132" s="43">
        <f t="shared" si="28"/>
        <v>3.9948313728411349</v>
      </c>
      <c r="AA132" s="48">
        <f t="shared" si="37"/>
        <v>0.9283343462245941</v>
      </c>
      <c r="AB132" s="15"/>
      <c r="AC132" s="45">
        <f t="shared" si="38"/>
        <v>85.85911115994719</v>
      </c>
      <c r="AD132" s="15">
        <f t="shared" si="31"/>
        <v>30.116490219648529</v>
      </c>
      <c r="AE132" s="50">
        <f t="shared" si="21"/>
        <v>27.871310470149329</v>
      </c>
      <c r="AF132" s="52">
        <f t="shared" si="39"/>
        <v>35.440534834623506</v>
      </c>
      <c r="AG132" s="51">
        <f t="shared" si="32"/>
        <v>32</v>
      </c>
      <c r="AH132" s="43">
        <f t="shared" si="33"/>
        <v>0.86113499999999998</v>
      </c>
      <c r="AI132" s="53">
        <f>IF(AH132&gt;=Policy!$E$13,Policy!$C$13,IF(Solution!AH132&gt;=Policy!$E$14,Policy!$C$14,IF(Solution!AH132&gt;=Policy!$E$15,Policy!$C$15,IF(Solution!AH132&gt;=Policy!$E$16,Policy!$C$16,IF(Solution!AH132&gt;=Policy!$E$17,Policy!$C$17,IF(Solution!AH132&gt;=Policy!$E$18,Policy!$C$18,IF(AH132&gt;=Policy!$E$19,Policy!$C$19,Policy!$C$20)))))))</f>
        <v>8</v>
      </c>
    </row>
    <row r="133" spans="1:35" x14ac:dyDescent="0.3">
      <c r="A133" s="16" t="s">
        <v>183</v>
      </c>
      <c r="B133" s="14" t="s">
        <v>4</v>
      </c>
      <c r="C133" s="15">
        <v>0</v>
      </c>
      <c r="D133" s="15">
        <v>62.27</v>
      </c>
      <c r="E133" s="15">
        <v>0</v>
      </c>
      <c r="F133" s="15">
        <v>0</v>
      </c>
      <c r="G133" s="15">
        <v>93.29</v>
      </c>
      <c r="H133" s="15">
        <v>0</v>
      </c>
      <c r="I133" s="15">
        <v>0</v>
      </c>
      <c r="J133" s="15">
        <v>0</v>
      </c>
      <c r="K133" s="15">
        <v>0</v>
      </c>
      <c r="L133" s="15">
        <v>405.5</v>
      </c>
      <c r="M133" s="15">
        <v>364.95</v>
      </c>
      <c r="N133" s="38">
        <v>446.05</v>
      </c>
      <c r="O133" s="41">
        <f t="shared" si="23"/>
        <v>1372.06</v>
      </c>
      <c r="P133" s="15">
        <f t="shared" si="24"/>
        <v>114.33833333333332</v>
      </c>
      <c r="Q133" s="42">
        <f t="shared" si="25"/>
        <v>178.95679477731406</v>
      </c>
      <c r="R133" s="44">
        <f t="shared" si="26"/>
        <v>1.5651513325421402</v>
      </c>
      <c r="S133" s="49"/>
      <c r="T133" s="45">
        <f t="shared" si="36"/>
        <v>133.22339787724255</v>
      </c>
      <c r="U133" s="46">
        <f>VLOOKUP(B133,Policy!$B$5:$J$8,9,FALSE)</f>
        <v>35.440534834623506</v>
      </c>
      <c r="V133" s="15">
        <f t="shared" si="19"/>
        <v>133.22339787724255</v>
      </c>
      <c r="W133" s="15">
        <f t="shared" si="20"/>
        <v>75.790055705513353</v>
      </c>
      <c r="X133" s="46">
        <f>VLOOKUP(B133,Policy!$B$5:$F$8,5,FALSE)</f>
        <v>0.84162123357291474</v>
      </c>
      <c r="Y133" s="47">
        <f t="shared" si="27"/>
        <v>0.11163767369322539</v>
      </c>
      <c r="Z133" s="43">
        <f t="shared" si="28"/>
        <v>8.4610255080434751</v>
      </c>
      <c r="AA133" s="48">
        <f t="shared" si="37"/>
        <v>0.93648994363707938</v>
      </c>
      <c r="AB133" s="15"/>
      <c r="AC133" s="45">
        <f t="shared" si="38"/>
        <v>197.00991805267662</v>
      </c>
      <c r="AD133" s="15">
        <f t="shared" si="31"/>
        <v>63.78652017543407</v>
      </c>
      <c r="AE133" s="50">
        <f t="shared" si="21"/>
        <v>66.611698938621274</v>
      </c>
      <c r="AF133" s="52">
        <f t="shared" si="39"/>
        <v>35.440534834623506</v>
      </c>
      <c r="AG133" s="51">
        <f t="shared" si="32"/>
        <v>32</v>
      </c>
      <c r="AH133" s="43">
        <f t="shared" si="33"/>
        <v>2.05809</v>
      </c>
      <c r="AI133" s="53">
        <f>IF(AH133&gt;=Policy!$E$13,Policy!$C$13,IF(Solution!AH133&gt;=Policy!$E$14,Policy!$C$14,IF(Solution!AH133&gt;=Policy!$E$15,Policy!$C$15,IF(Solution!AH133&gt;=Policy!$E$16,Policy!$C$16,IF(Solution!AH133&gt;=Policy!$E$17,Policy!$C$17,IF(Solution!AH133&gt;=Policy!$E$18,Policy!$C$18,IF(AH133&gt;=Policy!$E$19,Policy!$C$19,Policy!$C$20)))))))</f>
        <v>6</v>
      </c>
    </row>
    <row r="134" spans="1:35" x14ac:dyDescent="0.3">
      <c r="A134" s="16" t="s">
        <v>184</v>
      </c>
      <c r="B134" s="14" t="s">
        <v>4</v>
      </c>
      <c r="C134" s="15">
        <v>0</v>
      </c>
      <c r="D134" s="15">
        <v>0</v>
      </c>
      <c r="E134" s="15">
        <v>114.32</v>
      </c>
      <c r="F134" s="15">
        <v>152.54</v>
      </c>
      <c r="G134" s="15">
        <v>0</v>
      </c>
      <c r="H134" s="15">
        <v>190.28</v>
      </c>
      <c r="I134" s="15">
        <v>76.91</v>
      </c>
      <c r="J134" s="15">
        <v>0</v>
      </c>
      <c r="K134" s="15">
        <v>0</v>
      </c>
      <c r="L134" s="15">
        <v>0</v>
      </c>
      <c r="M134" s="15">
        <v>0</v>
      </c>
      <c r="N134" s="38">
        <v>0</v>
      </c>
      <c r="O134" s="41">
        <f t="shared" si="23"/>
        <v>534.04999999999995</v>
      </c>
      <c r="P134" s="15">
        <f t="shared" si="24"/>
        <v>44.504166666666663</v>
      </c>
      <c r="Q134" s="42">
        <f t="shared" si="25"/>
        <v>70.51221060707833</v>
      </c>
      <c r="R134" s="44">
        <f t="shared" si="26"/>
        <v>1.5843957069280781</v>
      </c>
      <c r="S134" s="49"/>
      <c r="T134" s="45">
        <f t="shared" si="36"/>
        <v>51.854842817618305</v>
      </c>
      <c r="U134" s="46">
        <f>VLOOKUP(B134,Policy!$B$5:$J$8,9,FALSE)</f>
        <v>35.440534834623506</v>
      </c>
      <c r="V134" s="15">
        <f t="shared" ref="V134:V197" si="40">(O134/$Y$1)*U134</f>
        <v>51.854842817618305</v>
      </c>
      <c r="W134" s="15">
        <f t="shared" ref="W134:W197" si="41">SQRT($Q$1*(Q134/SQRT($Y$2))^2+(O134/$Y$1)^2*($Q$2)^2)</f>
        <v>29.861658154325394</v>
      </c>
      <c r="X134" s="46">
        <f>VLOOKUP(B134,Policy!$B$5:$F$8,5,FALSE)</f>
        <v>0.84162123357291474</v>
      </c>
      <c r="Y134" s="47">
        <f t="shared" si="27"/>
        <v>0.11163767369322539</v>
      </c>
      <c r="Z134" s="43">
        <f t="shared" si="28"/>
        <v>3.3336860489712214</v>
      </c>
      <c r="AA134" s="48">
        <f t="shared" si="37"/>
        <v>0.93571119170688988</v>
      </c>
      <c r="AB134" s="15"/>
      <c r="AC134" s="45">
        <f t="shared" si="38"/>
        <v>76.987048389994328</v>
      </c>
      <c r="AD134" s="15">
        <f t="shared" si="31"/>
        <v>25.132205572376026</v>
      </c>
      <c r="AE134" s="50">
        <f t="shared" ref="AE134:AE197" si="42">IF(B134="C",(T134/2),(S134/2))</f>
        <v>25.927421408809153</v>
      </c>
      <c r="AF134" s="52">
        <f t="shared" si="39"/>
        <v>35.440534834623506</v>
      </c>
      <c r="AG134" s="51">
        <f t="shared" si="32"/>
        <v>32</v>
      </c>
      <c r="AH134" s="43">
        <f t="shared" si="33"/>
        <v>0.80107499999999998</v>
      </c>
      <c r="AI134" s="53">
        <f>IF(AH134&gt;=Policy!$E$13,Policy!$C$13,IF(Solution!AH134&gt;=Policy!$E$14,Policy!$C$14,IF(Solution!AH134&gt;=Policy!$E$15,Policy!$C$15,IF(Solution!AH134&gt;=Policy!$E$16,Policy!$C$16,IF(Solution!AH134&gt;=Policy!$E$17,Policy!$C$17,IF(Solution!AH134&gt;=Policy!$E$18,Policy!$C$18,IF(AH134&gt;=Policy!$E$19,Policy!$C$19,Policy!$C$20)))))))</f>
        <v>8</v>
      </c>
    </row>
    <row r="135" spans="1:35" x14ac:dyDescent="0.3">
      <c r="A135" s="16" t="s">
        <v>185</v>
      </c>
      <c r="B135" s="14" t="s">
        <v>4</v>
      </c>
      <c r="C135" s="15">
        <v>106.55</v>
      </c>
      <c r="D135" s="15">
        <v>0</v>
      </c>
      <c r="E135" s="15">
        <v>79.73</v>
      </c>
      <c r="F135" s="15">
        <v>132.86000000000001</v>
      </c>
      <c r="G135" s="15">
        <v>0</v>
      </c>
      <c r="H135" s="15">
        <v>0</v>
      </c>
      <c r="I135" s="15">
        <v>26.46</v>
      </c>
      <c r="J135" s="15">
        <v>133.86000000000001</v>
      </c>
      <c r="K135" s="15">
        <v>0</v>
      </c>
      <c r="L135" s="15">
        <v>53.99</v>
      </c>
      <c r="M135" s="15">
        <v>48.591000000000001</v>
      </c>
      <c r="N135" s="38">
        <v>59.38900000000001</v>
      </c>
      <c r="O135" s="41">
        <f t="shared" ref="O135:O198" si="43">SUM(C135:N135)</f>
        <v>641.42999999999995</v>
      </c>
      <c r="P135" s="15">
        <f t="shared" ref="P135:P198" si="44">AVERAGE(C135:N135)</f>
        <v>53.452499999999993</v>
      </c>
      <c r="Q135" s="42">
        <f t="shared" ref="Q135:Q198" si="45">STDEV(C135:N135)</f>
        <v>50.898479908539528</v>
      </c>
      <c r="R135" s="44">
        <f t="shared" ref="R135:R198" si="46">Q135/P135</f>
        <v>0.95221888421569678</v>
      </c>
      <c r="S135" s="49"/>
      <c r="T135" s="45">
        <f t="shared" si="36"/>
        <v>62.281156873897402</v>
      </c>
      <c r="U135" s="46">
        <f>VLOOKUP(B135,Policy!$B$5:$J$8,9,FALSE)</f>
        <v>35.440534834623506</v>
      </c>
      <c r="V135" s="15">
        <f t="shared" si="40"/>
        <v>62.281156873897402</v>
      </c>
      <c r="W135" s="15">
        <f t="shared" si="41"/>
        <v>21.606502123728681</v>
      </c>
      <c r="X135" s="46">
        <f>VLOOKUP(B135,Policy!$B$5:$F$8,5,FALSE)</f>
        <v>0.84162123357291474</v>
      </c>
      <c r="Y135" s="47">
        <f t="shared" ref="Y135:Y198" si="47">_xlfn.NORM.DIST(X135,0,1,0)-X135*(1-_xlfn.NORM.DIST(X135,0,1,1))</f>
        <v>0.11163767369322539</v>
      </c>
      <c r="Z135" s="43">
        <f t="shared" ref="Z135:Z198" si="48">W135*Y135</f>
        <v>2.4120996337408038</v>
      </c>
      <c r="AA135" s="48">
        <f t="shared" si="37"/>
        <v>0.96127079593873543</v>
      </c>
      <c r="AB135" s="15"/>
      <c r="AC135" s="45">
        <f t="shared" si="38"/>
        <v>80.465647844465735</v>
      </c>
      <c r="AD135" s="15">
        <f t="shared" ref="AD135:AD198" si="49">+X135*W135</f>
        <v>18.184490970568334</v>
      </c>
      <c r="AE135" s="50">
        <f t="shared" si="42"/>
        <v>31.140578436948701</v>
      </c>
      <c r="AF135" s="52">
        <f t="shared" si="39"/>
        <v>35.440534834623506</v>
      </c>
      <c r="AG135" s="51">
        <f t="shared" ref="AG135:AG198" si="50">2^ROUNDUP((LN(AF135/SQRT(2))/LN(2)),0)</f>
        <v>32</v>
      </c>
      <c r="AH135" s="43">
        <f t="shared" si="33"/>
        <v>0.96214499999999981</v>
      </c>
      <c r="AI135" s="53">
        <f>IF(AH135&gt;=Policy!$E$13,Policy!$C$13,IF(Solution!AH135&gt;=Policy!$E$14,Policy!$C$14,IF(Solution!AH135&gt;=Policy!$E$15,Policy!$C$15,IF(Solution!AH135&gt;=Policy!$E$16,Policy!$C$16,IF(Solution!AH135&gt;=Policy!$E$17,Policy!$C$17,IF(Solution!AH135&gt;=Policy!$E$18,Policy!$C$18,IF(AH135&gt;=Policy!$E$19,Policy!$C$19,Policy!$C$20)))))))</f>
        <v>8</v>
      </c>
    </row>
    <row r="136" spans="1:35" x14ac:dyDescent="0.3">
      <c r="A136" s="16" t="s">
        <v>186</v>
      </c>
      <c r="B136" s="14" t="s">
        <v>4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421.2</v>
      </c>
      <c r="I136" s="15">
        <v>0</v>
      </c>
      <c r="J136" s="15">
        <v>0</v>
      </c>
      <c r="K136" s="15">
        <v>105.49</v>
      </c>
      <c r="L136" s="15">
        <v>0</v>
      </c>
      <c r="M136" s="15">
        <v>0</v>
      </c>
      <c r="N136" s="38">
        <v>0</v>
      </c>
      <c r="O136" s="41">
        <f t="shared" si="43"/>
        <v>526.68999999999994</v>
      </c>
      <c r="P136" s="15">
        <f t="shared" si="44"/>
        <v>43.890833333333326</v>
      </c>
      <c r="Q136" s="42">
        <f t="shared" si="45"/>
        <v>122.63053049030381</v>
      </c>
      <c r="R136" s="44">
        <f t="shared" si="46"/>
        <v>2.7939895685956557</v>
      </c>
      <c r="S136" s="49"/>
      <c r="T136" s="45">
        <f t="shared" si="36"/>
        <v>51.140206279583161</v>
      </c>
      <c r="U136" s="46">
        <f>VLOOKUP(B136,Policy!$B$5:$J$8,9,FALSE)</f>
        <v>35.440534834623506</v>
      </c>
      <c r="V136" s="15">
        <f t="shared" si="40"/>
        <v>51.140206279583161</v>
      </c>
      <c r="W136" s="15">
        <f t="shared" si="41"/>
        <v>51.886187199751909</v>
      </c>
      <c r="X136" s="46">
        <f>VLOOKUP(B136,Policy!$B$5:$F$8,5,FALSE)</f>
        <v>0.84162123357291474</v>
      </c>
      <c r="Y136" s="47">
        <f t="shared" si="47"/>
        <v>0.11163767369322539</v>
      </c>
      <c r="Z136" s="43">
        <f t="shared" si="48"/>
        <v>5.7924532357915117</v>
      </c>
      <c r="AA136" s="48">
        <f t="shared" si="37"/>
        <v>0.88673387033043616</v>
      </c>
      <c r="AB136" s="15"/>
      <c r="AC136" s="45">
        <f t="shared" si="38"/>
        <v>94.808723156033551</v>
      </c>
      <c r="AD136" s="15">
        <f t="shared" si="49"/>
        <v>43.668516876450383</v>
      </c>
      <c r="AE136" s="50">
        <f t="shared" si="42"/>
        <v>25.570103139791581</v>
      </c>
      <c r="AF136" s="52">
        <f t="shared" si="39"/>
        <v>35.440534834623506</v>
      </c>
      <c r="AG136" s="51">
        <f t="shared" si="50"/>
        <v>32</v>
      </c>
      <c r="AH136" s="43">
        <f t="shared" ref="AH136:AH199" si="51">O136*$T$3/10^5</f>
        <v>0.79003499999999982</v>
      </c>
      <c r="AI136" s="53">
        <f>IF(AH136&gt;=Policy!$E$13,Policy!$C$13,IF(Solution!AH136&gt;=Policy!$E$14,Policy!$C$14,IF(Solution!AH136&gt;=Policy!$E$15,Policy!$C$15,IF(Solution!AH136&gt;=Policy!$E$16,Policy!$C$16,IF(Solution!AH136&gt;=Policy!$E$17,Policy!$C$17,IF(Solution!AH136&gt;=Policy!$E$18,Policy!$C$18,IF(AH136&gt;=Policy!$E$19,Policy!$C$19,Policy!$C$20)))))))</f>
        <v>8</v>
      </c>
    </row>
    <row r="137" spans="1:35" x14ac:dyDescent="0.3">
      <c r="A137" s="16" t="s">
        <v>187</v>
      </c>
      <c r="B137" s="14" t="s">
        <v>4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147.66</v>
      </c>
      <c r="K137" s="15">
        <v>183.01</v>
      </c>
      <c r="L137" s="15">
        <v>183.76</v>
      </c>
      <c r="M137" s="15">
        <v>165.38399999999999</v>
      </c>
      <c r="N137" s="38">
        <v>202.136</v>
      </c>
      <c r="O137" s="41">
        <f t="shared" si="43"/>
        <v>881.94999999999993</v>
      </c>
      <c r="P137" s="15">
        <f t="shared" si="44"/>
        <v>73.495833333333323</v>
      </c>
      <c r="Q137" s="42">
        <f t="shared" si="45"/>
        <v>91.678813376654873</v>
      </c>
      <c r="R137" s="44">
        <f t="shared" si="46"/>
        <v>1.2474015086114389</v>
      </c>
      <c r="S137" s="49"/>
      <c r="T137" s="45">
        <f t="shared" si="36"/>
        <v>85.635012869578617</v>
      </c>
      <c r="U137" s="46">
        <f>VLOOKUP(B137,Policy!$B$5:$J$8,9,FALSE)</f>
        <v>35.440534834623506</v>
      </c>
      <c r="V137" s="15">
        <f t="shared" si="40"/>
        <v>85.635012869578617</v>
      </c>
      <c r="W137" s="15">
        <f t="shared" si="41"/>
        <v>38.85763195196072</v>
      </c>
      <c r="X137" s="46">
        <f>VLOOKUP(B137,Policy!$B$5:$F$8,5,FALSE)</f>
        <v>0.84162123357291474</v>
      </c>
      <c r="Y137" s="47">
        <f t="shared" si="47"/>
        <v>0.11163767369322539</v>
      </c>
      <c r="Z137" s="43">
        <f t="shared" si="48"/>
        <v>4.3379756363444395</v>
      </c>
      <c r="AA137" s="48">
        <f t="shared" si="37"/>
        <v>0.94934343452541847</v>
      </c>
      <c r="AB137" s="15"/>
      <c r="AC137" s="45">
        <f t="shared" si="38"/>
        <v>118.33842100671011</v>
      </c>
      <c r="AD137" s="15">
        <f t="shared" si="49"/>
        <v>32.70340813713149</v>
      </c>
      <c r="AE137" s="50">
        <f t="shared" si="42"/>
        <v>42.817506434789308</v>
      </c>
      <c r="AF137" s="52">
        <f t="shared" si="39"/>
        <v>35.440534834623506</v>
      </c>
      <c r="AG137" s="51">
        <f t="shared" si="50"/>
        <v>32</v>
      </c>
      <c r="AH137" s="43">
        <f t="shared" si="51"/>
        <v>1.3229249999999999</v>
      </c>
      <c r="AI137" s="53">
        <f>IF(AH137&gt;=Policy!$E$13,Policy!$C$13,IF(Solution!AH137&gt;=Policy!$E$14,Policy!$C$14,IF(Solution!AH137&gt;=Policy!$E$15,Policy!$C$15,IF(Solution!AH137&gt;=Policy!$E$16,Policy!$C$16,IF(Solution!AH137&gt;=Policy!$E$17,Policy!$C$17,IF(Solution!AH137&gt;=Policy!$E$18,Policy!$C$18,IF(AH137&gt;=Policy!$E$19,Policy!$C$19,Policy!$C$20)))))))</f>
        <v>7</v>
      </c>
    </row>
    <row r="138" spans="1:35" x14ac:dyDescent="0.3">
      <c r="A138" s="16" t="s">
        <v>188</v>
      </c>
      <c r="B138" s="14" t="s">
        <v>4</v>
      </c>
      <c r="C138" s="15">
        <v>0</v>
      </c>
      <c r="D138" s="15">
        <v>0</v>
      </c>
      <c r="E138" s="15">
        <v>0</v>
      </c>
      <c r="F138" s="15">
        <v>33.39</v>
      </c>
      <c r="G138" s="15">
        <v>268.36</v>
      </c>
      <c r="H138" s="15">
        <v>0</v>
      </c>
      <c r="I138" s="15">
        <v>0</v>
      </c>
      <c r="J138" s="15">
        <v>66.25</v>
      </c>
      <c r="K138" s="15">
        <v>0</v>
      </c>
      <c r="L138" s="15">
        <v>132.43</v>
      </c>
      <c r="M138" s="15">
        <v>119.18700000000001</v>
      </c>
      <c r="N138" s="38">
        <v>145.67300000000003</v>
      </c>
      <c r="O138" s="41">
        <f t="shared" si="43"/>
        <v>765.29</v>
      </c>
      <c r="P138" s="15">
        <f t="shared" si="44"/>
        <v>63.774166666666666</v>
      </c>
      <c r="Q138" s="42">
        <f t="shared" si="45"/>
        <v>86.170645175545133</v>
      </c>
      <c r="R138" s="44">
        <f t="shared" si="46"/>
        <v>1.3511841812993004</v>
      </c>
      <c r="S138" s="49"/>
      <c r="T138" s="45">
        <f t="shared" si="36"/>
        <v>74.307635352298689</v>
      </c>
      <c r="U138" s="46">
        <f>VLOOKUP(B138,Policy!$B$5:$J$8,9,FALSE)</f>
        <v>35.440534834623506</v>
      </c>
      <c r="V138" s="15">
        <f t="shared" si="40"/>
        <v>74.307635352298689</v>
      </c>
      <c r="W138" s="15">
        <f t="shared" si="41"/>
        <v>36.511337762560935</v>
      </c>
      <c r="X138" s="46">
        <f>VLOOKUP(B138,Policy!$B$5:$F$8,5,FALSE)</f>
        <v>0.84162123357291474</v>
      </c>
      <c r="Y138" s="47">
        <f t="shared" si="47"/>
        <v>0.11163767369322539</v>
      </c>
      <c r="Z138" s="43">
        <f t="shared" si="48"/>
        <v>4.0760408112399151</v>
      </c>
      <c r="AA138" s="48">
        <f t="shared" si="37"/>
        <v>0.94514640666581484</v>
      </c>
      <c r="AB138" s="15"/>
      <c r="AC138" s="45">
        <f t="shared" si="38"/>
        <v>105.03635247942256</v>
      </c>
      <c r="AD138" s="15">
        <f t="shared" si="49"/>
        <v>30.728717127123879</v>
      </c>
      <c r="AE138" s="50">
        <f t="shared" si="42"/>
        <v>37.153817676149345</v>
      </c>
      <c r="AF138" s="52">
        <f t="shared" si="39"/>
        <v>35.440534834623506</v>
      </c>
      <c r="AG138" s="51">
        <f t="shared" si="50"/>
        <v>32</v>
      </c>
      <c r="AH138" s="43">
        <f t="shared" si="51"/>
        <v>1.1479349999999999</v>
      </c>
      <c r="AI138" s="53">
        <f>IF(AH138&gt;=Policy!$E$13,Policy!$C$13,IF(Solution!AH138&gt;=Policy!$E$14,Policy!$C$14,IF(Solution!AH138&gt;=Policy!$E$15,Policy!$C$15,IF(Solution!AH138&gt;=Policy!$E$16,Policy!$C$16,IF(Solution!AH138&gt;=Policy!$E$17,Policy!$C$17,IF(Solution!AH138&gt;=Policy!$E$18,Policy!$C$18,IF(AH138&gt;=Policy!$E$19,Policy!$C$19,Policy!$C$20)))))))</f>
        <v>8</v>
      </c>
    </row>
    <row r="139" spans="1:35" x14ac:dyDescent="0.3">
      <c r="A139" s="16" t="s">
        <v>189</v>
      </c>
      <c r="B139" s="14" t="s">
        <v>4</v>
      </c>
      <c r="C139" s="15">
        <v>0</v>
      </c>
      <c r="D139" s="15">
        <v>0</v>
      </c>
      <c r="E139" s="15">
        <v>0</v>
      </c>
      <c r="F139" s="15">
        <v>162.71</v>
      </c>
      <c r="G139" s="15">
        <v>0</v>
      </c>
      <c r="H139" s="15">
        <v>0</v>
      </c>
      <c r="I139" s="15">
        <v>0</v>
      </c>
      <c r="J139" s="15">
        <v>0</v>
      </c>
      <c r="K139" s="15">
        <v>173.45</v>
      </c>
      <c r="L139" s="15">
        <v>163.55000000000001</v>
      </c>
      <c r="M139" s="15">
        <v>147.19500000000002</v>
      </c>
      <c r="N139" s="38">
        <v>179.90500000000003</v>
      </c>
      <c r="O139" s="41">
        <f t="shared" si="43"/>
        <v>826.81</v>
      </c>
      <c r="P139" s="15">
        <f t="shared" si="44"/>
        <v>68.900833333333324</v>
      </c>
      <c r="Q139" s="42">
        <f t="shared" si="45"/>
        <v>85.478507740870526</v>
      </c>
      <c r="R139" s="44">
        <f t="shared" si="46"/>
        <v>1.2406019434821138</v>
      </c>
      <c r="S139" s="49"/>
      <c r="T139" s="45">
        <f t="shared" si="36"/>
        <v>80.281064675657703</v>
      </c>
      <c r="U139" s="46">
        <f>VLOOKUP(B139,Policy!$B$5:$J$8,9,FALSE)</f>
        <v>35.440534834623506</v>
      </c>
      <c r="V139" s="15">
        <f t="shared" si="40"/>
        <v>80.281064675657703</v>
      </c>
      <c r="W139" s="15">
        <f t="shared" si="41"/>
        <v>36.2305239150799</v>
      </c>
      <c r="X139" s="46">
        <f>VLOOKUP(B139,Policy!$B$5:$F$8,5,FALSE)</f>
        <v>0.84162123357291474</v>
      </c>
      <c r="Y139" s="47">
        <f t="shared" si="47"/>
        <v>0.11163767369322539</v>
      </c>
      <c r="Z139" s="43">
        <f t="shared" si="48"/>
        <v>4.0446914065662884</v>
      </c>
      <c r="AA139" s="48">
        <f t="shared" si="37"/>
        <v>0.9496183636464316</v>
      </c>
      <c r="AB139" s="15"/>
      <c r="AC139" s="45">
        <f t="shared" si="38"/>
        <v>110.77344290606024</v>
      </c>
      <c r="AD139" s="15">
        <f t="shared" si="49"/>
        <v>30.492378230402533</v>
      </c>
      <c r="AE139" s="50">
        <f t="shared" si="42"/>
        <v>40.140532337828851</v>
      </c>
      <c r="AF139" s="52">
        <f t="shared" si="39"/>
        <v>35.440534834623506</v>
      </c>
      <c r="AG139" s="51">
        <f t="shared" si="50"/>
        <v>32</v>
      </c>
      <c r="AH139" s="43">
        <f t="shared" si="51"/>
        <v>1.2402149999999998</v>
      </c>
      <c r="AI139" s="53">
        <f>IF(AH139&gt;=Policy!$E$13,Policy!$C$13,IF(Solution!AH139&gt;=Policy!$E$14,Policy!$C$14,IF(Solution!AH139&gt;=Policy!$E$15,Policy!$C$15,IF(Solution!AH139&gt;=Policy!$E$16,Policy!$C$16,IF(Solution!AH139&gt;=Policy!$E$17,Policy!$C$17,IF(Solution!AH139&gt;=Policy!$E$18,Policy!$C$18,IF(AH139&gt;=Policy!$E$19,Policy!$C$19,Policy!$C$20)))))))</f>
        <v>7</v>
      </c>
    </row>
    <row r="140" spans="1:35" x14ac:dyDescent="0.3">
      <c r="A140" s="16" t="s">
        <v>190</v>
      </c>
      <c r="B140" s="14" t="s">
        <v>4</v>
      </c>
      <c r="C140" s="15">
        <v>100.05</v>
      </c>
      <c r="D140" s="15">
        <v>99.59</v>
      </c>
      <c r="E140" s="15">
        <v>99.62</v>
      </c>
      <c r="F140" s="15">
        <v>0</v>
      </c>
      <c r="G140" s="15">
        <v>0</v>
      </c>
      <c r="H140" s="15">
        <v>99.5</v>
      </c>
      <c r="I140" s="15">
        <v>0</v>
      </c>
      <c r="J140" s="15">
        <v>0</v>
      </c>
      <c r="K140" s="15">
        <v>32.979999999999997</v>
      </c>
      <c r="L140" s="15">
        <v>66.7</v>
      </c>
      <c r="M140" s="15">
        <v>60.03</v>
      </c>
      <c r="N140" s="38">
        <v>73.37</v>
      </c>
      <c r="O140" s="41">
        <f t="shared" si="43"/>
        <v>631.84</v>
      </c>
      <c r="P140" s="15">
        <f t="shared" si="44"/>
        <v>52.653333333333336</v>
      </c>
      <c r="Q140" s="42">
        <f t="shared" si="45"/>
        <v>43.700854023968937</v>
      </c>
      <c r="R140" s="44">
        <f t="shared" si="46"/>
        <v>0.82997317087811351</v>
      </c>
      <c r="S140" s="49"/>
      <c r="T140" s="45">
        <f t="shared" si="36"/>
        <v>61.349993232626076</v>
      </c>
      <c r="U140" s="46">
        <f>VLOOKUP(B140,Policy!$B$5:$J$8,9,FALSE)</f>
        <v>35.440534834623506</v>
      </c>
      <c r="V140" s="15">
        <f t="shared" si="40"/>
        <v>61.349993232626076</v>
      </c>
      <c r="W140" s="15">
        <f t="shared" si="41"/>
        <v>18.572816151504522</v>
      </c>
      <c r="X140" s="46">
        <f>VLOOKUP(B140,Policy!$B$5:$F$8,5,FALSE)</f>
        <v>0.84162123357291474</v>
      </c>
      <c r="Y140" s="47">
        <f t="shared" si="47"/>
        <v>0.11163767369322539</v>
      </c>
      <c r="Z140" s="43">
        <f t="shared" si="48"/>
        <v>2.0734259890859281</v>
      </c>
      <c r="AA140" s="48">
        <f t="shared" si="37"/>
        <v>0.96620332163324063</v>
      </c>
      <c r="AB140" s="15"/>
      <c r="AC140" s="45">
        <f t="shared" si="38"/>
        <v>76.981269672978272</v>
      </c>
      <c r="AD140" s="15">
        <f t="shared" si="49"/>
        <v>15.631276440352192</v>
      </c>
      <c r="AE140" s="50">
        <f t="shared" si="42"/>
        <v>30.674996616313038</v>
      </c>
      <c r="AF140" s="52">
        <f t="shared" si="39"/>
        <v>35.440534834623506</v>
      </c>
      <c r="AG140" s="51">
        <f t="shared" si="50"/>
        <v>32</v>
      </c>
      <c r="AH140" s="43">
        <f t="shared" si="51"/>
        <v>0.94776000000000005</v>
      </c>
      <c r="AI140" s="53">
        <f>IF(AH140&gt;=Policy!$E$13,Policy!$C$13,IF(Solution!AH140&gt;=Policy!$E$14,Policy!$C$14,IF(Solution!AH140&gt;=Policy!$E$15,Policy!$C$15,IF(Solution!AH140&gt;=Policy!$E$16,Policy!$C$16,IF(Solution!AH140&gt;=Policy!$E$17,Policy!$C$17,IF(Solution!AH140&gt;=Policy!$E$18,Policy!$C$18,IF(AH140&gt;=Policy!$E$19,Policy!$C$19,Policy!$C$20)))))))</f>
        <v>8</v>
      </c>
    </row>
    <row r="141" spans="1:35" x14ac:dyDescent="0.3">
      <c r="A141" s="16" t="s">
        <v>191</v>
      </c>
      <c r="B141" s="14" t="s">
        <v>4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188.66</v>
      </c>
      <c r="I141" s="15">
        <v>0</v>
      </c>
      <c r="J141" s="15">
        <v>0</v>
      </c>
      <c r="K141" s="15">
        <v>302.52999999999997</v>
      </c>
      <c r="L141" s="15">
        <v>0</v>
      </c>
      <c r="M141" s="15">
        <v>0</v>
      </c>
      <c r="N141" s="38">
        <v>0</v>
      </c>
      <c r="O141" s="41">
        <f t="shared" si="43"/>
        <v>491.18999999999994</v>
      </c>
      <c r="P141" s="15">
        <f t="shared" si="44"/>
        <v>40.932499999999997</v>
      </c>
      <c r="Q141" s="42">
        <f t="shared" si="45"/>
        <v>98.632173353599711</v>
      </c>
      <c r="R141" s="44">
        <f t="shared" si="46"/>
        <v>2.4096298382361137</v>
      </c>
      <c r="S141" s="49"/>
      <c r="T141" s="45">
        <f t="shared" si="36"/>
        <v>47.69325015183211</v>
      </c>
      <c r="U141" s="46">
        <f>VLOOKUP(B141,Policy!$B$5:$J$8,9,FALSE)</f>
        <v>35.440534834623506</v>
      </c>
      <c r="V141" s="15">
        <f t="shared" si="40"/>
        <v>47.69325015183211</v>
      </c>
      <c r="W141" s="15">
        <f t="shared" si="41"/>
        <v>41.738470608037666</v>
      </c>
      <c r="X141" s="46">
        <f>VLOOKUP(B141,Policy!$B$5:$F$8,5,FALSE)</f>
        <v>0.84162123357291474</v>
      </c>
      <c r="Y141" s="47">
        <f t="shared" si="47"/>
        <v>0.11163767369322539</v>
      </c>
      <c r="Z141" s="43">
        <f t="shared" si="48"/>
        <v>4.6595857621943875</v>
      </c>
      <c r="AA141" s="48">
        <f t="shared" si="37"/>
        <v>0.90230093886743856</v>
      </c>
      <c r="AB141" s="15"/>
      <c r="AC141" s="45">
        <f t="shared" si="38"/>
        <v>82.821233272415611</v>
      </c>
      <c r="AD141" s="15">
        <f t="shared" si="49"/>
        <v>35.127983120583508</v>
      </c>
      <c r="AE141" s="50">
        <f t="shared" si="42"/>
        <v>23.846625075916055</v>
      </c>
      <c r="AF141" s="52">
        <f t="shared" si="39"/>
        <v>35.440534834623506</v>
      </c>
      <c r="AG141" s="51">
        <f t="shared" si="50"/>
        <v>32</v>
      </c>
      <c r="AH141" s="43">
        <f t="shared" si="51"/>
        <v>0.7367849999999998</v>
      </c>
      <c r="AI141" s="53">
        <f>IF(AH141&gt;=Policy!$E$13,Policy!$C$13,IF(Solution!AH141&gt;=Policy!$E$14,Policy!$C$14,IF(Solution!AH141&gt;=Policy!$E$15,Policy!$C$15,IF(Solution!AH141&gt;=Policy!$E$16,Policy!$C$16,IF(Solution!AH141&gt;=Policy!$E$17,Policy!$C$17,IF(Solution!AH141&gt;=Policy!$E$18,Policy!$C$18,IF(AH141&gt;=Policy!$E$19,Policy!$C$19,Policy!$C$20)))))))</f>
        <v>8</v>
      </c>
    </row>
    <row r="142" spans="1:35" x14ac:dyDescent="0.3">
      <c r="A142" s="16" t="s">
        <v>192</v>
      </c>
      <c r="B142" s="14" t="s">
        <v>4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485.95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38">
        <v>0</v>
      </c>
      <c r="O142" s="41">
        <f t="shared" si="43"/>
        <v>485.95</v>
      </c>
      <c r="P142" s="15">
        <f t="shared" si="44"/>
        <v>40.49583333333333</v>
      </c>
      <c r="Q142" s="42">
        <f t="shared" si="45"/>
        <v>140.28168165634932</v>
      </c>
      <c r="R142" s="44">
        <f t="shared" si="46"/>
        <v>3.4641016151377548</v>
      </c>
      <c r="S142" s="49"/>
      <c r="T142" s="45">
        <f t="shared" si="36"/>
        <v>47.18446000790491</v>
      </c>
      <c r="U142" s="46">
        <f>VLOOKUP(B142,Policy!$B$5:$J$8,9,FALSE)</f>
        <v>35.440534834623506</v>
      </c>
      <c r="V142" s="15">
        <f t="shared" si="40"/>
        <v>47.18446000790491</v>
      </c>
      <c r="W142" s="15">
        <f t="shared" si="41"/>
        <v>59.345579665951718</v>
      </c>
      <c r="X142" s="46">
        <f>VLOOKUP(B142,Policy!$B$5:$F$8,5,FALSE)</f>
        <v>0.84162123357291474</v>
      </c>
      <c r="Y142" s="47">
        <f t="shared" si="47"/>
        <v>0.11163767369322539</v>
      </c>
      <c r="Z142" s="43">
        <f t="shared" si="48"/>
        <v>6.6252024578828292</v>
      </c>
      <c r="AA142" s="48">
        <f t="shared" si="37"/>
        <v>0.85958931273616579</v>
      </c>
      <c r="AB142" s="15"/>
      <c r="AC142" s="45">
        <f t="shared" si="38"/>
        <v>97.130959973462879</v>
      </c>
      <c r="AD142" s="15">
        <f t="shared" si="49"/>
        <v>49.946499965557969</v>
      </c>
      <c r="AE142" s="50">
        <f t="shared" si="42"/>
        <v>23.592230003952455</v>
      </c>
      <c r="AF142" s="52">
        <f t="shared" si="39"/>
        <v>35.440534834623506</v>
      </c>
      <c r="AG142" s="51">
        <f t="shared" si="50"/>
        <v>32</v>
      </c>
      <c r="AH142" s="43">
        <f t="shared" si="51"/>
        <v>0.72892500000000005</v>
      </c>
      <c r="AI142" s="53">
        <f>IF(AH142&gt;=Policy!$E$13,Policy!$C$13,IF(Solution!AH142&gt;=Policy!$E$14,Policy!$C$14,IF(Solution!AH142&gt;=Policy!$E$15,Policy!$C$15,IF(Solution!AH142&gt;=Policy!$E$16,Policy!$C$16,IF(Solution!AH142&gt;=Policy!$E$17,Policy!$C$17,IF(Solution!AH142&gt;=Policy!$E$18,Policy!$C$18,IF(AH142&gt;=Policy!$E$19,Policy!$C$19,Policy!$C$20)))))))</f>
        <v>8</v>
      </c>
    </row>
    <row r="143" spans="1:35" x14ac:dyDescent="0.3">
      <c r="A143" s="16" t="s">
        <v>193</v>
      </c>
      <c r="B143" s="14" t="s">
        <v>4</v>
      </c>
      <c r="C143" s="15">
        <v>0</v>
      </c>
      <c r="D143" s="15">
        <v>0</v>
      </c>
      <c r="E143" s="15">
        <v>74.47</v>
      </c>
      <c r="F143" s="15">
        <v>223.63</v>
      </c>
      <c r="G143" s="15">
        <v>0</v>
      </c>
      <c r="H143" s="15">
        <v>0</v>
      </c>
      <c r="I143" s="15">
        <v>186.95</v>
      </c>
      <c r="J143" s="15">
        <v>0</v>
      </c>
      <c r="K143" s="15">
        <v>0</v>
      </c>
      <c r="L143" s="15">
        <v>0</v>
      </c>
      <c r="M143" s="15">
        <v>0</v>
      </c>
      <c r="N143" s="38">
        <v>0</v>
      </c>
      <c r="O143" s="41">
        <f t="shared" si="43"/>
        <v>485.05</v>
      </c>
      <c r="P143" s="15">
        <f t="shared" si="44"/>
        <v>40.420833333333334</v>
      </c>
      <c r="Q143" s="42">
        <f t="shared" si="45"/>
        <v>80.283777989911087</v>
      </c>
      <c r="R143" s="44">
        <f t="shared" si="46"/>
        <v>1.9861979917099948</v>
      </c>
      <c r="S143" s="49"/>
      <c r="T143" s="45">
        <f t="shared" si="36"/>
        <v>47.09707238776474</v>
      </c>
      <c r="U143" s="46">
        <f>VLOOKUP(B143,Policy!$B$5:$J$8,9,FALSE)</f>
        <v>35.440534834623506</v>
      </c>
      <c r="V143" s="15">
        <f t="shared" si="40"/>
        <v>47.09707238776474</v>
      </c>
      <c r="W143" s="15">
        <f t="shared" si="41"/>
        <v>33.983254713916743</v>
      </c>
      <c r="X143" s="46">
        <f>VLOOKUP(B143,Policy!$B$5:$F$8,5,FALSE)</f>
        <v>0.84162123357291474</v>
      </c>
      <c r="Y143" s="47">
        <f t="shared" si="47"/>
        <v>0.11163767369322539</v>
      </c>
      <c r="Z143" s="43">
        <f t="shared" si="48"/>
        <v>3.7938115007860009</v>
      </c>
      <c r="AA143" s="48">
        <f t="shared" si="37"/>
        <v>0.91944697815714793</v>
      </c>
      <c r="AB143" s="15"/>
      <c r="AC143" s="45">
        <f t="shared" si="38"/>
        <v>75.69810114091392</v>
      </c>
      <c r="AD143" s="15">
        <f t="shared" si="49"/>
        <v>28.60102875314918</v>
      </c>
      <c r="AE143" s="50">
        <f t="shared" si="42"/>
        <v>23.54853619388237</v>
      </c>
      <c r="AF143" s="52">
        <f t="shared" si="39"/>
        <v>35.440534834623506</v>
      </c>
      <c r="AG143" s="51">
        <f t="shared" si="50"/>
        <v>32</v>
      </c>
      <c r="AH143" s="43">
        <f t="shared" si="51"/>
        <v>0.72757499999999997</v>
      </c>
      <c r="AI143" s="53">
        <f>IF(AH143&gt;=Policy!$E$13,Policy!$C$13,IF(Solution!AH143&gt;=Policy!$E$14,Policy!$C$14,IF(Solution!AH143&gt;=Policy!$E$15,Policy!$C$15,IF(Solution!AH143&gt;=Policy!$E$16,Policy!$C$16,IF(Solution!AH143&gt;=Policy!$E$17,Policy!$C$17,IF(Solution!AH143&gt;=Policy!$E$18,Policy!$C$18,IF(AH143&gt;=Policy!$E$19,Policy!$C$19,Policy!$C$20)))))))</f>
        <v>8</v>
      </c>
    </row>
    <row r="144" spans="1:35" x14ac:dyDescent="0.3">
      <c r="A144" s="16" t="s">
        <v>194</v>
      </c>
      <c r="B144" s="14" t="s">
        <v>4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483.98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38">
        <v>0</v>
      </c>
      <c r="O144" s="41">
        <f t="shared" si="43"/>
        <v>483.98</v>
      </c>
      <c r="P144" s="15">
        <f t="shared" si="44"/>
        <v>40.331666666666671</v>
      </c>
      <c r="Q144" s="42">
        <f t="shared" si="45"/>
        <v>139.71299164119753</v>
      </c>
      <c r="R144" s="44">
        <f t="shared" si="46"/>
        <v>3.4641016151377539</v>
      </c>
      <c r="S144" s="49"/>
      <c r="T144" s="45">
        <f t="shared" si="36"/>
        <v>46.993178217153655</v>
      </c>
      <c r="U144" s="46">
        <f>VLOOKUP(B144,Policy!$B$5:$J$8,9,FALSE)</f>
        <v>35.440534834623506</v>
      </c>
      <c r="V144" s="15">
        <f t="shared" si="40"/>
        <v>46.993178217153655</v>
      </c>
      <c r="W144" s="15">
        <f t="shared" si="41"/>
        <v>59.10499772965801</v>
      </c>
      <c r="X144" s="46">
        <f>VLOOKUP(B144,Policy!$B$5:$F$8,5,FALSE)</f>
        <v>0.84162123357291474</v>
      </c>
      <c r="Y144" s="47">
        <f t="shared" si="47"/>
        <v>0.11163767369322539</v>
      </c>
      <c r="Z144" s="43">
        <f t="shared" si="48"/>
        <v>6.5983444501823882</v>
      </c>
      <c r="AA144" s="48">
        <f t="shared" si="37"/>
        <v>0.85958931273616579</v>
      </c>
      <c r="AB144" s="15"/>
      <c r="AC144" s="45">
        <f t="shared" si="38"/>
        <v>96.737199316712747</v>
      </c>
      <c r="AD144" s="15">
        <f t="shared" si="49"/>
        <v>49.744021099559099</v>
      </c>
      <c r="AE144" s="50">
        <f t="shared" si="42"/>
        <v>23.496589108576828</v>
      </c>
      <c r="AF144" s="52">
        <f t="shared" si="39"/>
        <v>35.440534834623506</v>
      </c>
      <c r="AG144" s="51">
        <f t="shared" si="50"/>
        <v>32</v>
      </c>
      <c r="AH144" s="43">
        <f t="shared" si="51"/>
        <v>0.72597</v>
      </c>
      <c r="AI144" s="53">
        <f>IF(AH144&gt;=Policy!$E$13,Policy!$C$13,IF(Solution!AH144&gt;=Policy!$E$14,Policy!$C$14,IF(Solution!AH144&gt;=Policy!$E$15,Policy!$C$15,IF(Solution!AH144&gt;=Policy!$E$16,Policy!$C$16,IF(Solution!AH144&gt;=Policy!$E$17,Policy!$C$17,IF(Solution!AH144&gt;=Policy!$E$18,Policy!$C$18,IF(AH144&gt;=Policy!$E$19,Policy!$C$19,Policy!$C$20)))))))</f>
        <v>8</v>
      </c>
    </row>
    <row r="145" spans="1:35" x14ac:dyDescent="0.3">
      <c r="A145" s="16" t="s">
        <v>195</v>
      </c>
      <c r="B145" s="14" t="s">
        <v>4</v>
      </c>
      <c r="C145" s="15">
        <v>0</v>
      </c>
      <c r="D145" s="15">
        <v>0</v>
      </c>
      <c r="E145" s="15">
        <v>72.14</v>
      </c>
      <c r="F145" s="15">
        <v>117.23</v>
      </c>
      <c r="G145" s="15">
        <v>180.73</v>
      </c>
      <c r="H145" s="15">
        <v>0</v>
      </c>
      <c r="I145" s="15">
        <v>0</v>
      </c>
      <c r="J145" s="15">
        <v>0</v>
      </c>
      <c r="K145" s="15">
        <v>108.37</v>
      </c>
      <c r="L145" s="15">
        <v>0</v>
      </c>
      <c r="M145" s="15">
        <v>0</v>
      </c>
      <c r="N145" s="38">
        <v>0</v>
      </c>
      <c r="O145" s="41">
        <f t="shared" si="43"/>
        <v>478.47</v>
      </c>
      <c r="P145" s="15">
        <f t="shared" si="44"/>
        <v>39.872500000000002</v>
      </c>
      <c r="Q145" s="42">
        <f t="shared" si="45"/>
        <v>63.444067868692599</v>
      </c>
      <c r="R145" s="44">
        <f t="shared" si="46"/>
        <v>1.5911735624476167</v>
      </c>
      <c r="S145" s="49"/>
      <c r="T145" s="45">
        <f t="shared" si="36"/>
        <v>46.458171787184412</v>
      </c>
      <c r="U145" s="46">
        <f>VLOOKUP(B145,Policy!$B$5:$J$8,9,FALSE)</f>
        <v>35.440534834623506</v>
      </c>
      <c r="V145" s="15">
        <f t="shared" si="40"/>
        <v>46.458171787184412</v>
      </c>
      <c r="W145" s="15">
        <f t="shared" si="41"/>
        <v>26.868019019159703</v>
      </c>
      <c r="X145" s="46">
        <f>VLOOKUP(B145,Policy!$B$5:$F$8,5,FALSE)</f>
        <v>0.84162123357291474</v>
      </c>
      <c r="Y145" s="47">
        <f t="shared" si="47"/>
        <v>0.11163767369322539</v>
      </c>
      <c r="Z145" s="43">
        <f t="shared" si="48"/>
        <v>2.9994831400443247</v>
      </c>
      <c r="AA145" s="48">
        <f t="shared" si="37"/>
        <v>0.93543690970483395</v>
      </c>
      <c r="AB145" s="15"/>
      <c r="AC145" s="45">
        <f t="shared" si="38"/>
        <v>69.070867097750138</v>
      </c>
      <c r="AD145" s="15">
        <f t="shared" si="49"/>
        <v>22.612695310565723</v>
      </c>
      <c r="AE145" s="50">
        <f t="shared" si="42"/>
        <v>23.229085893592206</v>
      </c>
      <c r="AF145" s="52">
        <f t="shared" si="39"/>
        <v>35.440534834623506</v>
      </c>
      <c r="AG145" s="51">
        <f t="shared" si="50"/>
        <v>32</v>
      </c>
      <c r="AH145" s="43">
        <f t="shared" si="51"/>
        <v>0.71770500000000004</v>
      </c>
      <c r="AI145" s="53">
        <f>IF(AH145&gt;=Policy!$E$13,Policy!$C$13,IF(Solution!AH145&gt;=Policy!$E$14,Policy!$C$14,IF(Solution!AH145&gt;=Policy!$E$15,Policy!$C$15,IF(Solution!AH145&gt;=Policy!$E$16,Policy!$C$16,IF(Solution!AH145&gt;=Policy!$E$17,Policy!$C$17,IF(Solution!AH145&gt;=Policy!$E$18,Policy!$C$18,IF(AH145&gt;=Policy!$E$19,Policy!$C$19,Policy!$C$20)))))))</f>
        <v>8</v>
      </c>
    </row>
    <row r="146" spans="1:35" x14ac:dyDescent="0.3">
      <c r="A146" s="16" t="s">
        <v>196</v>
      </c>
      <c r="B146" s="14" t="s">
        <v>4</v>
      </c>
      <c r="C146" s="15">
        <v>0</v>
      </c>
      <c r="D146" s="15">
        <v>66.5</v>
      </c>
      <c r="E146" s="15">
        <v>133.18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266.54000000000002</v>
      </c>
      <c r="L146" s="15">
        <v>0</v>
      </c>
      <c r="M146" s="15">
        <v>0</v>
      </c>
      <c r="N146" s="38">
        <v>0</v>
      </c>
      <c r="O146" s="41">
        <f t="shared" si="43"/>
        <v>466.22</v>
      </c>
      <c r="P146" s="15">
        <f t="shared" si="44"/>
        <v>38.851666666666667</v>
      </c>
      <c r="Q146" s="42">
        <f t="shared" si="45"/>
        <v>82.621431275793128</v>
      </c>
      <c r="R146" s="44">
        <f t="shared" si="46"/>
        <v>2.1265865370630124</v>
      </c>
      <c r="S146" s="49"/>
      <c r="T146" s="45">
        <f t="shared" si="36"/>
        <v>45.268729179721014</v>
      </c>
      <c r="U146" s="46">
        <f>VLOOKUP(B146,Policy!$B$5:$J$8,9,FALSE)</f>
        <v>35.440534834623506</v>
      </c>
      <c r="V146" s="15">
        <f t="shared" si="40"/>
        <v>45.268729179721014</v>
      </c>
      <c r="W146" s="15">
        <f t="shared" si="41"/>
        <v>34.968934634387381</v>
      </c>
      <c r="X146" s="46">
        <f>VLOOKUP(B146,Policy!$B$5:$F$8,5,FALSE)</f>
        <v>0.84162123357291474</v>
      </c>
      <c r="Y146" s="47">
        <f t="shared" si="47"/>
        <v>0.11163767369322539</v>
      </c>
      <c r="Z146" s="43">
        <f t="shared" si="48"/>
        <v>3.9038505141134663</v>
      </c>
      <c r="AA146" s="48">
        <f t="shared" si="37"/>
        <v>0.9137627544476713</v>
      </c>
      <c r="AB146" s="15"/>
      <c r="AC146" s="45">
        <f t="shared" si="38"/>
        <v>74.699327083444743</v>
      </c>
      <c r="AD146" s="15">
        <f t="shared" si="49"/>
        <v>29.430597903723729</v>
      </c>
      <c r="AE146" s="50">
        <f t="shared" si="42"/>
        <v>22.634364589860507</v>
      </c>
      <c r="AF146" s="52">
        <f t="shared" si="39"/>
        <v>35.440534834623506</v>
      </c>
      <c r="AG146" s="51">
        <f t="shared" si="50"/>
        <v>32</v>
      </c>
      <c r="AH146" s="43">
        <f t="shared" si="51"/>
        <v>0.69933000000000001</v>
      </c>
      <c r="AI146" s="53">
        <f>IF(AH146&gt;=Policy!$E$13,Policy!$C$13,IF(Solution!AH146&gt;=Policy!$E$14,Policy!$C$14,IF(Solution!AH146&gt;=Policy!$E$15,Policy!$C$15,IF(Solution!AH146&gt;=Policy!$E$16,Policy!$C$16,IF(Solution!AH146&gt;=Policy!$E$17,Policy!$C$17,IF(Solution!AH146&gt;=Policy!$E$18,Policy!$C$18,IF(AH146&gt;=Policy!$E$19,Policy!$C$19,Policy!$C$20)))))))</f>
        <v>8</v>
      </c>
    </row>
    <row r="147" spans="1:35" x14ac:dyDescent="0.3">
      <c r="A147" s="16" t="s">
        <v>197</v>
      </c>
      <c r="B147" s="14" t="s">
        <v>4</v>
      </c>
      <c r="C147" s="15">
        <v>89.38</v>
      </c>
      <c r="D147" s="15">
        <v>72.61</v>
      </c>
      <c r="E147" s="15">
        <v>0</v>
      </c>
      <c r="F147" s="15">
        <v>0</v>
      </c>
      <c r="G147" s="15">
        <v>109.21</v>
      </c>
      <c r="H147" s="15">
        <v>0</v>
      </c>
      <c r="I147" s="15">
        <v>27.08</v>
      </c>
      <c r="J147" s="15">
        <v>108.36</v>
      </c>
      <c r="K147" s="15">
        <v>54.26</v>
      </c>
      <c r="L147" s="15">
        <v>0</v>
      </c>
      <c r="M147" s="15">
        <v>0</v>
      </c>
      <c r="N147" s="38">
        <v>0</v>
      </c>
      <c r="O147" s="41">
        <f t="shared" si="43"/>
        <v>460.9</v>
      </c>
      <c r="P147" s="15">
        <f t="shared" si="44"/>
        <v>38.408333333333331</v>
      </c>
      <c r="Q147" s="42">
        <f t="shared" si="45"/>
        <v>45.631710830663948</v>
      </c>
      <c r="R147" s="44">
        <f t="shared" si="46"/>
        <v>1.1880679756302179</v>
      </c>
      <c r="S147" s="49"/>
      <c r="T147" s="45">
        <f t="shared" si="36"/>
        <v>44.752171247336911</v>
      </c>
      <c r="U147" s="46">
        <f>VLOOKUP(B147,Policy!$B$5:$J$8,9,FALSE)</f>
        <v>35.440534834623506</v>
      </c>
      <c r="V147" s="15">
        <f t="shared" si="40"/>
        <v>44.752171247336911</v>
      </c>
      <c r="W147" s="15">
        <f t="shared" si="41"/>
        <v>19.345071699118023</v>
      </c>
      <c r="X147" s="46">
        <f>VLOOKUP(B147,Policy!$B$5:$F$8,5,FALSE)</f>
        <v>0.84162123357291474</v>
      </c>
      <c r="Y147" s="47">
        <f t="shared" si="47"/>
        <v>0.11163767369322539</v>
      </c>
      <c r="Z147" s="43">
        <f t="shared" si="48"/>
        <v>2.1596388019181871</v>
      </c>
      <c r="AA147" s="48">
        <f t="shared" si="37"/>
        <v>0.95174225648221034</v>
      </c>
      <c r="AB147" s="15"/>
      <c r="AC147" s="45">
        <f t="shared" si="38"/>
        <v>61.033394354305102</v>
      </c>
      <c r="AD147" s="15">
        <f t="shared" si="49"/>
        <v>16.281223106968191</v>
      </c>
      <c r="AE147" s="50">
        <f t="shared" si="42"/>
        <v>22.376085623668455</v>
      </c>
      <c r="AF147" s="52">
        <f t="shared" si="39"/>
        <v>35.440534834623506</v>
      </c>
      <c r="AG147" s="51">
        <f t="shared" si="50"/>
        <v>32</v>
      </c>
      <c r="AH147" s="43">
        <f t="shared" si="51"/>
        <v>0.69135000000000002</v>
      </c>
      <c r="AI147" s="53">
        <f>IF(AH147&gt;=Policy!$E$13,Policy!$C$13,IF(Solution!AH147&gt;=Policy!$E$14,Policy!$C$14,IF(Solution!AH147&gt;=Policy!$E$15,Policy!$C$15,IF(Solution!AH147&gt;=Policy!$E$16,Policy!$C$16,IF(Solution!AH147&gt;=Policy!$E$17,Policy!$C$17,IF(Solution!AH147&gt;=Policy!$E$18,Policy!$C$18,IF(AH147&gt;=Policy!$E$19,Policy!$C$19,Policy!$C$20)))))))</f>
        <v>8</v>
      </c>
    </row>
    <row r="148" spans="1:35" x14ac:dyDescent="0.3">
      <c r="A148" s="16" t="s">
        <v>198</v>
      </c>
      <c r="B148" s="14" t="s">
        <v>4</v>
      </c>
      <c r="C148" s="15">
        <v>0</v>
      </c>
      <c r="D148" s="15">
        <v>29.57</v>
      </c>
      <c r="E148" s="15">
        <v>59.19</v>
      </c>
      <c r="F148" s="15">
        <v>0</v>
      </c>
      <c r="G148" s="15">
        <v>59.46</v>
      </c>
      <c r="H148" s="15">
        <v>59.14</v>
      </c>
      <c r="I148" s="15">
        <v>88.7</v>
      </c>
      <c r="J148" s="15">
        <v>0</v>
      </c>
      <c r="K148" s="15">
        <v>59.85</v>
      </c>
      <c r="L148" s="15">
        <v>89.52</v>
      </c>
      <c r="M148" s="15">
        <v>80.567999999999998</v>
      </c>
      <c r="N148" s="38">
        <v>98.472000000000008</v>
      </c>
      <c r="O148" s="41">
        <f t="shared" si="43"/>
        <v>624.47</v>
      </c>
      <c r="P148" s="15">
        <f t="shared" si="44"/>
        <v>52.039166666666667</v>
      </c>
      <c r="Q148" s="42">
        <f t="shared" si="45"/>
        <v>36.388627218937337</v>
      </c>
      <c r="R148" s="44">
        <f t="shared" si="46"/>
        <v>0.69925461051331217</v>
      </c>
      <c r="S148" s="49"/>
      <c r="T148" s="45">
        <f t="shared" si="36"/>
        <v>60.634385721033809</v>
      </c>
      <c r="U148" s="46">
        <f>VLOOKUP(B148,Policy!$B$5:$J$8,9,FALSE)</f>
        <v>35.440534834623506</v>
      </c>
      <c r="V148" s="15">
        <f t="shared" si="40"/>
        <v>60.634385721033809</v>
      </c>
      <c r="W148" s="15">
        <f t="shared" si="41"/>
        <v>15.495851351236585</v>
      </c>
      <c r="X148" s="46">
        <f>VLOOKUP(B148,Policy!$B$5:$F$8,5,FALSE)</f>
        <v>0.84162123357291474</v>
      </c>
      <c r="Y148" s="47">
        <f t="shared" si="47"/>
        <v>0.11163767369322539</v>
      </c>
      <c r="Z148" s="43">
        <f t="shared" si="48"/>
        <v>1.7299207967480756</v>
      </c>
      <c r="AA148" s="48">
        <f t="shared" si="37"/>
        <v>0.97146964092772237</v>
      </c>
      <c r="AB148" s="15"/>
      <c r="AC148" s="45">
        <f t="shared" si="38"/>
        <v>73.676023250524054</v>
      </c>
      <c r="AD148" s="15">
        <f t="shared" si="49"/>
        <v>13.041637529490252</v>
      </c>
      <c r="AE148" s="50">
        <f t="shared" si="42"/>
        <v>30.317192860516904</v>
      </c>
      <c r="AF148" s="52">
        <f t="shared" si="39"/>
        <v>35.440534834623506</v>
      </c>
      <c r="AG148" s="51">
        <f t="shared" si="50"/>
        <v>32</v>
      </c>
      <c r="AH148" s="43">
        <f t="shared" si="51"/>
        <v>0.93670500000000001</v>
      </c>
      <c r="AI148" s="53">
        <f>IF(AH148&gt;=Policy!$E$13,Policy!$C$13,IF(Solution!AH148&gt;=Policy!$E$14,Policy!$C$14,IF(Solution!AH148&gt;=Policy!$E$15,Policy!$C$15,IF(Solution!AH148&gt;=Policy!$E$16,Policy!$C$16,IF(Solution!AH148&gt;=Policy!$E$17,Policy!$C$17,IF(Solution!AH148&gt;=Policy!$E$18,Policy!$C$18,IF(AH148&gt;=Policy!$E$19,Policy!$C$19,Policy!$C$20)))))))</f>
        <v>8</v>
      </c>
    </row>
    <row r="149" spans="1:35" x14ac:dyDescent="0.3">
      <c r="A149" s="16" t="s">
        <v>199</v>
      </c>
      <c r="B149" s="14" t="s">
        <v>4</v>
      </c>
      <c r="C149" s="15">
        <v>0</v>
      </c>
      <c r="D149" s="15">
        <v>0</v>
      </c>
      <c r="E149" s="15">
        <v>0</v>
      </c>
      <c r="F149" s="15">
        <v>34.1</v>
      </c>
      <c r="G149" s="15">
        <v>0</v>
      </c>
      <c r="H149" s="15">
        <v>0</v>
      </c>
      <c r="I149" s="15">
        <v>0</v>
      </c>
      <c r="J149" s="15">
        <v>169.68</v>
      </c>
      <c r="K149" s="15">
        <v>67.77</v>
      </c>
      <c r="L149" s="15">
        <v>169.7</v>
      </c>
      <c r="M149" s="15">
        <v>152.72999999999999</v>
      </c>
      <c r="N149" s="38">
        <v>186.67000000000002</v>
      </c>
      <c r="O149" s="41">
        <f t="shared" si="43"/>
        <v>780.65000000000009</v>
      </c>
      <c r="P149" s="15">
        <f t="shared" si="44"/>
        <v>65.054166666666674</v>
      </c>
      <c r="Q149" s="42">
        <f t="shared" si="45"/>
        <v>80.188744331260366</v>
      </c>
      <c r="R149" s="44">
        <f t="shared" si="46"/>
        <v>1.2326457848909553</v>
      </c>
      <c r="S149" s="49"/>
      <c r="T149" s="45">
        <f t="shared" si="36"/>
        <v>75.799050736024213</v>
      </c>
      <c r="U149" s="46">
        <f>VLOOKUP(B149,Policy!$B$5:$J$8,9,FALSE)</f>
        <v>35.440534834623506</v>
      </c>
      <c r="V149" s="15">
        <f t="shared" si="40"/>
        <v>75.799050736024213</v>
      </c>
      <c r="W149" s="15">
        <f t="shared" si="41"/>
        <v>33.98939279117878</v>
      </c>
      <c r="X149" s="46">
        <f>VLOOKUP(B149,Policy!$B$5:$F$8,5,FALSE)</f>
        <v>0.84162123357291474</v>
      </c>
      <c r="Y149" s="47">
        <f t="shared" si="47"/>
        <v>0.11163767369322539</v>
      </c>
      <c r="Z149" s="43">
        <f t="shared" si="48"/>
        <v>3.7944967414524839</v>
      </c>
      <c r="AA149" s="48">
        <f t="shared" si="37"/>
        <v>0.94994004931978504</v>
      </c>
      <c r="AB149" s="15"/>
      <c r="AC149" s="45">
        <f t="shared" si="38"/>
        <v>104.40524542533043</v>
      </c>
      <c r="AD149" s="15">
        <f t="shared" si="49"/>
        <v>28.606194689306221</v>
      </c>
      <c r="AE149" s="50">
        <f t="shared" si="42"/>
        <v>37.899525368012107</v>
      </c>
      <c r="AF149" s="52">
        <f t="shared" si="39"/>
        <v>35.440534834623506</v>
      </c>
      <c r="AG149" s="51">
        <f t="shared" si="50"/>
        <v>32</v>
      </c>
      <c r="AH149" s="43">
        <f t="shared" si="51"/>
        <v>1.1709750000000001</v>
      </c>
      <c r="AI149" s="53">
        <f>IF(AH149&gt;=Policy!$E$13,Policy!$C$13,IF(Solution!AH149&gt;=Policy!$E$14,Policy!$C$14,IF(Solution!AH149&gt;=Policy!$E$15,Policy!$C$15,IF(Solution!AH149&gt;=Policy!$E$16,Policy!$C$16,IF(Solution!AH149&gt;=Policy!$E$17,Policy!$C$17,IF(Solution!AH149&gt;=Policy!$E$18,Policy!$C$18,IF(AH149&gt;=Policy!$E$19,Policy!$C$19,Policy!$C$20)))))))</f>
        <v>8</v>
      </c>
    </row>
    <row r="150" spans="1:35" x14ac:dyDescent="0.3">
      <c r="A150" s="16" t="s">
        <v>200</v>
      </c>
      <c r="B150" s="14" t="s">
        <v>4</v>
      </c>
      <c r="C150" s="15">
        <v>0</v>
      </c>
      <c r="D150" s="15">
        <v>0</v>
      </c>
      <c r="E150" s="15">
        <v>142.31</v>
      </c>
      <c r="F150" s="15">
        <v>0</v>
      </c>
      <c r="G150" s="15">
        <v>0</v>
      </c>
      <c r="H150" s="15">
        <v>0</v>
      </c>
      <c r="I150" s="15">
        <v>0</v>
      </c>
      <c r="J150" s="15">
        <v>177.61</v>
      </c>
      <c r="K150" s="15">
        <v>0</v>
      </c>
      <c r="L150" s="15">
        <v>106.82</v>
      </c>
      <c r="M150" s="15">
        <v>96.137999999999991</v>
      </c>
      <c r="N150" s="38">
        <v>117.502</v>
      </c>
      <c r="O150" s="41">
        <f t="shared" si="43"/>
        <v>640.38</v>
      </c>
      <c r="P150" s="15">
        <f t="shared" si="44"/>
        <v>53.365000000000002</v>
      </c>
      <c r="Q150" s="42">
        <f t="shared" si="45"/>
        <v>68.81022449660172</v>
      </c>
      <c r="R150" s="44">
        <f t="shared" si="46"/>
        <v>1.2894261125569515</v>
      </c>
      <c r="S150" s="49"/>
      <c r="T150" s="45">
        <f t="shared" si="36"/>
        <v>62.17920465040055</v>
      </c>
      <c r="U150" s="46">
        <f>VLOOKUP(B150,Policy!$B$5:$J$8,9,FALSE)</f>
        <v>35.440534834623506</v>
      </c>
      <c r="V150" s="15">
        <f t="shared" si="40"/>
        <v>62.17920465040055</v>
      </c>
      <c r="W150" s="15">
        <f t="shared" si="41"/>
        <v>29.160839269353179</v>
      </c>
      <c r="X150" s="46">
        <f>VLOOKUP(B150,Policy!$B$5:$F$8,5,FALSE)</f>
        <v>0.84162123357291474</v>
      </c>
      <c r="Y150" s="47">
        <f t="shared" si="47"/>
        <v>0.11163767369322539</v>
      </c>
      <c r="Z150" s="43">
        <f t="shared" si="48"/>
        <v>3.2554482589726432</v>
      </c>
      <c r="AA150" s="48">
        <f t="shared" si="37"/>
        <v>0.94764409938537753</v>
      </c>
      <c r="AB150" s="15"/>
      <c r="AC150" s="45">
        <f t="shared" si="38"/>
        <v>86.721586168295062</v>
      </c>
      <c r="AD150" s="15">
        <f t="shared" si="49"/>
        <v>24.542381517894515</v>
      </c>
      <c r="AE150" s="50">
        <f t="shared" si="42"/>
        <v>31.089602325200275</v>
      </c>
      <c r="AF150" s="52">
        <f t="shared" si="39"/>
        <v>35.440534834623506</v>
      </c>
      <c r="AG150" s="51">
        <f t="shared" si="50"/>
        <v>32</v>
      </c>
      <c r="AH150" s="43">
        <f t="shared" si="51"/>
        <v>0.96057000000000003</v>
      </c>
      <c r="AI150" s="53">
        <f>IF(AH150&gt;=Policy!$E$13,Policy!$C$13,IF(Solution!AH150&gt;=Policy!$E$14,Policy!$C$14,IF(Solution!AH150&gt;=Policy!$E$15,Policy!$C$15,IF(Solution!AH150&gt;=Policy!$E$16,Policy!$C$16,IF(Solution!AH150&gt;=Policy!$E$17,Policy!$C$17,IF(Solution!AH150&gt;=Policy!$E$18,Policy!$C$18,IF(AH150&gt;=Policy!$E$19,Policy!$C$19,Policy!$C$20)))))))</f>
        <v>8</v>
      </c>
    </row>
    <row r="151" spans="1:35" x14ac:dyDescent="0.3">
      <c r="A151" s="16" t="s">
        <v>201</v>
      </c>
      <c r="B151" s="14" t="s">
        <v>4</v>
      </c>
      <c r="C151" s="15">
        <v>0</v>
      </c>
      <c r="D151" s="15">
        <v>143.46</v>
      </c>
      <c r="E151" s="15">
        <v>35.82</v>
      </c>
      <c r="F151" s="15">
        <v>0</v>
      </c>
      <c r="G151" s="15">
        <v>0</v>
      </c>
      <c r="H151" s="15">
        <v>0</v>
      </c>
      <c r="I151" s="15">
        <v>0</v>
      </c>
      <c r="J151" s="15">
        <v>239.2</v>
      </c>
      <c r="K151" s="15">
        <v>0</v>
      </c>
      <c r="L151" s="15">
        <v>0</v>
      </c>
      <c r="M151" s="15">
        <v>0</v>
      </c>
      <c r="N151" s="38">
        <v>0</v>
      </c>
      <c r="O151" s="41">
        <f t="shared" si="43"/>
        <v>418.48</v>
      </c>
      <c r="P151" s="15">
        <f t="shared" si="44"/>
        <v>34.873333333333335</v>
      </c>
      <c r="Q151" s="42">
        <f t="shared" si="45"/>
        <v>76.566484162260565</v>
      </c>
      <c r="R151" s="44">
        <f t="shared" si="46"/>
        <v>2.1955596681971103</v>
      </c>
      <c r="S151" s="49"/>
      <c r="T151" s="45">
        <f t="shared" si="36"/>
        <v>40.633301418063688</v>
      </c>
      <c r="U151" s="46">
        <f>VLOOKUP(B151,Policy!$B$5:$J$8,9,FALSE)</f>
        <v>35.440534834623506</v>
      </c>
      <c r="V151" s="15">
        <f t="shared" si="40"/>
        <v>40.633301418063688</v>
      </c>
      <c r="W151" s="15">
        <f t="shared" si="41"/>
        <v>32.404723959315113</v>
      </c>
      <c r="X151" s="46">
        <f>VLOOKUP(B151,Policy!$B$5:$F$8,5,FALSE)</f>
        <v>0.84162123357291474</v>
      </c>
      <c r="Y151" s="47">
        <f t="shared" si="47"/>
        <v>0.11163767369322539</v>
      </c>
      <c r="Z151" s="43">
        <f t="shared" si="48"/>
        <v>3.6175879994890634</v>
      </c>
      <c r="AA151" s="48">
        <f t="shared" si="37"/>
        <v>0.91096987266014151</v>
      </c>
      <c r="AB151" s="15"/>
      <c r="AC151" s="45">
        <f t="shared" si="38"/>
        <v>67.905805170292268</v>
      </c>
      <c r="AD151" s="15">
        <f t="shared" si="49"/>
        <v>27.272503752228573</v>
      </c>
      <c r="AE151" s="50">
        <f t="shared" si="42"/>
        <v>20.316650709031844</v>
      </c>
      <c r="AF151" s="52">
        <f t="shared" si="39"/>
        <v>35.440534834623506</v>
      </c>
      <c r="AG151" s="51">
        <f t="shared" si="50"/>
        <v>32</v>
      </c>
      <c r="AH151" s="43">
        <f t="shared" si="51"/>
        <v>0.62771999999999994</v>
      </c>
      <c r="AI151" s="53">
        <f>IF(AH151&gt;=Policy!$E$13,Policy!$C$13,IF(Solution!AH151&gt;=Policy!$E$14,Policy!$C$14,IF(Solution!AH151&gt;=Policy!$E$15,Policy!$C$15,IF(Solution!AH151&gt;=Policy!$E$16,Policy!$C$16,IF(Solution!AH151&gt;=Policy!$E$17,Policy!$C$17,IF(Solution!AH151&gt;=Policy!$E$18,Policy!$C$18,IF(AH151&gt;=Policy!$E$19,Policy!$C$19,Policy!$C$20)))))))</f>
        <v>8</v>
      </c>
    </row>
    <row r="152" spans="1:35" x14ac:dyDescent="0.3">
      <c r="A152" s="16" t="s">
        <v>202</v>
      </c>
      <c r="B152" s="14" t="s">
        <v>4</v>
      </c>
      <c r="C152" s="15">
        <v>0</v>
      </c>
      <c r="D152" s="15">
        <v>0</v>
      </c>
      <c r="E152" s="15">
        <v>170.84</v>
      </c>
      <c r="F152" s="15">
        <v>240.19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38">
        <v>0</v>
      </c>
      <c r="O152" s="41">
        <f t="shared" si="43"/>
        <v>411.03</v>
      </c>
      <c r="P152" s="15">
        <f t="shared" si="44"/>
        <v>34.252499999999998</v>
      </c>
      <c r="Q152" s="42">
        <f t="shared" si="45"/>
        <v>81.351502542418302</v>
      </c>
      <c r="R152" s="44">
        <f t="shared" si="46"/>
        <v>2.3750529900713322</v>
      </c>
      <c r="S152" s="49"/>
      <c r="T152" s="45">
        <f t="shared" si="36"/>
        <v>39.909926118014518</v>
      </c>
      <c r="U152" s="46">
        <f>VLOOKUP(B152,Policy!$B$5:$J$8,9,FALSE)</f>
        <v>35.440534834623506</v>
      </c>
      <c r="V152" s="15">
        <f t="shared" si="40"/>
        <v>39.909926118014518</v>
      </c>
      <c r="W152" s="15">
        <f t="shared" si="41"/>
        <v>34.426345359808906</v>
      </c>
      <c r="X152" s="46">
        <f>VLOOKUP(B152,Policy!$B$5:$F$8,5,FALSE)</f>
        <v>0.84162123357291474</v>
      </c>
      <c r="Y152" s="47">
        <f t="shared" si="47"/>
        <v>0.11163767369322539</v>
      </c>
      <c r="Z152" s="43">
        <f t="shared" si="48"/>
        <v>3.8432771097286307</v>
      </c>
      <c r="AA152" s="48">
        <f t="shared" si="37"/>
        <v>0.90370122213797199</v>
      </c>
      <c r="AB152" s="15"/>
      <c r="AC152" s="45">
        <f t="shared" si="38"/>
        <v>68.883869367144086</v>
      </c>
      <c r="AD152" s="15">
        <f t="shared" si="49"/>
        <v>28.973943249129562</v>
      </c>
      <c r="AE152" s="50">
        <f t="shared" si="42"/>
        <v>19.954963059007259</v>
      </c>
      <c r="AF152" s="52">
        <f t="shared" si="39"/>
        <v>35.440534834623506</v>
      </c>
      <c r="AG152" s="51">
        <f t="shared" si="50"/>
        <v>32</v>
      </c>
      <c r="AH152" s="43">
        <f t="shared" si="51"/>
        <v>0.6165449999999999</v>
      </c>
      <c r="AI152" s="53">
        <f>IF(AH152&gt;=Policy!$E$13,Policy!$C$13,IF(Solution!AH152&gt;=Policy!$E$14,Policy!$C$14,IF(Solution!AH152&gt;=Policy!$E$15,Policy!$C$15,IF(Solution!AH152&gt;=Policy!$E$16,Policy!$C$16,IF(Solution!AH152&gt;=Policy!$E$17,Policy!$C$17,IF(Solution!AH152&gt;=Policy!$E$18,Policy!$C$18,IF(AH152&gt;=Policy!$E$19,Policy!$C$19,Policy!$C$20)))))))</f>
        <v>8</v>
      </c>
    </row>
    <row r="153" spans="1:35" x14ac:dyDescent="0.3">
      <c r="A153" s="16" t="s">
        <v>203</v>
      </c>
      <c r="B153" s="14" t="s">
        <v>4</v>
      </c>
      <c r="C153" s="15">
        <v>0</v>
      </c>
      <c r="D153" s="15">
        <v>0</v>
      </c>
      <c r="E153" s="15">
        <v>113.57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285.10000000000002</v>
      </c>
      <c r="L153" s="15">
        <v>0</v>
      </c>
      <c r="M153" s="15">
        <v>0</v>
      </c>
      <c r="N153" s="38">
        <v>0</v>
      </c>
      <c r="O153" s="41">
        <f t="shared" si="43"/>
        <v>398.67</v>
      </c>
      <c r="P153" s="15">
        <f t="shared" si="44"/>
        <v>33.222500000000004</v>
      </c>
      <c r="Q153" s="42">
        <f t="shared" si="45"/>
        <v>85.777376136241088</v>
      </c>
      <c r="R153" s="44">
        <f t="shared" si="46"/>
        <v>2.581906121942692</v>
      </c>
      <c r="S153" s="49"/>
      <c r="T153" s="45">
        <f t="shared" si="36"/>
        <v>38.709802801422882</v>
      </c>
      <c r="U153" s="46">
        <f>VLOOKUP(B153,Policy!$B$5:$J$8,9,FALSE)</f>
        <v>35.440534834623506</v>
      </c>
      <c r="V153" s="15">
        <f t="shared" si="40"/>
        <v>38.709802801422882</v>
      </c>
      <c r="W153" s="15">
        <f t="shared" si="41"/>
        <v>36.295942150716719</v>
      </c>
      <c r="X153" s="46">
        <f>VLOOKUP(B153,Policy!$B$5:$F$8,5,FALSE)</f>
        <v>0.84162123357291474</v>
      </c>
      <c r="Y153" s="47">
        <f t="shared" si="47"/>
        <v>0.11163767369322539</v>
      </c>
      <c r="Z153" s="43">
        <f t="shared" si="48"/>
        <v>4.0519945462098983</v>
      </c>
      <c r="AA153" s="48">
        <f t="shared" si="37"/>
        <v>0.89532381327292743</v>
      </c>
      <c r="AB153" s="15"/>
      <c r="AC153" s="45">
        <f t="shared" si="38"/>
        <v>69.257238408000234</v>
      </c>
      <c r="AD153" s="15">
        <f t="shared" si="49"/>
        <v>30.547435606577356</v>
      </c>
      <c r="AE153" s="50">
        <f t="shared" si="42"/>
        <v>19.354901400711441</v>
      </c>
      <c r="AF153" s="52">
        <f t="shared" si="39"/>
        <v>35.440534834623506</v>
      </c>
      <c r="AG153" s="51">
        <f t="shared" si="50"/>
        <v>32</v>
      </c>
      <c r="AH153" s="43">
        <f t="shared" si="51"/>
        <v>0.59800500000000001</v>
      </c>
      <c r="AI153" s="53">
        <f>IF(AH153&gt;=Policy!$E$13,Policy!$C$13,IF(Solution!AH153&gt;=Policy!$E$14,Policy!$C$14,IF(Solution!AH153&gt;=Policy!$E$15,Policy!$C$15,IF(Solution!AH153&gt;=Policy!$E$16,Policy!$C$16,IF(Solution!AH153&gt;=Policy!$E$17,Policy!$C$17,IF(Solution!AH153&gt;=Policy!$E$18,Policy!$C$18,IF(AH153&gt;=Policy!$E$19,Policy!$C$19,Policy!$C$20)))))))</f>
        <v>8</v>
      </c>
    </row>
    <row r="154" spans="1:35" x14ac:dyDescent="0.3">
      <c r="A154" s="16" t="s">
        <v>204</v>
      </c>
      <c r="B154" s="14" t="s">
        <v>4</v>
      </c>
      <c r="C154" s="15">
        <v>0</v>
      </c>
      <c r="D154" s="15">
        <v>0</v>
      </c>
      <c r="E154" s="15">
        <v>0</v>
      </c>
      <c r="F154" s="15">
        <v>0</v>
      </c>
      <c r="G154" s="15">
        <v>98.3</v>
      </c>
      <c r="H154" s="15">
        <v>0</v>
      </c>
      <c r="I154" s="15">
        <v>0</v>
      </c>
      <c r="J154" s="15">
        <v>197.65</v>
      </c>
      <c r="K154" s="15">
        <v>98.23</v>
      </c>
      <c r="L154" s="15">
        <v>0</v>
      </c>
      <c r="M154" s="15">
        <v>0</v>
      </c>
      <c r="N154" s="38">
        <v>0</v>
      </c>
      <c r="O154" s="41">
        <f t="shared" si="43"/>
        <v>394.18</v>
      </c>
      <c r="P154" s="15">
        <f t="shared" si="44"/>
        <v>32.848333333333336</v>
      </c>
      <c r="Q154" s="42">
        <f t="shared" si="45"/>
        <v>64.264644151187738</v>
      </c>
      <c r="R154" s="44">
        <f t="shared" si="46"/>
        <v>1.9564050175408514</v>
      </c>
      <c r="S154" s="49"/>
      <c r="T154" s="45">
        <f t="shared" si="36"/>
        <v>38.273835674279162</v>
      </c>
      <c r="U154" s="46">
        <f>VLOOKUP(B154,Policy!$B$5:$J$8,9,FALSE)</f>
        <v>35.440534834623506</v>
      </c>
      <c r="V154" s="15">
        <f t="shared" si="40"/>
        <v>38.273835674279162</v>
      </c>
      <c r="W154" s="15">
        <f t="shared" si="41"/>
        <v>27.203243448313284</v>
      </c>
      <c r="X154" s="46">
        <f>VLOOKUP(B154,Policy!$B$5:$F$8,5,FALSE)</f>
        <v>0.84162123357291474</v>
      </c>
      <c r="Y154" s="47">
        <f t="shared" si="47"/>
        <v>0.11163767369322539</v>
      </c>
      <c r="Z154" s="43">
        <f t="shared" si="48"/>
        <v>3.0369068154801697</v>
      </c>
      <c r="AA154" s="48">
        <f t="shared" si="37"/>
        <v>0.92065318873903623</v>
      </c>
      <c r="AB154" s="15"/>
      <c r="AC154" s="45">
        <f t="shared" si="38"/>
        <v>61.168662982432899</v>
      </c>
      <c r="AD154" s="15">
        <f t="shared" si="49"/>
        <v>22.894827308153737</v>
      </c>
      <c r="AE154" s="50">
        <f t="shared" si="42"/>
        <v>19.136917837139581</v>
      </c>
      <c r="AF154" s="52">
        <f t="shared" si="39"/>
        <v>35.440534834623506</v>
      </c>
      <c r="AG154" s="51">
        <f t="shared" si="50"/>
        <v>32</v>
      </c>
      <c r="AH154" s="43">
        <f t="shared" si="51"/>
        <v>0.59126999999999996</v>
      </c>
      <c r="AI154" s="53">
        <f>IF(AH154&gt;=Policy!$E$13,Policy!$C$13,IF(Solution!AH154&gt;=Policy!$E$14,Policy!$C$14,IF(Solution!AH154&gt;=Policy!$E$15,Policy!$C$15,IF(Solution!AH154&gt;=Policy!$E$16,Policy!$C$16,IF(Solution!AH154&gt;=Policy!$E$17,Policy!$C$17,IF(Solution!AH154&gt;=Policy!$E$18,Policy!$C$18,IF(AH154&gt;=Policy!$E$19,Policy!$C$19,Policy!$C$20)))))))</f>
        <v>8</v>
      </c>
    </row>
    <row r="155" spans="1:35" x14ac:dyDescent="0.3">
      <c r="A155" s="16" t="s">
        <v>205</v>
      </c>
      <c r="B155" s="14" t="s">
        <v>4</v>
      </c>
      <c r="C155" s="15">
        <v>0</v>
      </c>
      <c r="D155" s="15">
        <v>193.53</v>
      </c>
      <c r="E155" s="15">
        <v>110.78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83.11</v>
      </c>
      <c r="L155" s="15">
        <v>0</v>
      </c>
      <c r="M155" s="15">
        <v>0</v>
      </c>
      <c r="N155" s="38">
        <v>0</v>
      </c>
      <c r="O155" s="41">
        <f t="shared" si="43"/>
        <v>387.42</v>
      </c>
      <c r="P155" s="15">
        <f t="shared" si="44"/>
        <v>32.285000000000004</v>
      </c>
      <c r="Q155" s="42">
        <f t="shared" si="45"/>
        <v>63.33567621663309</v>
      </c>
      <c r="R155" s="44">
        <f t="shared" si="46"/>
        <v>1.9617678865303727</v>
      </c>
      <c r="S155" s="49"/>
      <c r="T155" s="45">
        <f t="shared" si="36"/>
        <v>37.617457549670789</v>
      </c>
      <c r="U155" s="46">
        <f>VLOOKUP(B155,Policy!$B$5:$J$8,9,FALSE)</f>
        <v>35.440534834623506</v>
      </c>
      <c r="V155" s="15">
        <f t="shared" si="40"/>
        <v>37.617457549670789</v>
      </c>
      <c r="W155" s="15">
        <f t="shared" si="41"/>
        <v>26.80988186137262</v>
      </c>
      <c r="X155" s="46">
        <f>VLOOKUP(B155,Policy!$B$5:$F$8,5,FALSE)</f>
        <v>0.84162123357291474</v>
      </c>
      <c r="Y155" s="47">
        <f t="shared" si="47"/>
        <v>0.11163767369322539</v>
      </c>
      <c r="Z155" s="43">
        <f t="shared" si="48"/>
        <v>2.9929928429938388</v>
      </c>
      <c r="AA155" s="48">
        <f t="shared" si="37"/>
        <v>0.92043606777406906</v>
      </c>
      <c r="AB155" s="15"/>
      <c r="AC155" s="45">
        <f t="shared" si="38"/>
        <v>60.181223393783327</v>
      </c>
      <c r="AD155" s="15">
        <f t="shared" si="49"/>
        <v>22.563765844112535</v>
      </c>
      <c r="AE155" s="50">
        <f t="shared" si="42"/>
        <v>18.808728774835394</v>
      </c>
      <c r="AF155" s="52">
        <f t="shared" si="39"/>
        <v>35.440534834623506</v>
      </c>
      <c r="AG155" s="51">
        <f t="shared" si="50"/>
        <v>32</v>
      </c>
      <c r="AH155" s="43">
        <f t="shared" si="51"/>
        <v>0.58113000000000004</v>
      </c>
      <c r="AI155" s="53">
        <f>IF(AH155&gt;=Policy!$E$13,Policy!$C$13,IF(Solution!AH155&gt;=Policy!$E$14,Policy!$C$14,IF(Solution!AH155&gt;=Policy!$E$15,Policy!$C$15,IF(Solution!AH155&gt;=Policy!$E$16,Policy!$C$16,IF(Solution!AH155&gt;=Policy!$E$17,Policy!$C$17,IF(Solution!AH155&gt;=Policy!$E$18,Policy!$C$18,IF(AH155&gt;=Policy!$E$19,Policy!$C$19,Policy!$C$20)))))))</f>
        <v>8</v>
      </c>
    </row>
    <row r="156" spans="1:35" x14ac:dyDescent="0.3">
      <c r="A156" s="16" t="s">
        <v>206</v>
      </c>
      <c r="B156" s="14" t="s">
        <v>4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35.96</v>
      </c>
      <c r="I156" s="15">
        <v>0</v>
      </c>
      <c r="J156" s="15">
        <v>108.1</v>
      </c>
      <c r="K156" s="15">
        <v>108.25</v>
      </c>
      <c r="L156" s="15">
        <v>131.02000000000001</v>
      </c>
      <c r="M156" s="15">
        <v>117.91800000000001</v>
      </c>
      <c r="N156" s="38">
        <v>144.12200000000001</v>
      </c>
      <c r="O156" s="41">
        <f t="shared" si="43"/>
        <v>645.37000000000012</v>
      </c>
      <c r="P156" s="15">
        <f t="shared" si="44"/>
        <v>53.780833333333341</v>
      </c>
      <c r="Q156" s="42">
        <f t="shared" si="45"/>
        <v>61.666481023225884</v>
      </c>
      <c r="R156" s="44">
        <f t="shared" si="46"/>
        <v>1.1466256136459869</v>
      </c>
      <c r="S156" s="49"/>
      <c r="T156" s="45">
        <f t="shared" si="36"/>
        <v>62.66372045539994</v>
      </c>
      <c r="U156" s="46">
        <f>VLOOKUP(B156,Policy!$B$5:$J$8,9,FALSE)</f>
        <v>35.440534834623506</v>
      </c>
      <c r="V156" s="15">
        <f t="shared" si="40"/>
        <v>62.66372045539994</v>
      </c>
      <c r="W156" s="15">
        <f t="shared" si="41"/>
        <v>26.147429178974786</v>
      </c>
      <c r="X156" s="46">
        <f>VLOOKUP(B156,Policy!$B$5:$F$8,5,FALSE)</f>
        <v>0.84162123357291474</v>
      </c>
      <c r="Y156" s="47">
        <f t="shared" si="47"/>
        <v>0.11163767369322539</v>
      </c>
      <c r="Z156" s="43">
        <f t="shared" si="48"/>
        <v>2.9190381665991074</v>
      </c>
      <c r="AA156" s="48">
        <f t="shared" si="37"/>
        <v>0.95341741369032351</v>
      </c>
      <c r="AB156" s="15"/>
      <c r="AC156" s="45">
        <f t="shared" si="38"/>
        <v>84.66995205576913</v>
      </c>
      <c r="AD156" s="15">
        <f t="shared" si="49"/>
        <v>22.006231600369183</v>
      </c>
      <c r="AE156" s="50">
        <f t="shared" si="42"/>
        <v>31.33186022769997</v>
      </c>
      <c r="AF156" s="52">
        <f t="shared" si="39"/>
        <v>35.440534834623506</v>
      </c>
      <c r="AG156" s="51">
        <f t="shared" si="50"/>
        <v>32</v>
      </c>
      <c r="AH156" s="43">
        <f t="shared" si="51"/>
        <v>0.96805500000000011</v>
      </c>
      <c r="AI156" s="53">
        <f>IF(AH156&gt;=Policy!$E$13,Policy!$C$13,IF(Solution!AH156&gt;=Policy!$E$14,Policy!$C$14,IF(Solution!AH156&gt;=Policy!$E$15,Policy!$C$15,IF(Solution!AH156&gt;=Policy!$E$16,Policy!$C$16,IF(Solution!AH156&gt;=Policy!$E$17,Policy!$C$17,IF(Solution!AH156&gt;=Policy!$E$18,Policy!$C$18,IF(AH156&gt;=Policy!$E$19,Policy!$C$19,Policy!$C$20)))))))</f>
        <v>8</v>
      </c>
    </row>
    <row r="157" spans="1:35" x14ac:dyDescent="0.3">
      <c r="A157" s="16" t="s">
        <v>207</v>
      </c>
      <c r="B157" s="14" t="s">
        <v>4</v>
      </c>
      <c r="C157" s="15">
        <v>0</v>
      </c>
      <c r="D157" s="15">
        <v>0</v>
      </c>
      <c r="E157" s="15">
        <v>0</v>
      </c>
      <c r="F157" s="15">
        <v>241.2</v>
      </c>
      <c r="G157" s="15">
        <v>26.68</v>
      </c>
      <c r="H157" s="15">
        <v>0</v>
      </c>
      <c r="I157" s="15">
        <v>53.53</v>
      </c>
      <c r="J157" s="15">
        <v>0</v>
      </c>
      <c r="K157" s="15">
        <v>53.69</v>
      </c>
      <c r="L157" s="15">
        <v>0</v>
      </c>
      <c r="M157" s="15">
        <v>0</v>
      </c>
      <c r="N157" s="38">
        <v>0</v>
      </c>
      <c r="O157" s="41">
        <f t="shared" si="43"/>
        <v>375.09999999999997</v>
      </c>
      <c r="P157" s="15">
        <f t="shared" si="44"/>
        <v>31.258333333333329</v>
      </c>
      <c r="Q157" s="42">
        <f t="shared" si="45"/>
        <v>69.355696211412194</v>
      </c>
      <c r="R157" s="44">
        <f t="shared" si="46"/>
        <v>2.2187906012715182</v>
      </c>
      <c r="S157" s="49"/>
      <c r="T157" s="45">
        <f t="shared" si="36"/>
        <v>36.421218127307604</v>
      </c>
      <c r="U157" s="46">
        <f>VLOOKUP(B157,Policy!$B$5:$J$8,9,FALSE)</f>
        <v>35.440534834623506</v>
      </c>
      <c r="V157" s="15">
        <f t="shared" si="40"/>
        <v>36.421218127307604</v>
      </c>
      <c r="W157" s="15">
        <f t="shared" si="41"/>
        <v>29.352521532362516</v>
      </c>
      <c r="X157" s="46">
        <f>VLOOKUP(B157,Policy!$B$5:$F$8,5,FALSE)</f>
        <v>0.84162123357291474</v>
      </c>
      <c r="Y157" s="47">
        <f t="shared" si="47"/>
        <v>0.11163767369322539</v>
      </c>
      <c r="Z157" s="43">
        <f t="shared" si="48"/>
        <v>3.2768472209032584</v>
      </c>
      <c r="AA157" s="48">
        <f t="shared" si="37"/>
        <v>0.91002917009943796</v>
      </c>
      <c r="AB157" s="15"/>
      <c r="AC157" s="45">
        <f t="shared" si="38"/>
        <v>61.124923507850085</v>
      </c>
      <c r="AD157" s="15">
        <f t="shared" si="49"/>
        <v>24.703705380542484</v>
      </c>
      <c r="AE157" s="50">
        <f t="shared" si="42"/>
        <v>18.210609063653802</v>
      </c>
      <c r="AF157" s="52">
        <f t="shared" si="39"/>
        <v>35.440534834623506</v>
      </c>
      <c r="AG157" s="51">
        <f t="shared" si="50"/>
        <v>32</v>
      </c>
      <c r="AH157" s="43">
        <f t="shared" si="51"/>
        <v>0.56264999999999987</v>
      </c>
      <c r="AI157" s="53">
        <f>IF(AH157&gt;=Policy!$E$13,Policy!$C$13,IF(Solution!AH157&gt;=Policy!$E$14,Policy!$C$14,IF(Solution!AH157&gt;=Policy!$E$15,Policy!$C$15,IF(Solution!AH157&gt;=Policy!$E$16,Policy!$C$16,IF(Solution!AH157&gt;=Policy!$E$17,Policy!$C$17,IF(Solution!AH157&gt;=Policy!$E$18,Policy!$C$18,IF(AH157&gt;=Policy!$E$19,Policy!$C$19,Policy!$C$20)))))))</f>
        <v>8</v>
      </c>
    </row>
    <row r="158" spans="1:35" x14ac:dyDescent="0.3">
      <c r="A158" s="16" t="s">
        <v>208</v>
      </c>
      <c r="B158" s="14" t="s">
        <v>4</v>
      </c>
      <c r="C158" s="15">
        <v>0</v>
      </c>
      <c r="D158" s="15">
        <v>60.93</v>
      </c>
      <c r="E158" s="15">
        <v>61.01</v>
      </c>
      <c r="F158" s="15">
        <v>30.45</v>
      </c>
      <c r="G158" s="15">
        <v>30.6</v>
      </c>
      <c r="H158" s="15">
        <v>30.45</v>
      </c>
      <c r="I158" s="15">
        <v>0</v>
      </c>
      <c r="J158" s="15">
        <v>0</v>
      </c>
      <c r="K158" s="15">
        <v>152.38</v>
      </c>
      <c r="L158" s="15">
        <v>0</v>
      </c>
      <c r="M158" s="15">
        <v>0</v>
      </c>
      <c r="N158" s="38">
        <v>0</v>
      </c>
      <c r="O158" s="41">
        <f t="shared" si="43"/>
        <v>365.81999999999994</v>
      </c>
      <c r="P158" s="15">
        <f t="shared" si="44"/>
        <v>30.484999999999996</v>
      </c>
      <c r="Q158" s="42">
        <f t="shared" si="45"/>
        <v>45.018270735335896</v>
      </c>
      <c r="R158" s="44">
        <f t="shared" si="46"/>
        <v>1.4767351397518749</v>
      </c>
      <c r="S158" s="49"/>
      <c r="T158" s="45">
        <f t="shared" si="36"/>
        <v>35.520154666306766</v>
      </c>
      <c r="U158" s="46">
        <f>VLOOKUP(B158,Policy!$B$5:$J$8,9,FALSE)</f>
        <v>35.440534834623506</v>
      </c>
      <c r="V158" s="15">
        <f t="shared" si="40"/>
        <v>35.520154666306766</v>
      </c>
      <c r="W158" s="15">
        <f t="shared" si="41"/>
        <v>19.068942459528124</v>
      </c>
      <c r="X158" s="46">
        <f>VLOOKUP(B158,Policy!$B$5:$F$8,5,FALSE)</f>
        <v>0.84162123357291474</v>
      </c>
      <c r="Y158" s="47">
        <f t="shared" si="47"/>
        <v>0.11163767369322539</v>
      </c>
      <c r="Z158" s="43">
        <f t="shared" si="48"/>
        <v>2.1288123759716915</v>
      </c>
      <c r="AA158" s="48">
        <f t="shared" si="37"/>
        <v>0.94006748011176278</v>
      </c>
      <c r="AB158" s="15"/>
      <c r="AC158" s="45">
        <f t="shared" si="38"/>
        <v>51.568981542025753</v>
      </c>
      <c r="AD158" s="15">
        <f t="shared" si="49"/>
        <v>16.048826875718991</v>
      </c>
      <c r="AE158" s="50">
        <f t="shared" si="42"/>
        <v>17.760077333153383</v>
      </c>
      <c r="AF158" s="52">
        <f t="shared" si="39"/>
        <v>35.440534834623506</v>
      </c>
      <c r="AG158" s="51">
        <f t="shared" si="50"/>
        <v>32</v>
      </c>
      <c r="AH158" s="43">
        <f t="shared" si="51"/>
        <v>0.54872999999999994</v>
      </c>
      <c r="AI158" s="53">
        <f>IF(AH158&gt;=Policy!$E$13,Policy!$C$13,IF(Solution!AH158&gt;=Policy!$E$14,Policy!$C$14,IF(Solution!AH158&gt;=Policy!$E$15,Policy!$C$15,IF(Solution!AH158&gt;=Policy!$E$16,Policy!$C$16,IF(Solution!AH158&gt;=Policy!$E$17,Policy!$C$17,IF(Solution!AH158&gt;=Policy!$E$18,Policy!$C$18,IF(AH158&gt;=Policy!$E$19,Policy!$C$19,Policy!$C$20)))))))</f>
        <v>8</v>
      </c>
    </row>
    <row r="159" spans="1:35" x14ac:dyDescent="0.3">
      <c r="A159" s="16" t="s">
        <v>209</v>
      </c>
      <c r="B159" s="14" t="s">
        <v>4</v>
      </c>
      <c r="C159" s="15">
        <v>0</v>
      </c>
      <c r="D159" s="15">
        <v>0</v>
      </c>
      <c r="E159" s="15">
        <v>0</v>
      </c>
      <c r="F159" s="15">
        <v>140.21</v>
      </c>
      <c r="G159" s="15">
        <v>0</v>
      </c>
      <c r="H159" s="15">
        <v>0</v>
      </c>
      <c r="I159" s="15">
        <v>0</v>
      </c>
      <c r="J159" s="15">
        <v>35.090000000000003</v>
      </c>
      <c r="K159" s="15">
        <v>175.42</v>
      </c>
      <c r="L159" s="15">
        <v>0</v>
      </c>
      <c r="M159" s="15">
        <v>0</v>
      </c>
      <c r="N159" s="38">
        <v>0</v>
      </c>
      <c r="O159" s="41">
        <f t="shared" si="43"/>
        <v>350.72</v>
      </c>
      <c r="P159" s="15">
        <f t="shared" si="44"/>
        <v>29.22666666666667</v>
      </c>
      <c r="Q159" s="42">
        <f t="shared" si="45"/>
        <v>61.357337907959426</v>
      </c>
      <c r="R159" s="44">
        <f t="shared" si="46"/>
        <v>2.0993614703909471</v>
      </c>
      <c r="S159" s="49"/>
      <c r="T159" s="45">
        <f t="shared" si="36"/>
        <v>34.053984595066183</v>
      </c>
      <c r="U159" s="46">
        <f>VLOOKUP(B159,Policy!$B$5:$J$8,9,FALSE)</f>
        <v>35.440534834623506</v>
      </c>
      <c r="V159" s="15">
        <f t="shared" si="40"/>
        <v>34.053984595066183</v>
      </c>
      <c r="W159" s="15">
        <f t="shared" si="41"/>
        <v>25.969564429896032</v>
      </c>
      <c r="X159" s="46">
        <f>VLOOKUP(B159,Policy!$B$5:$F$8,5,FALSE)</f>
        <v>0.84162123357291474</v>
      </c>
      <c r="Y159" s="47">
        <f t="shared" si="47"/>
        <v>0.11163767369322539</v>
      </c>
      <c r="Z159" s="43">
        <f t="shared" si="48"/>
        <v>2.8991817597799261</v>
      </c>
      <c r="AA159" s="48">
        <f t="shared" si="37"/>
        <v>0.91486512388333063</v>
      </c>
      <c r="AB159" s="15"/>
      <c r="AC159" s="45">
        <f t="shared" si="38"/>
        <v>55.910521445906568</v>
      </c>
      <c r="AD159" s="15">
        <f t="shared" si="49"/>
        <v>21.856536850840385</v>
      </c>
      <c r="AE159" s="50">
        <f t="shared" si="42"/>
        <v>17.026992297533091</v>
      </c>
      <c r="AF159" s="52">
        <f t="shared" si="39"/>
        <v>35.440534834623506</v>
      </c>
      <c r="AG159" s="51">
        <f t="shared" si="50"/>
        <v>32</v>
      </c>
      <c r="AH159" s="43">
        <f t="shared" si="51"/>
        <v>0.5260800000000001</v>
      </c>
      <c r="AI159" s="53">
        <f>IF(AH159&gt;=Policy!$E$13,Policy!$C$13,IF(Solution!AH159&gt;=Policy!$E$14,Policy!$C$14,IF(Solution!AH159&gt;=Policy!$E$15,Policy!$C$15,IF(Solution!AH159&gt;=Policy!$E$16,Policy!$C$16,IF(Solution!AH159&gt;=Policy!$E$17,Policy!$C$17,IF(Solution!AH159&gt;=Policy!$E$18,Policy!$C$18,IF(AH159&gt;=Policy!$E$19,Policy!$C$19,Policy!$C$20)))))))</f>
        <v>8</v>
      </c>
    </row>
    <row r="160" spans="1:35" x14ac:dyDescent="0.3">
      <c r="A160" s="16" t="s">
        <v>210</v>
      </c>
      <c r="B160" s="14" t="s">
        <v>4</v>
      </c>
      <c r="C160" s="15">
        <v>0</v>
      </c>
      <c r="D160" s="15">
        <v>0</v>
      </c>
      <c r="E160" s="15">
        <v>0</v>
      </c>
      <c r="F160" s="15">
        <v>0</v>
      </c>
      <c r="G160" s="15">
        <v>0</v>
      </c>
      <c r="H160" s="15">
        <v>68.64</v>
      </c>
      <c r="I160" s="15">
        <v>0</v>
      </c>
      <c r="J160" s="15">
        <v>68.16</v>
      </c>
      <c r="K160" s="15">
        <v>0</v>
      </c>
      <c r="L160" s="15">
        <v>204.91</v>
      </c>
      <c r="M160" s="15">
        <v>184.41900000000001</v>
      </c>
      <c r="N160" s="38">
        <v>225.40100000000001</v>
      </c>
      <c r="O160" s="41">
        <f t="shared" si="43"/>
        <v>751.53</v>
      </c>
      <c r="P160" s="15">
        <f t="shared" si="44"/>
        <v>62.627499999999998</v>
      </c>
      <c r="Q160" s="42">
        <f t="shared" si="45"/>
        <v>89.997412380478025</v>
      </c>
      <c r="R160" s="44">
        <f t="shared" si="46"/>
        <v>1.4370270628793744</v>
      </c>
      <c r="S160" s="49"/>
      <c r="T160" s="45">
        <f t="shared" si="36"/>
        <v>72.971575737711234</v>
      </c>
      <c r="U160" s="46">
        <f>VLOOKUP(B160,Policy!$B$5:$J$8,9,FALSE)</f>
        <v>35.440534834623506</v>
      </c>
      <c r="V160" s="15">
        <f t="shared" si="40"/>
        <v>72.971575737711234</v>
      </c>
      <c r="W160" s="15">
        <f t="shared" si="41"/>
        <v>38.124614135654625</v>
      </c>
      <c r="X160" s="46">
        <f>VLOOKUP(B160,Policy!$B$5:$F$8,5,FALSE)</f>
        <v>0.84162123357291474</v>
      </c>
      <c r="Y160" s="47">
        <f t="shared" si="47"/>
        <v>0.11163767369322539</v>
      </c>
      <c r="Z160" s="43">
        <f t="shared" si="48"/>
        <v>4.2561432325563393</v>
      </c>
      <c r="AA160" s="48">
        <f t="shared" si="37"/>
        <v>0.9416739574344043</v>
      </c>
      <c r="AB160" s="15"/>
      <c r="AC160" s="45">
        <f t="shared" si="38"/>
        <v>105.05806051605227</v>
      </c>
      <c r="AD160" s="15">
        <f t="shared" si="49"/>
        <v>32.086484778341031</v>
      </c>
      <c r="AE160" s="50">
        <f t="shared" si="42"/>
        <v>36.485787868855617</v>
      </c>
      <c r="AF160" s="52">
        <f t="shared" si="39"/>
        <v>35.440534834623506</v>
      </c>
      <c r="AG160" s="51">
        <f t="shared" si="50"/>
        <v>32</v>
      </c>
      <c r="AH160" s="43">
        <f t="shared" si="51"/>
        <v>1.1272949999999999</v>
      </c>
      <c r="AI160" s="53">
        <f>IF(AH160&gt;=Policy!$E$13,Policy!$C$13,IF(Solution!AH160&gt;=Policy!$E$14,Policy!$C$14,IF(Solution!AH160&gt;=Policy!$E$15,Policy!$C$15,IF(Solution!AH160&gt;=Policy!$E$16,Policy!$C$16,IF(Solution!AH160&gt;=Policy!$E$17,Policy!$C$17,IF(Solution!AH160&gt;=Policy!$E$18,Policy!$C$18,IF(AH160&gt;=Policy!$E$19,Policy!$C$19,Policy!$C$20)))))))</f>
        <v>8</v>
      </c>
    </row>
    <row r="161" spans="1:35" x14ac:dyDescent="0.3">
      <c r="A161" s="16" t="s">
        <v>211</v>
      </c>
      <c r="B161" s="14" t="s">
        <v>4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341.38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38">
        <v>0</v>
      </c>
      <c r="O161" s="41">
        <f t="shared" si="43"/>
        <v>341.38</v>
      </c>
      <c r="P161" s="15">
        <f t="shared" si="44"/>
        <v>28.448333333333334</v>
      </c>
      <c r="Q161" s="42">
        <f t="shared" si="45"/>
        <v>98.547917447977213</v>
      </c>
      <c r="R161" s="44">
        <f t="shared" si="46"/>
        <v>3.4641016151377544</v>
      </c>
      <c r="S161" s="49"/>
      <c r="T161" s="45">
        <f t="shared" si="36"/>
        <v>33.147095292722661</v>
      </c>
      <c r="U161" s="46">
        <f>VLOOKUP(B161,Policy!$B$5:$J$8,9,FALSE)</f>
        <v>35.440534834623506</v>
      </c>
      <c r="V161" s="15">
        <f t="shared" si="40"/>
        <v>33.147095292722661</v>
      </c>
      <c r="W161" s="15">
        <f t="shared" si="41"/>
        <v>41.690284980682364</v>
      </c>
      <c r="X161" s="46">
        <f>VLOOKUP(B161,Policy!$B$5:$F$8,5,FALSE)</f>
        <v>0.84162123357291474</v>
      </c>
      <c r="Y161" s="47">
        <f t="shared" si="47"/>
        <v>0.11163767369322539</v>
      </c>
      <c r="Z161" s="43">
        <f t="shared" si="48"/>
        <v>4.6542064308509934</v>
      </c>
      <c r="AA161" s="48">
        <f t="shared" si="37"/>
        <v>0.85958931273616579</v>
      </c>
      <c r="AB161" s="15"/>
      <c r="AC161" s="45">
        <f t="shared" si="38"/>
        <v>68.234524366170916</v>
      </c>
      <c r="AD161" s="15">
        <f t="shared" si="49"/>
        <v>35.087429073448249</v>
      </c>
      <c r="AE161" s="50">
        <f t="shared" si="42"/>
        <v>16.57354764636133</v>
      </c>
      <c r="AF161" s="52">
        <f t="shared" si="39"/>
        <v>35.440534834623499</v>
      </c>
      <c r="AG161" s="51">
        <f t="shared" si="50"/>
        <v>32</v>
      </c>
      <c r="AH161" s="43">
        <f t="shared" si="51"/>
        <v>0.51207000000000003</v>
      </c>
      <c r="AI161" s="53">
        <f>IF(AH161&gt;=Policy!$E$13,Policy!$C$13,IF(Solution!AH161&gt;=Policy!$E$14,Policy!$C$14,IF(Solution!AH161&gt;=Policy!$E$15,Policy!$C$15,IF(Solution!AH161&gt;=Policy!$E$16,Policy!$C$16,IF(Solution!AH161&gt;=Policy!$E$17,Policy!$C$17,IF(Solution!AH161&gt;=Policy!$E$18,Policy!$C$18,IF(AH161&gt;=Policy!$E$19,Policy!$C$19,Policy!$C$20)))))))</f>
        <v>8</v>
      </c>
    </row>
    <row r="162" spans="1:35" x14ac:dyDescent="0.3">
      <c r="A162" s="16" t="s">
        <v>212</v>
      </c>
      <c r="B162" s="14" t="s">
        <v>4</v>
      </c>
      <c r="C162" s="15">
        <v>70.8</v>
      </c>
      <c r="D162" s="15">
        <v>0</v>
      </c>
      <c r="E162" s="15">
        <v>0</v>
      </c>
      <c r="F162" s="15">
        <v>0</v>
      </c>
      <c r="G162" s="15">
        <v>0</v>
      </c>
      <c r="H162" s="15">
        <v>106.54</v>
      </c>
      <c r="I162" s="15">
        <v>0</v>
      </c>
      <c r="J162" s="15">
        <v>0</v>
      </c>
      <c r="K162" s="15">
        <v>0</v>
      </c>
      <c r="L162" s="15">
        <v>140.44</v>
      </c>
      <c r="M162" s="15">
        <v>126.396</v>
      </c>
      <c r="N162" s="38">
        <v>154.48400000000001</v>
      </c>
      <c r="O162" s="41">
        <f t="shared" si="43"/>
        <v>598.66</v>
      </c>
      <c r="P162" s="15">
        <f t="shared" si="44"/>
        <v>49.888333333333328</v>
      </c>
      <c r="Q162" s="42">
        <f t="shared" si="45"/>
        <v>64.710481544313751</v>
      </c>
      <c r="R162" s="44">
        <f t="shared" si="46"/>
        <v>1.2971065020742409</v>
      </c>
      <c r="S162" s="49"/>
      <c r="T162" s="45">
        <f t="shared" ref="T162:T193" si="52">(O162/$Y$1)*U162</f>
        <v>58.128302970125226</v>
      </c>
      <c r="U162" s="46">
        <f>VLOOKUP(B162,Policy!$B$5:$J$8,9,FALSE)</f>
        <v>35.440534834623506</v>
      </c>
      <c r="V162" s="15">
        <f t="shared" si="40"/>
        <v>58.128302970125226</v>
      </c>
      <c r="W162" s="15">
        <f t="shared" si="41"/>
        <v>27.422767539975304</v>
      </c>
      <c r="X162" s="46">
        <f>VLOOKUP(B162,Policy!$B$5:$F$8,5,FALSE)</f>
        <v>0.84162123357291474</v>
      </c>
      <c r="Y162" s="47">
        <f t="shared" si="47"/>
        <v>0.11163767369322539</v>
      </c>
      <c r="Z162" s="43">
        <f t="shared" si="48"/>
        <v>3.0614139743929361</v>
      </c>
      <c r="AA162" s="48">
        <f t="shared" si="37"/>
        <v>0.94733350505748748</v>
      </c>
      <c r="AB162" s="15"/>
      <c r="AC162" s="45">
        <f t="shared" si="38"/>
        <v>81.207886415102521</v>
      </c>
      <c r="AD162" s="15">
        <f t="shared" si="49"/>
        <v>23.079583444977299</v>
      </c>
      <c r="AE162" s="50">
        <f t="shared" si="42"/>
        <v>29.064151485062613</v>
      </c>
      <c r="AF162" s="52">
        <f t="shared" si="39"/>
        <v>35.440534834623506</v>
      </c>
      <c r="AG162" s="51">
        <f t="shared" si="50"/>
        <v>32</v>
      </c>
      <c r="AH162" s="43">
        <f t="shared" si="51"/>
        <v>0.89798999999999995</v>
      </c>
      <c r="AI162" s="53">
        <f>IF(AH162&gt;=Policy!$E$13,Policy!$C$13,IF(Solution!AH162&gt;=Policy!$E$14,Policy!$C$14,IF(Solution!AH162&gt;=Policy!$E$15,Policy!$C$15,IF(Solution!AH162&gt;=Policy!$E$16,Policy!$C$16,IF(Solution!AH162&gt;=Policy!$E$17,Policy!$C$17,IF(Solution!AH162&gt;=Policy!$E$18,Policy!$C$18,IF(AH162&gt;=Policy!$E$19,Policy!$C$19,Policy!$C$20)))))))</f>
        <v>8</v>
      </c>
    </row>
    <row r="163" spans="1:35" x14ac:dyDescent="0.3">
      <c r="A163" s="16" t="s">
        <v>213</v>
      </c>
      <c r="B163" s="14" t="s">
        <v>4</v>
      </c>
      <c r="C163" s="15">
        <v>0</v>
      </c>
      <c r="D163" s="15">
        <v>0</v>
      </c>
      <c r="E163" s="15">
        <v>0</v>
      </c>
      <c r="F163" s="15">
        <v>86.62</v>
      </c>
      <c r="G163" s="15">
        <v>0</v>
      </c>
      <c r="H163" s="15">
        <v>86.83</v>
      </c>
      <c r="I163" s="15">
        <v>0</v>
      </c>
      <c r="J163" s="15">
        <v>0</v>
      </c>
      <c r="K163" s="15">
        <v>144.16999999999999</v>
      </c>
      <c r="L163" s="15">
        <v>0</v>
      </c>
      <c r="M163" s="15">
        <v>0</v>
      </c>
      <c r="N163" s="38">
        <v>0</v>
      </c>
      <c r="O163" s="41">
        <f t="shared" si="43"/>
        <v>317.62</v>
      </c>
      <c r="P163" s="15">
        <f t="shared" si="44"/>
        <v>26.468333333333334</v>
      </c>
      <c r="Q163" s="42">
        <f t="shared" si="45"/>
        <v>49.927757051988863</v>
      </c>
      <c r="R163" s="44">
        <f t="shared" si="46"/>
        <v>1.8863203974052842</v>
      </c>
      <c r="S163" s="49"/>
      <c r="T163" s="45">
        <f t="shared" si="52"/>
        <v>30.840062121022243</v>
      </c>
      <c r="U163" s="46">
        <f>VLOOKUP(B163,Policy!$B$5:$J$8,9,FALSE)</f>
        <v>35.440534834623506</v>
      </c>
      <c r="V163" s="15">
        <f t="shared" si="40"/>
        <v>30.840062121022243</v>
      </c>
      <c r="W163" s="15">
        <f t="shared" si="41"/>
        <v>21.135846364769602</v>
      </c>
      <c r="X163" s="46">
        <f>VLOOKUP(B163,Policy!$B$5:$F$8,5,FALSE)</f>
        <v>0.84162123357291474</v>
      </c>
      <c r="Y163" s="47">
        <f t="shared" si="47"/>
        <v>0.11163767369322539</v>
      </c>
      <c r="Z163" s="43">
        <f t="shared" si="48"/>
        <v>2.3595567197002927</v>
      </c>
      <c r="AA163" s="48">
        <f t="shared" si="37"/>
        <v>0.9234905328516867</v>
      </c>
      <c r="AB163" s="15"/>
      <c r="AC163" s="45">
        <f t="shared" si="38"/>
        <v>48.628439211147239</v>
      </c>
      <c r="AD163" s="15">
        <f t="shared" si="49"/>
        <v>17.788377090125</v>
      </c>
      <c r="AE163" s="50">
        <f t="shared" si="42"/>
        <v>15.420031060511121</v>
      </c>
      <c r="AF163" s="52">
        <f t="shared" si="39"/>
        <v>35.440534834623506</v>
      </c>
      <c r="AG163" s="51">
        <f t="shared" si="50"/>
        <v>32</v>
      </c>
      <c r="AH163" s="43">
        <f t="shared" si="51"/>
        <v>0.47643000000000002</v>
      </c>
      <c r="AI163" s="53">
        <f>IF(AH163&gt;=Policy!$E$13,Policy!$C$13,IF(Solution!AH163&gt;=Policy!$E$14,Policy!$C$14,IF(Solution!AH163&gt;=Policy!$E$15,Policy!$C$15,IF(Solution!AH163&gt;=Policy!$E$16,Policy!$C$16,IF(Solution!AH163&gt;=Policy!$E$17,Policy!$C$17,IF(Solution!AH163&gt;=Policy!$E$18,Policy!$C$18,IF(AH163&gt;=Policy!$E$19,Policy!$C$19,Policy!$C$20)))))))</f>
        <v>8</v>
      </c>
    </row>
    <row r="164" spans="1:35" x14ac:dyDescent="0.3">
      <c r="A164" s="16" t="s">
        <v>214</v>
      </c>
      <c r="B164" s="14" t="s">
        <v>4</v>
      </c>
      <c r="C164" s="15">
        <v>0</v>
      </c>
      <c r="D164" s="15">
        <v>0</v>
      </c>
      <c r="E164" s="15">
        <v>64.209999999999994</v>
      </c>
      <c r="F164" s="15">
        <v>21.14</v>
      </c>
      <c r="G164" s="15">
        <v>32.03</v>
      </c>
      <c r="H164" s="15">
        <v>0</v>
      </c>
      <c r="I164" s="15">
        <v>0</v>
      </c>
      <c r="J164" s="15">
        <v>0</v>
      </c>
      <c r="K164" s="15">
        <v>192.87</v>
      </c>
      <c r="L164" s="15">
        <v>0</v>
      </c>
      <c r="M164" s="15">
        <v>0</v>
      </c>
      <c r="N164" s="38">
        <v>0</v>
      </c>
      <c r="O164" s="41">
        <f t="shared" si="43"/>
        <v>310.25</v>
      </c>
      <c r="P164" s="15">
        <f t="shared" si="44"/>
        <v>25.854166666666668</v>
      </c>
      <c r="Q164" s="42">
        <f t="shared" si="45"/>
        <v>56.224651898082975</v>
      </c>
      <c r="R164" s="44">
        <f t="shared" si="46"/>
        <v>2.1746843602804051</v>
      </c>
      <c r="S164" s="49"/>
      <c r="T164" s="45">
        <f t="shared" si="52"/>
        <v>30.124454609429979</v>
      </c>
      <c r="U164" s="46">
        <f>VLOOKUP(B164,Policy!$B$5:$J$8,9,FALSE)</f>
        <v>35.440534834623506</v>
      </c>
      <c r="V164" s="15">
        <f t="shared" si="40"/>
        <v>30.124454609429979</v>
      </c>
      <c r="W164" s="15">
        <f t="shared" si="41"/>
        <v>23.795907310362299</v>
      </c>
      <c r="X164" s="46">
        <f>VLOOKUP(B164,Policy!$B$5:$F$8,5,FALSE)</f>
        <v>0.84162123357291474</v>
      </c>
      <c r="Y164" s="47">
        <f t="shared" si="47"/>
        <v>0.11163767369322539</v>
      </c>
      <c r="Z164" s="43">
        <f t="shared" si="48"/>
        <v>2.6565197355484629</v>
      </c>
      <c r="AA164" s="48">
        <f t="shared" si="37"/>
        <v>0.91181517574373339</v>
      </c>
      <c r="AB164" s="15"/>
      <c r="AC164" s="45">
        <f t="shared" si="38"/>
        <v>50.151595473963837</v>
      </c>
      <c r="AD164" s="15">
        <f t="shared" si="49"/>
        <v>20.027140864533859</v>
      </c>
      <c r="AE164" s="50">
        <f t="shared" si="42"/>
        <v>15.062227304714989</v>
      </c>
      <c r="AF164" s="52">
        <f t="shared" si="39"/>
        <v>35.440534834623506</v>
      </c>
      <c r="AG164" s="51">
        <f t="shared" si="50"/>
        <v>32</v>
      </c>
      <c r="AH164" s="43">
        <f t="shared" si="51"/>
        <v>0.46537499999999998</v>
      </c>
      <c r="AI164" s="53">
        <f>IF(AH164&gt;=Policy!$E$13,Policy!$C$13,IF(Solution!AH164&gt;=Policy!$E$14,Policy!$C$14,IF(Solution!AH164&gt;=Policy!$E$15,Policy!$C$15,IF(Solution!AH164&gt;=Policy!$E$16,Policy!$C$16,IF(Solution!AH164&gt;=Policy!$E$17,Policy!$C$17,IF(Solution!AH164&gt;=Policy!$E$18,Policy!$C$18,IF(AH164&gt;=Policy!$E$19,Policy!$C$19,Policy!$C$20)))))))</f>
        <v>8</v>
      </c>
    </row>
    <row r="165" spans="1:35" x14ac:dyDescent="0.3">
      <c r="A165" s="16" t="s">
        <v>215</v>
      </c>
      <c r="B165" s="14" t="s">
        <v>4</v>
      </c>
      <c r="C165" s="15">
        <v>0</v>
      </c>
      <c r="D165" s="15">
        <v>0</v>
      </c>
      <c r="E165" s="15">
        <v>0</v>
      </c>
      <c r="F165" s="15">
        <v>0</v>
      </c>
      <c r="G165" s="15">
        <v>102.09</v>
      </c>
      <c r="H165" s="15">
        <v>34.07</v>
      </c>
      <c r="I165" s="15">
        <v>136.16</v>
      </c>
      <c r="J165" s="15">
        <v>34.049999999999997</v>
      </c>
      <c r="K165" s="15">
        <v>0</v>
      </c>
      <c r="L165" s="15">
        <v>0</v>
      </c>
      <c r="M165" s="15">
        <v>0</v>
      </c>
      <c r="N165" s="38">
        <v>0</v>
      </c>
      <c r="O165" s="41">
        <f t="shared" si="43"/>
        <v>306.37</v>
      </c>
      <c r="P165" s="15">
        <f t="shared" si="44"/>
        <v>25.530833333333334</v>
      </c>
      <c r="Q165" s="42">
        <f t="shared" si="45"/>
        <v>46.181656818645557</v>
      </c>
      <c r="R165" s="44">
        <f t="shared" si="46"/>
        <v>1.8088581839727997</v>
      </c>
      <c r="S165" s="49"/>
      <c r="T165" s="45">
        <f t="shared" si="52"/>
        <v>29.747716869270146</v>
      </c>
      <c r="U165" s="46">
        <f>VLOOKUP(B165,Policy!$B$5:$J$8,9,FALSE)</f>
        <v>35.440534834623506</v>
      </c>
      <c r="V165" s="15">
        <f t="shared" si="40"/>
        <v>29.747716869270146</v>
      </c>
      <c r="W165" s="15">
        <f t="shared" si="41"/>
        <v>19.551638298272966</v>
      </c>
      <c r="X165" s="46">
        <f>VLOOKUP(B165,Policy!$B$5:$F$8,5,FALSE)</f>
        <v>0.84162123357291474</v>
      </c>
      <c r="Y165" s="47">
        <f t="shared" si="47"/>
        <v>0.11163767369322539</v>
      </c>
      <c r="Z165" s="43">
        <f t="shared" si="48"/>
        <v>2.182699416510566</v>
      </c>
      <c r="AA165" s="48">
        <f t="shared" si="37"/>
        <v>0.9266263214046746</v>
      </c>
      <c r="AB165" s="15"/>
      <c r="AC165" s="45">
        <f t="shared" si="38"/>
        <v>46.202790812234085</v>
      </c>
      <c r="AD165" s="15">
        <f t="shared" si="49"/>
        <v>16.455073942963939</v>
      </c>
      <c r="AE165" s="50">
        <f t="shared" si="42"/>
        <v>14.873858434635073</v>
      </c>
      <c r="AF165" s="52">
        <f t="shared" si="39"/>
        <v>35.440534834623506</v>
      </c>
      <c r="AG165" s="51">
        <f t="shared" si="50"/>
        <v>32</v>
      </c>
      <c r="AH165" s="43">
        <f t="shared" si="51"/>
        <v>0.45955499999999999</v>
      </c>
      <c r="AI165" s="53">
        <f>IF(AH165&gt;=Policy!$E$13,Policy!$C$13,IF(Solution!AH165&gt;=Policy!$E$14,Policy!$C$14,IF(Solution!AH165&gt;=Policy!$E$15,Policy!$C$15,IF(Solution!AH165&gt;=Policy!$E$16,Policy!$C$16,IF(Solution!AH165&gt;=Policy!$E$17,Policy!$C$17,IF(Solution!AH165&gt;=Policy!$E$18,Policy!$C$18,IF(AH165&gt;=Policy!$E$19,Policy!$C$19,Policy!$C$20)))))))</f>
        <v>8</v>
      </c>
    </row>
    <row r="166" spans="1:35" x14ac:dyDescent="0.3">
      <c r="A166" s="16" t="s">
        <v>216</v>
      </c>
      <c r="B166" s="14" t="s">
        <v>4</v>
      </c>
      <c r="C166" s="15">
        <v>0</v>
      </c>
      <c r="D166" s="15">
        <v>50.99</v>
      </c>
      <c r="E166" s="15">
        <v>0</v>
      </c>
      <c r="F166" s="15">
        <v>0</v>
      </c>
      <c r="G166" s="15">
        <v>0</v>
      </c>
      <c r="H166" s="15">
        <v>0</v>
      </c>
      <c r="I166" s="15">
        <v>127.35</v>
      </c>
      <c r="J166" s="15">
        <v>0</v>
      </c>
      <c r="K166" s="15">
        <v>127.21</v>
      </c>
      <c r="L166" s="15">
        <v>0</v>
      </c>
      <c r="M166" s="15">
        <v>0</v>
      </c>
      <c r="N166" s="38">
        <v>0</v>
      </c>
      <c r="O166" s="41">
        <f t="shared" si="43"/>
        <v>305.55</v>
      </c>
      <c r="P166" s="15">
        <f t="shared" si="44"/>
        <v>25.462500000000002</v>
      </c>
      <c r="Q166" s="42">
        <f t="shared" si="45"/>
        <v>49.745095532579441</v>
      </c>
      <c r="R166" s="44">
        <f t="shared" si="46"/>
        <v>1.9536610911175036</v>
      </c>
      <c r="S166" s="49"/>
      <c r="T166" s="45">
        <f t="shared" si="52"/>
        <v>29.668097037586882</v>
      </c>
      <c r="U166" s="46">
        <f>VLOOKUP(B166,Policy!$B$5:$J$8,9,FALSE)</f>
        <v>35.440534834623506</v>
      </c>
      <c r="V166" s="15">
        <f t="shared" si="40"/>
        <v>29.668097037586882</v>
      </c>
      <c r="W166" s="15">
        <f t="shared" si="41"/>
        <v>21.057166329134649</v>
      </c>
      <c r="X166" s="46">
        <f>VLOOKUP(B166,Policy!$B$5:$F$8,5,FALSE)</f>
        <v>0.84162123357291474</v>
      </c>
      <c r="Y166" s="47">
        <f t="shared" si="47"/>
        <v>0.11163767369322539</v>
      </c>
      <c r="Z166" s="43">
        <f t="shared" si="48"/>
        <v>2.3507730635559065</v>
      </c>
      <c r="AA166" s="48">
        <f t="shared" si="37"/>
        <v>0.9207642788623186</v>
      </c>
      <c r="AB166" s="15"/>
      <c r="AC166" s="45">
        <f t="shared" si="38"/>
        <v>47.390255339063231</v>
      </c>
      <c r="AD166" s="15">
        <f t="shared" si="49"/>
        <v>17.722158301476348</v>
      </c>
      <c r="AE166" s="50">
        <f t="shared" si="42"/>
        <v>14.834048518793441</v>
      </c>
      <c r="AF166" s="52">
        <f t="shared" si="39"/>
        <v>35.440534834623506</v>
      </c>
      <c r="AG166" s="51">
        <f t="shared" si="50"/>
        <v>32</v>
      </c>
      <c r="AH166" s="43">
        <f t="shared" si="51"/>
        <v>0.45832499999999998</v>
      </c>
      <c r="AI166" s="53">
        <f>IF(AH166&gt;=Policy!$E$13,Policy!$C$13,IF(Solution!AH166&gt;=Policy!$E$14,Policy!$C$14,IF(Solution!AH166&gt;=Policy!$E$15,Policy!$C$15,IF(Solution!AH166&gt;=Policy!$E$16,Policy!$C$16,IF(Solution!AH166&gt;=Policy!$E$17,Policy!$C$17,IF(Solution!AH166&gt;=Policy!$E$18,Policy!$C$18,IF(AH166&gt;=Policy!$E$19,Policy!$C$19,Policy!$C$20)))))))</f>
        <v>8</v>
      </c>
    </row>
    <row r="167" spans="1:35" x14ac:dyDescent="0.3">
      <c r="A167" s="16" t="s">
        <v>217</v>
      </c>
      <c r="B167" s="14" t="s">
        <v>4</v>
      </c>
      <c r="C167" s="15">
        <v>0</v>
      </c>
      <c r="D167" s="15">
        <v>0</v>
      </c>
      <c r="E167" s="15">
        <v>0</v>
      </c>
      <c r="F167" s="15">
        <v>0</v>
      </c>
      <c r="G167" s="15">
        <v>0</v>
      </c>
      <c r="H167" s="15">
        <v>301.69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38">
        <v>0</v>
      </c>
      <c r="O167" s="41">
        <f t="shared" si="43"/>
        <v>301.69</v>
      </c>
      <c r="P167" s="15">
        <f t="shared" si="44"/>
        <v>25.140833333333333</v>
      </c>
      <c r="Q167" s="42">
        <f t="shared" si="45"/>
        <v>87.090401355909094</v>
      </c>
      <c r="R167" s="44">
        <f t="shared" si="46"/>
        <v>3.4641016151377544</v>
      </c>
      <c r="S167" s="49"/>
      <c r="T167" s="45">
        <f t="shared" si="52"/>
        <v>29.293301244541276</v>
      </c>
      <c r="U167" s="46">
        <f>VLOOKUP(B167,Policy!$B$5:$J$8,9,FALSE)</f>
        <v>35.440534834623506</v>
      </c>
      <c r="V167" s="15">
        <f t="shared" si="40"/>
        <v>29.293301244541276</v>
      </c>
      <c r="W167" s="15">
        <f t="shared" si="41"/>
        <v>36.843230639820909</v>
      </c>
      <c r="X167" s="46">
        <f>VLOOKUP(B167,Policy!$B$5:$F$8,5,FALSE)</f>
        <v>0.84162123357291474</v>
      </c>
      <c r="Y167" s="47">
        <f t="shared" si="47"/>
        <v>0.11163767369322539</v>
      </c>
      <c r="Z167" s="43">
        <f t="shared" si="48"/>
        <v>4.1130925599725705</v>
      </c>
      <c r="AA167" s="48">
        <f t="shared" si="37"/>
        <v>0.85958931273616579</v>
      </c>
      <c r="AB167" s="15"/>
      <c r="AC167" s="45">
        <f t="shared" si="38"/>
        <v>60.301346464438758</v>
      </c>
      <c r="AD167" s="15">
        <f t="shared" si="49"/>
        <v>31.008045219897483</v>
      </c>
      <c r="AE167" s="50">
        <f t="shared" si="42"/>
        <v>14.646650622270638</v>
      </c>
      <c r="AF167" s="52">
        <f t="shared" si="39"/>
        <v>35.440534834623506</v>
      </c>
      <c r="AG167" s="51">
        <f t="shared" si="50"/>
        <v>32</v>
      </c>
      <c r="AH167" s="43">
        <f t="shared" si="51"/>
        <v>0.45253500000000002</v>
      </c>
      <c r="AI167" s="53">
        <f>IF(AH167&gt;=Policy!$E$13,Policy!$C$13,IF(Solution!AH167&gt;=Policy!$E$14,Policy!$C$14,IF(Solution!AH167&gt;=Policy!$E$15,Policy!$C$15,IF(Solution!AH167&gt;=Policy!$E$16,Policy!$C$16,IF(Solution!AH167&gt;=Policy!$E$17,Policy!$C$17,IF(Solution!AH167&gt;=Policy!$E$18,Policy!$C$18,IF(AH167&gt;=Policy!$E$19,Policy!$C$19,Policy!$C$20)))))))</f>
        <v>8</v>
      </c>
    </row>
    <row r="168" spans="1:35" x14ac:dyDescent="0.3">
      <c r="A168" s="16" t="s">
        <v>218</v>
      </c>
      <c r="B168" s="14" t="s">
        <v>4</v>
      </c>
      <c r="C168" s="15">
        <v>0</v>
      </c>
      <c r="D168" s="15">
        <v>119.82</v>
      </c>
      <c r="E168" s="15">
        <v>0</v>
      </c>
      <c r="F168" s="15">
        <v>180.07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38">
        <v>0</v>
      </c>
      <c r="O168" s="41">
        <f t="shared" si="43"/>
        <v>299.89</v>
      </c>
      <c r="P168" s="15">
        <f t="shared" si="44"/>
        <v>24.990833333333331</v>
      </c>
      <c r="Q168" s="42">
        <f t="shared" si="45"/>
        <v>59.7628162684234</v>
      </c>
      <c r="R168" s="44">
        <f t="shared" si="46"/>
        <v>2.3913894935512383</v>
      </c>
      <c r="S168" s="49"/>
      <c r="T168" s="45">
        <f t="shared" si="52"/>
        <v>29.118526004260939</v>
      </c>
      <c r="U168" s="46">
        <f>VLOOKUP(B168,Policy!$B$5:$J$8,9,FALSE)</f>
        <v>35.440534834623506</v>
      </c>
      <c r="V168" s="15">
        <f t="shared" si="40"/>
        <v>29.118526004260939</v>
      </c>
      <c r="W168" s="15">
        <f t="shared" si="41"/>
        <v>25.290234405015035</v>
      </c>
      <c r="X168" s="46">
        <f>VLOOKUP(B168,Policy!$B$5:$F$8,5,FALSE)</f>
        <v>0.84162123357291474</v>
      </c>
      <c r="Y168" s="47">
        <f t="shared" si="47"/>
        <v>0.11163767369322539</v>
      </c>
      <c r="Z168" s="43">
        <f t="shared" si="48"/>
        <v>2.8233429361322506</v>
      </c>
      <c r="AA168" s="48">
        <f t="shared" si="37"/>
        <v>0.90303963409002541</v>
      </c>
      <c r="AB168" s="15"/>
      <c r="AC168" s="45">
        <f t="shared" si="38"/>
        <v>50.403324281557857</v>
      </c>
      <c r="AD168" s="15">
        <f t="shared" si="49"/>
        <v>21.284798277296922</v>
      </c>
      <c r="AE168" s="50">
        <f t="shared" si="42"/>
        <v>14.55926300213047</v>
      </c>
      <c r="AF168" s="52">
        <f t="shared" si="39"/>
        <v>35.440534834623506</v>
      </c>
      <c r="AG168" s="51">
        <f t="shared" si="50"/>
        <v>32</v>
      </c>
      <c r="AH168" s="43">
        <f t="shared" si="51"/>
        <v>0.44983499999999998</v>
      </c>
      <c r="AI168" s="53">
        <f>IF(AH168&gt;=Policy!$E$13,Policy!$C$13,IF(Solution!AH168&gt;=Policy!$E$14,Policy!$C$14,IF(Solution!AH168&gt;=Policy!$E$15,Policy!$C$15,IF(Solution!AH168&gt;=Policy!$E$16,Policy!$C$16,IF(Solution!AH168&gt;=Policy!$E$17,Policy!$C$17,IF(Solution!AH168&gt;=Policy!$E$18,Policy!$C$18,IF(AH168&gt;=Policy!$E$19,Policy!$C$19,Policy!$C$20)))))))</f>
        <v>8</v>
      </c>
    </row>
    <row r="169" spans="1:35" x14ac:dyDescent="0.3">
      <c r="A169" s="16" t="s">
        <v>219</v>
      </c>
      <c r="B169" s="14" t="s">
        <v>4</v>
      </c>
      <c r="C169" s="15">
        <v>0</v>
      </c>
      <c r="D169" s="15">
        <v>29.61</v>
      </c>
      <c r="E169" s="15">
        <v>0</v>
      </c>
      <c r="F169" s="15">
        <v>0</v>
      </c>
      <c r="G169" s="15">
        <v>0</v>
      </c>
      <c r="H169" s="15">
        <v>59.86</v>
      </c>
      <c r="I169" s="15">
        <v>0</v>
      </c>
      <c r="J169" s="15">
        <v>60.08</v>
      </c>
      <c r="K169" s="15">
        <v>0</v>
      </c>
      <c r="L169" s="15">
        <v>149.87</v>
      </c>
      <c r="M169" s="15">
        <v>134.88300000000001</v>
      </c>
      <c r="N169" s="38">
        <v>164.85700000000003</v>
      </c>
      <c r="O169" s="41">
        <f t="shared" si="43"/>
        <v>599.16000000000008</v>
      </c>
      <c r="P169" s="15">
        <f t="shared" si="44"/>
        <v>49.930000000000007</v>
      </c>
      <c r="Q169" s="42">
        <f t="shared" si="45"/>
        <v>64.656990297752316</v>
      </c>
      <c r="R169" s="44">
        <f t="shared" si="46"/>
        <v>1.2949527397907532</v>
      </c>
      <c r="S169" s="49"/>
      <c r="T169" s="45">
        <f t="shared" si="52"/>
        <v>58.176851647980882</v>
      </c>
      <c r="U169" s="46">
        <f>VLOOKUP(B169,Policy!$B$5:$J$8,9,FALSE)</f>
        <v>35.440534834623506</v>
      </c>
      <c r="V169" s="15">
        <f t="shared" si="40"/>
        <v>58.176851647980882</v>
      </c>
      <c r="W169" s="15">
        <f t="shared" si="41"/>
        <v>27.400281934775006</v>
      </c>
      <c r="X169" s="46">
        <f>VLOOKUP(B169,Policy!$B$5:$F$8,5,FALSE)</f>
        <v>0.84162123357291474</v>
      </c>
      <c r="Y169" s="47">
        <f t="shared" si="47"/>
        <v>0.11163767369322539</v>
      </c>
      <c r="Z169" s="43">
        <f t="shared" si="48"/>
        <v>3.0589037337367904</v>
      </c>
      <c r="AA169" s="48">
        <f t="shared" si="37"/>
        <v>0.94742060377818749</v>
      </c>
      <c r="AB169" s="15"/>
      <c r="AC169" s="45">
        <f t="shared" si="38"/>
        <v>81.237510730171877</v>
      </c>
      <c r="AD169" s="15">
        <f t="shared" si="49"/>
        <v>23.060659082190991</v>
      </c>
      <c r="AE169" s="50">
        <f t="shared" si="42"/>
        <v>29.088425823990441</v>
      </c>
      <c r="AF169" s="52">
        <f t="shared" si="39"/>
        <v>35.440534834623506</v>
      </c>
      <c r="AG169" s="51">
        <f t="shared" si="50"/>
        <v>32</v>
      </c>
      <c r="AH169" s="43">
        <f t="shared" si="51"/>
        <v>0.89874000000000009</v>
      </c>
      <c r="AI169" s="53">
        <f>IF(AH169&gt;=Policy!$E$13,Policy!$C$13,IF(Solution!AH169&gt;=Policy!$E$14,Policy!$C$14,IF(Solution!AH169&gt;=Policy!$E$15,Policy!$C$15,IF(Solution!AH169&gt;=Policy!$E$16,Policy!$C$16,IF(Solution!AH169&gt;=Policy!$E$17,Policy!$C$17,IF(Solution!AH169&gt;=Policy!$E$18,Policy!$C$18,IF(AH169&gt;=Policy!$E$19,Policy!$C$19,Policy!$C$20)))))))</f>
        <v>8</v>
      </c>
    </row>
    <row r="170" spans="1:35" x14ac:dyDescent="0.3">
      <c r="A170" s="16" t="s">
        <v>220</v>
      </c>
      <c r="B170" s="14" t="s">
        <v>4</v>
      </c>
      <c r="C170" s="15">
        <v>0</v>
      </c>
      <c r="D170" s="15">
        <v>0</v>
      </c>
      <c r="E170" s="15">
        <v>59.42</v>
      </c>
      <c r="F170" s="15">
        <v>0</v>
      </c>
      <c r="G170" s="15">
        <v>59.8</v>
      </c>
      <c r="H170" s="15">
        <v>0</v>
      </c>
      <c r="I170" s="15">
        <v>119.63</v>
      </c>
      <c r="J170" s="15">
        <v>0</v>
      </c>
      <c r="K170" s="15">
        <v>59.69</v>
      </c>
      <c r="L170" s="15">
        <v>0</v>
      </c>
      <c r="M170" s="15">
        <v>0</v>
      </c>
      <c r="N170" s="38">
        <v>0</v>
      </c>
      <c r="O170" s="41">
        <f t="shared" si="43"/>
        <v>298.53999999999996</v>
      </c>
      <c r="P170" s="15">
        <f t="shared" si="44"/>
        <v>24.87833333333333</v>
      </c>
      <c r="Q170" s="42">
        <f t="shared" si="45"/>
        <v>39.947501647522181</v>
      </c>
      <c r="R170" s="44">
        <f t="shared" si="46"/>
        <v>1.6057145433451672</v>
      </c>
      <c r="S170" s="49"/>
      <c r="T170" s="45">
        <f t="shared" si="52"/>
        <v>28.987444574050688</v>
      </c>
      <c r="U170" s="46">
        <f>VLOOKUP(B170,Policy!$B$5:$J$8,9,FALSE)</f>
        <v>35.440534834623506</v>
      </c>
      <c r="V170" s="15">
        <f t="shared" si="40"/>
        <v>28.987444574050688</v>
      </c>
      <c r="W170" s="15">
        <f t="shared" si="41"/>
        <v>16.91701804038718</v>
      </c>
      <c r="X170" s="46">
        <f>VLOOKUP(B170,Policy!$B$5:$F$8,5,FALSE)</f>
        <v>0.84162123357291474</v>
      </c>
      <c r="Y170" s="47">
        <f t="shared" si="47"/>
        <v>0.11163767369322539</v>
      </c>
      <c r="Z170" s="43">
        <f t="shared" si="48"/>
        <v>1.8885765398551513</v>
      </c>
      <c r="AA170" s="48">
        <f t="shared" si="37"/>
        <v>0.93484846396064214</v>
      </c>
      <c r="AB170" s="15"/>
      <c r="AC170" s="45">
        <f t="shared" si="38"/>
        <v>43.225166165576596</v>
      </c>
      <c r="AD170" s="15">
        <f t="shared" si="49"/>
        <v>14.237721591525911</v>
      </c>
      <c r="AE170" s="50">
        <f t="shared" si="42"/>
        <v>14.493722287025344</v>
      </c>
      <c r="AF170" s="52">
        <f t="shared" si="39"/>
        <v>35.440534834623506</v>
      </c>
      <c r="AG170" s="51">
        <f t="shared" si="50"/>
        <v>32</v>
      </c>
      <c r="AH170" s="43">
        <f t="shared" si="51"/>
        <v>0.44780999999999993</v>
      </c>
      <c r="AI170" s="53">
        <f>IF(AH170&gt;=Policy!$E$13,Policy!$C$13,IF(Solution!AH170&gt;=Policy!$E$14,Policy!$C$14,IF(Solution!AH170&gt;=Policy!$E$15,Policy!$C$15,IF(Solution!AH170&gt;=Policy!$E$16,Policy!$C$16,IF(Solution!AH170&gt;=Policy!$E$17,Policy!$C$17,IF(Solution!AH170&gt;=Policy!$E$18,Policy!$C$18,IF(AH170&gt;=Policy!$E$19,Policy!$C$19,Policy!$C$20)))))))</f>
        <v>8</v>
      </c>
    </row>
    <row r="171" spans="1:35" x14ac:dyDescent="0.3">
      <c r="A171" s="16" t="s">
        <v>221</v>
      </c>
      <c r="B171" s="14" t="s">
        <v>4</v>
      </c>
      <c r="C171" s="15">
        <v>0</v>
      </c>
      <c r="D171" s="15">
        <v>0</v>
      </c>
      <c r="E171" s="15">
        <v>33.14</v>
      </c>
      <c r="F171" s="15">
        <v>0</v>
      </c>
      <c r="G171" s="15">
        <v>0</v>
      </c>
      <c r="H171" s="15">
        <v>99.19</v>
      </c>
      <c r="I171" s="15">
        <v>0</v>
      </c>
      <c r="J171" s="15">
        <v>0</v>
      </c>
      <c r="K171" s="15">
        <v>0</v>
      </c>
      <c r="L171" s="15">
        <v>165.49</v>
      </c>
      <c r="M171" s="15">
        <v>148.941</v>
      </c>
      <c r="N171" s="38">
        <v>182.03900000000002</v>
      </c>
      <c r="O171" s="41">
        <f t="shared" si="43"/>
        <v>628.79999999999995</v>
      </c>
      <c r="P171" s="15">
        <f t="shared" si="44"/>
        <v>52.4</v>
      </c>
      <c r="Q171" s="42">
        <f t="shared" si="45"/>
        <v>74.282234999665008</v>
      </c>
      <c r="R171" s="44">
        <f t="shared" si="46"/>
        <v>1.4175999045737597</v>
      </c>
      <c r="S171" s="49"/>
      <c r="T171" s="45">
        <f t="shared" si="52"/>
        <v>61.054817271263722</v>
      </c>
      <c r="U171" s="46">
        <f>VLOOKUP(B171,Policy!$B$5:$J$8,9,FALSE)</f>
        <v>35.440534834623506</v>
      </c>
      <c r="V171" s="15">
        <f t="shared" si="40"/>
        <v>61.054817271263722</v>
      </c>
      <c r="W171" s="15">
        <f t="shared" si="41"/>
        <v>31.468784558633022</v>
      </c>
      <c r="X171" s="46">
        <f>VLOOKUP(B171,Policy!$B$5:$F$8,5,FALSE)</f>
        <v>0.84162123357291474</v>
      </c>
      <c r="Y171" s="47">
        <f t="shared" si="47"/>
        <v>0.11163767369322539</v>
      </c>
      <c r="Z171" s="43">
        <f t="shared" si="48"/>
        <v>3.5131019020790828</v>
      </c>
      <c r="AA171" s="48">
        <f t="shared" si="37"/>
        <v>0.94245987361700656</v>
      </c>
      <c r="AB171" s="15"/>
      <c r="AC171" s="45">
        <f t="shared" si="38"/>
        <v>87.539614550540733</v>
      </c>
      <c r="AD171" s="15">
        <f t="shared" si="49"/>
        <v>26.484797279277014</v>
      </c>
      <c r="AE171" s="50">
        <f t="shared" si="42"/>
        <v>30.527408635631861</v>
      </c>
      <c r="AF171" s="52">
        <f t="shared" si="39"/>
        <v>35.440534834623506</v>
      </c>
      <c r="AG171" s="51">
        <f t="shared" si="50"/>
        <v>32</v>
      </c>
      <c r="AH171" s="43">
        <f t="shared" si="51"/>
        <v>0.94320000000000004</v>
      </c>
      <c r="AI171" s="53">
        <f>IF(AH171&gt;=Policy!$E$13,Policy!$C$13,IF(Solution!AH171&gt;=Policy!$E$14,Policy!$C$14,IF(Solution!AH171&gt;=Policy!$E$15,Policy!$C$15,IF(Solution!AH171&gt;=Policy!$E$16,Policy!$C$16,IF(Solution!AH171&gt;=Policy!$E$17,Policy!$C$17,IF(Solution!AH171&gt;=Policy!$E$18,Policy!$C$18,IF(AH171&gt;=Policy!$E$19,Policy!$C$19,Policy!$C$20)))))))</f>
        <v>8</v>
      </c>
    </row>
    <row r="172" spans="1:35" x14ac:dyDescent="0.3">
      <c r="A172" s="16" t="s">
        <v>222</v>
      </c>
      <c r="B172" s="14" t="s">
        <v>4</v>
      </c>
      <c r="C172" s="15">
        <v>0</v>
      </c>
      <c r="D172" s="15">
        <v>0</v>
      </c>
      <c r="E172" s="15">
        <v>68.44</v>
      </c>
      <c r="F172" s="15">
        <v>68.39</v>
      </c>
      <c r="G172" s="15">
        <v>57.1</v>
      </c>
      <c r="H172" s="15">
        <v>0</v>
      </c>
      <c r="I172" s="15">
        <v>68.44</v>
      </c>
      <c r="J172" s="15">
        <v>0</v>
      </c>
      <c r="K172" s="15">
        <v>0</v>
      </c>
      <c r="L172" s="15">
        <v>34.159999999999997</v>
      </c>
      <c r="M172" s="15">
        <v>30.743999999999996</v>
      </c>
      <c r="N172" s="38">
        <v>37.576000000000001</v>
      </c>
      <c r="O172" s="41">
        <f t="shared" si="43"/>
        <v>364.84999999999997</v>
      </c>
      <c r="P172" s="15">
        <f t="shared" si="44"/>
        <v>30.404166666666665</v>
      </c>
      <c r="Q172" s="42">
        <f t="shared" si="45"/>
        <v>29.75164472713562</v>
      </c>
      <c r="R172" s="44">
        <f t="shared" si="46"/>
        <v>0.97853840407188564</v>
      </c>
      <c r="S172" s="49"/>
      <c r="T172" s="45">
        <f t="shared" si="52"/>
        <v>35.42597023126681</v>
      </c>
      <c r="U172" s="46">
        <f>VLOOKUP(B172,Policy!$B$5:$J$8,9,FALSE)</f>
        <v>35.440534834623506</v>
      </c>
      <c r="V172" s="15">
        <f t="shared" si="40"/>
        <v>35.42597023126681</v>
      </c>
      <c r="W172" s="15">
        <f t="shared" si="41"/>
        <v>12.627147174652944</v>
      </c>
      <c r="X172" s="46">
        <f>VLOOKUP(B172,Policy!$B$5:$F$8,5,FALSE)</f>
        <v>0.84162123357291474</v>
      </c>
      <c r="Y172" s="47">
        <f t="shared" si="47"/>
        <v>0.11163767369322539</v>
      </c>
      <c r="Z172" s="43">
        <f t="shared" si="48"/>
        <v>1.4096653359602382</v>
      </c>
      <c r="AA172" s="48">
        <f t="shared" si="37"/>
        <v>0.9602081375116136</v>
      </c>
      <c r="AB172" s="15"/>
      <c r="AC172" s="45">
        <f t="shared" si="38"/>
        <v>46.053245412904964</v>
      </c>
      <c r="AD172" s="15">
        <f t="shared" si="49"/>
        <v>10.627275181638156</v>
      </c>
      <c r="AE172" s="50">
        <f t="shared" si="42"/>
        <v>17.712985115633405</v>
      </c>
      <c r="AF172" s="52">
        <f t="shared" si="39"/>
        <v>35.440534834623506</v>
      </c>
      <c r="AG172" s="51">
        <f t="shared" si="50"/>
        <v>32</v>
      </c>
      <c r="AH172" s="43">
        <f t="shared" si="51"/>
        <v>0.54727499999999996</v>
      </c>
      <c r="AI172" s="53">
        <f>IF(AH172&gt;=Policy!$E$13,Policy!$C$13,IF(Solution!AH172&gt;=Policy!$E$14,Policy!$C$14,IF(Solution!AH172&gt;=Policy!$E$15,Policy!$C$15,IF(Solution!AH172&gt;=Policy!$E$16,Policy!$C$16,IF(Solution!AH172&gt;=Policy!$E$17,Policy!$C$17,IF(Solution!AH172&gt;=Policy!$E$18,Policy!$C$18,IF(AH172&gt;=Policy!$E$19,Policy!$C$19,Policy!$C$20)))))))</f>
        <v>8</v>
      </c>
    </row>
    <row r="173" spans="1:35" x14ac:dyDescent="0.3">
      <c r="A173" s="16" t="s">
        <v>223</v>
      </c>
      <c r="B173" s="14" t="s">
        <v>4</v>
      </c>
      <c r="C173" s="15">
        <v>0</v>
      </c>
      <c r="D173" s="15">
        <v>0</v>
      </c>
      <c r="E173" s="15">
        <v>32.28</v>
      </c>
      <c r="F173" s="15">
        <v>0</v>
      </c>
      <c r="G173" s="15">
        <v>162.24</v>
      </c>
      <c r="H173" s="15">
        <v>0</v>
      </c>
      <c r="I173" s="15">
        <v>0</v>
      </c>
      <c r="J173" s="15">
        <v>0</v>
      </c>
      <c r="K173" s="15">
        <v>96.86</v>
      </c>
      <c r="L173" s="15">
        <v>0</v>
      </c>
      <c r="M173" s="15">
        <v>0</v>
      </c>
      <c r="N173" s="38">
        <v>0</v>
      </c>
      <c r="O173" s="41">
        <f t="shared" si="43"/>
        <v>291.38</v>
      </c>
      <c r="P173" s="15">
        <f t="shared" si="44"/>
        <v>24.281666666666666</v>
      </c>
      <c r="Q173" s="42">
        <f t="shared" si="45"/>
        <v>51.935697625802511</v>
      </c>
      <c r="R173" s="44">
        <f t="shared" si="46"/>
        <v>2.1388852066361115</v>
      </c>
      <c r="S173" s="49"/>
      <c r="T173" s="45">
        <f t="shared" si="52"/>
        <v>28.292227507157801</v>
      </c>
      <c r="U173" s="46">
        <f>VLOOKUP(B173,Policy!$B$5:$J$8,9,FALSE)</f>
        <v>35.440534834623506</v>
      </c>
      <c r="V173" s="15">
        <f t="shared" si="40"/>
        <v>28.292227507157801</v>
      </c>
      <c r="W173" s="15">
        <f t="shared" si="41"/>
        <v>21.981227252662269</v>
      </c>
      <c r="X173" s="46">
        <f>VLOOKUP(B173,Policy!$B$5:$F$8,5,FALSE)</f>
        <v>0.84162123357291474</v>
      </c>
      <c r="Y173" s="47">
        <f t="shared" si="47"/>
        <v>0.11163767369322539</v>
      </c>
      <c r="Z173" s="43">
        <f t="shared" si="48"/>
        <v>2.4539330754093434</v>
      </c>
      <c r="AA173" s="48">
        <f t="shared" si="37"/>
        <v>0.91326476238788512</v>
      </c>
      <c r="AB173" s="15"/>
      <c r="AC173" s="45">
        <f t="shared" si="38"/>
        <v>46.79209510298999</v>
      </c>
      <c r="AD173" s="15">
        <f t="shared" si="49"/>
        <v>18.499867595832189</v>
      </c>
      <c r="AE173" s="50">
        <f t="shared" si="42"/>
        <v>14.1461137535789</v>
      </c>
      <c r="AF173" s="52">
        <f t="shared" si="39"/>
        <v>35.440534834623506</v>
      </c>
      <c r="AG173" s="51">
        <f t="shared" si="50"/>
        <v>32</v>
      </c>
      <c r="AH173" s="43">
        <f t="shared" si="51"/>
        <v>0.43707000000000001</v>
      </c>
      <c r="AI173" s="53">
        <f>IF(AH173&gt;=Policy!$E$13,Policy!$C$13,IF(Solution!AH173&gt;=Policy!$E$14,Policy!$C$14,IF(Solution!AH173&gt;=Policy!$E$15,Policy!$C$15,IF(Solution!AH173&gt;=Policy!$E$16,Policy!$C$16,IF(Solution!AH173&gt;=Policy!$E$17,Policy!$C$17,IF(Solution!AH173&gt;=Policy!$E$18,Policy!$C$18,IF(AH173&gt;=Policy!$E$19,Policy!$C$19,Policy!$C$20)))))))</f>
        <v>8</v>
      </c>
    </row>
    <row r="174" spans="1:35" x14ac:dyDescent="0.3">
      <c r="A174" s="16" t="s">
        <v>224</v>
      </c>
      <c r="B174" s="14" t="s">
        <v>4</v>
      </c>
      <c r="C174" s="15">
        <v>0</v>
      </c>
      <c r="D174" s="15">
        <v>0</v>
      </c>
      <c r="E174" s="15">
        <v>0</v>
      </c>
      <c r="F174" s="15">
        <v>142.44999999999999</v>
      </c>
      <c r="G174" s="15">
        <v>0</v>
      </c>
      <c r="H174" s="15">
        <v>0</v>
      </c>
      <c r="I174" s="15">
        <v>0</v>
      </c>
      <c r="J174" s="15">
        <v>0</v>
      </c>
      <c r="K174" s="15">
        <v>148.75</v>
      </c>
      <c r="L174" s="15">
        <v>0</v>
      </c>
      <c r="M174" s="15">
        <v>0</v>
      </c>
      <c r="N174" s="38">
        <v>0</v>
      </c>
      <c r="O174" s="41">
        <f t="shared" si="43"/>
        <v>291.2</v>
      </c>
      <c r="P174" s="15">
        <f t="shared" si="44"/>
        <v>24.266666666666666</v>
      </c>
      <c r="Q174" s="42">
        <f t="shared" si="45"/>
        <v>56.690637087029927</v>
      </c>
      <c r="R174" s="44">
        <f t="shared" si="46"/>
        <v>2.3361526272127717</v>
      </c>
      <c r="S174" s="49"/>
      <c r="T174" s="45">
        <f t="shared" si="52"/>
        <v>28.274749983129766</v>
      </c>
      <c r="U174" s="46">
        <f>VLOOKUP(B174,Policy!$B$5:$J$8,9,FALSE)</f>
        <v>35.440534834623506</v>
      </c>
      <c r="V174" s="15">
        <f t="shared" si="40"/>
        <v>28.274749983129766</v>
      </c>
      <c r="W174" s="15">
        <f t="shared" si="41"/>
        <v>23.990837963763376</v>
      </c>
      <c r="X174" s="46">
        <f>VLOOKUP(B174,Policy!$B$5:$F$8,5,FALSE)</f>
        <v>0.84162123357291474</v>
      </c>
      <c r="Y174" s="47">
        <f t="shared" si="47"/>
        <v>0.11163767369322539</v>
      </c>
      <c r="Z174" s="43">
        <f t="shared" si="48"/>
        <v>2.6782813402256593</v>
      </c>
      <c r="AA174" s="48">
        <f t="shared" si="37"/>
        <v>0.90527656860542827</v>
      </c>
      <c r="AB174" s="15"/>
      <c r="AC174" s="45">
        <f t="shared" si="38"/>
        <v>48.465948624640212</v>
      </c>
      <c r="AD174" s="15">
        <f t="shared" si="49"/>
        <v>20.191198641510447</v>
      </c>
      <c r="AE174" s="50">
        <f t="shared" si="42"/>
        <v>14.137374991564883</v>
      </c>
      <c r="AF174" s="52">
        <f t="shared" si="39"/>
        <v>35.440534834623506</v>
      </c>
      <c r="AG174" s="51">
        <f t="shared" si="50"/>
        <v>32</v>
      </c>
      <c r="AH174" s="43">
        <f t="shared" si="51"/>
        <v>0.43680000000000002</v>
      </c>
      <c r="AI174" s="53">
        <f>IF(AH174&gt;=Policy!$E$13,Policy!$C$13,IF(Solution!AH174&gt;=Policy!$E$14,Policy!$C$14,IF(Solution!AH174&gt;=Policy!$E$15,Policy!$C$15,IF(Solution!AH174&gt;=Policy!$E$16,Policy!$C$16,IF(Solution!AH174&gt;=Policy!$E$17,Policy!$C$17,IF(Solution!AH174&gt;=Policy!$E$18,Policy!$C$18,IF(AH174&gt;=Policy!$E$19,Policy!$C$19,Policy!$C$20)))))))</f>
        <v>8</v>
      </c>
    </row>
    <row r="175" spans="1:35" x14ac:dyDescent="0.3">
      <c r="A175" s="16" t="s">
        <v>225</v>
      </c>
      <c r="B175" s="14" t="s">
        <v>4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282.99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38">
        <v>0</v>
      </c>
      <c r="O175" s="41">
        <f t="shared" si="43"/>
        <v>282.99</v>
      </c>
      <c r="P175" s="15">
        <f t="shared" si="44"/>
        <v>23.5825</v>
      </c>
      <c r="Q175" s="42">
        <f t="shared" si="45"/>
        <v>81.692176338986101</v>
      </c>
      <c r="R175" s="44">
        <f t="shared" si="46"/>
        <v>3.4641016151377548</v>
      </c>
      <c r="S175" s="49"/>
      <c r="T175" s="45">
        <f t="shared" si="52"/>
        <v>27.477580692740016</v>
      </c>
      <c r="U175" s="46">
        <f>VLOOKUP(B175,Policy!$B$5:$J$8,9,FALSE)</f>
        <v>35.440534834623506</v>
      </c>
      <c r="V175" s="15">
        <f t="shared" si="40"/>
        <v>27.477580692740016</v>
      </c>
      <c r="W175" s="15">
        <f t="shared" si="41"/>
        <v>34.559534087185256</v>
      </c>
      <c r="X175" s="46">
        <f>VLOOKUP(B175,Policy!$B$5:$F$8,5,FALSE)</f>
        <v>0.84162123357291474</v>
      </c>
      <c r="Y175" s="47">
        <f t="shared" si="47"/>
        <v>0.11163767369322539</v>
      </c>
      <c r="Z175" s="43">
        <f t="shared" si="48"/>
        <v>3.8581459894150876</v>
      </c>
      <c r="AA175" s="48">
        <f t="shared" si="37"/>
        <v>0.85958931273616579</v>
      </c>
      <c r="AB175" s="15"/>
      <c r="AC175" s="45">
        <f t="shared" si="38"/>
        <v>56.563618402902065</v>
      </c>
      <c r="AD175" s="15">
        <f t="shared" si="49"/>
        <v>29.086037710162049</v>
      </c>
      <c r="AE175" s="50">
        <f t="shared" si="42"/>
        <v>13.738790346370008</v>
      </c>
      <c r="AF175" s="52">
        <f t="shared" si="39"/>
        <v>35.440534834623506</v>
      </c>
      <c r="AG175" s="51">
        <f t="shared" si="50"/>
        <v>32</v>
      </c>
      <c r="AH175" s="43">
        <f t="shared" si="51"/>
        <v>0.424485</v>
      </c>
      <c r="AI175" s="53">
        <f>IF(AH175&gt;=Policy!$E$13,Policy!$C$13,IF(Solution!AH175&gt;=Policy!$E$14,Policy!$C$14,IF(Solution!AH175&gt;=Policy!$E$15,Policy!$C$15,IF(Solution!AH175&gt;=Policy!$E$16,Policy!$C$16,IF(Solution!AH175&gt;=Policy!$E$17,Policy!$C$17,IF(Solution!AH175&gt;=Policy!$E$18,Policy!$C$18,IF(AH175&gt;=Policy!$E$19,Policy!$C$19,Policy!$C$20)))))))</f>
        <v>8</v>
      </c>
    </row>
    <row r="176" spans="1:35" x14ac:dyDescent="0.3">
      <c r="A176" s="16" t="s">
        <v>226</v>
      </c>
      <c r="B176" s="14" t="s">
        <v>4</v>
      </c>
      <c r="C176" s="15">
        <v>125.14</v>
      </c>
      <c r="D176" s="15">
        <v>156.80000000000001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38">
        <v>0</v>
      </c>
      <c r="O176" s="41">
        <f t="shared" si="43"/>
        <v>281.94</v>
      </c>
      <c r="P176" s="15">
        <f t="shared" si="44"/>
        <v>23.495000000000001</v>
      </c>
      <c r="Q176" s="42">
        <f t="shared" si="45"/>
        <v>55.286098285521689</v>
      </c>
      <c r="R176" s="44">
        <f t="shared" si="46"/>
        <v>2.3531005867427832</v>
      </c>
      <c r="S176" s="49"/>
      <c r="T176" s="45">
        <f t="shared" si="52"/>
        <v>27.375628469243157</v>
      </c>
      <c r="U176" s="46">
        <f>VLOOKUP(B176,Policy!$B$5:$J$8,9,FALSE)</f>
        <v>35.440534834623506</v>
      </c>
      <c r="V176" s="15">
        <f t="shared" si="40"/>
        <v>27.375628469243157</v>
      </c>
      <c r="W176" s="15">
        <f t="shared" si="41"/>
        <v>23.396245050411004</v>
      </c>
      <c r="X176" s="46">
        <f>VLOOKUP(B176,Policy!$B$5:$F$8,5,FALSE)</f>
        <v>0.84162123357291474</v>
      </c>
      <c r="Y176" s="47">
        <f t="shared" si="47"/>
        <v>0.11163767369322539</v>
      </c>
      <c r="Z176" s="43">
        <f t="shared" si="48"/>
        <v>2.6119023705845232</v>
      </c>
      <c r="AA176" s="48">
        <f t="shared" si="37"/>
        <v>0.90459023165371244</v>
      </c>
      <c r="AB176" s="15"/>
      <c r="AC176" s="45">
        <f t="shared" si="38"/>
        <v>47.066405089544268</v>
      </c>
      <c r="AD176" s="15">
        <f t="shared" si="49"/>
        <v>19.690776620301111</v>
      </c>
      <c r="AE176" s="50">
        <f t="shared" si="42"/>
        <v>13.687814234621579</v>
      </c>
      <c r="AF176" s="52">
        <f t="shared" si="39"/>
        <v>35.440534834623506</v>
      </c>
      <c r="AG176" s="51">
        <f t="shared" si="50"/>
        <v>32</v>
      </c>
      <c r="AH176" s="43">
        <f t="shared" si="51"/>
        <v>0.42291000000000001</v>
      </c>
      <c r="AI176" s="53">
        <f>IF(AH176&gt;=Policy!$E$13,Policy!$C$13,IF(Solution!AH176&gt;=Policy!$E$14,Policy!$C$14,IF(Solution!AH176&gt;=Policy!$E$15,Policy!$C$15,IF(Solution!AH176&gt;=Policy!$E$16,Policy!$C$16,IF(Solution!AH176&gt;=Policy!$E$17,Policy!$C$17,IF(Solution!AH176&gt;=Policy!$E$18,Policy!$C$18,IF(AH176&gt;=Policy!$E$19,Policy!$C$19,Policy!$C$20)))))))</f>
        <v>8</v>
      </c>
    </row>
    <row r="177" spans="1:35" x14ac:dyDescent="0.3">
      <c r="A177" s="16" t="s">
        <v>227</v>
      </c>
      <c r="B177" s="14" t="s">
        <v>4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279.62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38">
        <v>0</v>
      </c>
      <c r="O177" s="41">
        <f t="shared" si="43"/>
        <v>279.62</v>
      </c>
      <c r="P177" s="15">
        <f t="shared" si="44"/>
        <v>23.301666666666666</v>
      </c>
      <c r="Q177" s="42">
        <f t="shared" si="45"/>
        <v>80.719341135401578</v>
      </c>
      <c r="R177" s="44">
        <f t="shared" si="46"/>
        <v>3.4641016151377548</v>
      </c>
      <c r="S177" s="49"/>
      <c r="T177" s="45">
        <f t="shared" si="52"/>
        <v>27.150362603992946</v>
      </c>
      <c r="U177" s="46">
        <f>VLOOKUP(B177,Policy!$B$5:$J$8,9,FALSE)</f>
        <v>35.440534834623506</v>
      </c>
      <c r="V177" s="15">
        <f t="shared" si="40"/>
        <v>27.150362603992946</v>
      </c>
      <c r="W177" s="15">
        <f t="shared" si="41"/>
        <v>34.147980216469641</v>
      </c>
      <c r="X177" s="46">
        <f>VLOOKUP(B177,Policy!$B$5:$F$8,5,FALSE)</f>
        <v>0.84162123357291474</v>
      </c>
      <c r="Y177" s="47">
        <f t="shared" si="47"/>
        <v>0.11163767369322539</v>
      </c>
      <c r="Z177" s="43">
        <f t="shared" si="48"/>
        <v>3.8122010726889539</v>
      </c>
      <c r="AA177" s="48">
        <f t="shared" si="37"/>
        <v>0.85958931273616579</v>
      </c>
      <c r="AB177" s="15"/>
      <c r="AC177" s="45">
        <f t="shared" si="38"/>
        <v>55.890027837801611</v>
      </c>
      <c r="AD177" s="15">
        <f t="shared" si="49"/>
        <v>28.739665233808669</v>
      </c>
      <c r="AE177" s="50">
        <f t="shared" si="42"/>
        <v>13.575181301996473</v>
      </c>
      <c r="AF177" s="52">
        <f t="shared" si="39"/>
        <v>35.440534834623506</v>
      </c>
      <c r="AG177" s="51">
        <f t="shared" si="50"/>
        <v>32</v>
      </c>
      <c r="AH177" s="43">
        <f t="shared" si="51"/>
        <v>0.41943000000000003</v>
      </c>
      <c r="AI177" s="53">
        <f>IF(AH177&gt;=Policy!$E$13,Policy!$C$13,IF(Solution!AH177&gt;=Policy!$E$14,Policy!$C$14,IF(Solution!AH177&gt;=Policy!$E$15,Policy!$C$15,IF(Solution!AH177&gt;=Policy!$E$16,Policy!$C$16,IF(Solution!AH177&gt;=Policy!$E$17,Policy!$C$17,IF(Solution!AH177&gt;=Policy!$E$18,Policy!$C$18,IF(AH177&gt;=Policy!$E$19,Policy!$C$19,Policy!$C$20)))))))</f>
        <v>8</v>
      </c>
    </row>
    <row r="178" spans="1:35" x14ac:dyDescent="0.3">
      <c r="A178" s="16" t="s">
        <v>228</v>
      </c>
      <c r="B178" s="14" t="s">
        <v>4</v>
      </c>
      <c r="C178" s="15">
        <v>0</v>
      </c>
      <c r="D178" s="15">
        <v>0</v>
      </c>
      <c r="E178" s="15">
        <v>0</v>
      </c>
      <c r="F178" s="15">
        <v>0</v>
      </c>
      <c r="G178" s="15">
        <v>0</v>
      </c>
      <c r="H178" s="15">
        <v>69.8</v>
      </c>
      <c r="I178" s="15">
        <v>104.76</v>
      </c>
      <c r="J178" s="15">
        <v>104.88</v>
      </c>
      <c r="K178" s="15">
        <v>0</v>
      </c>
      <c r="L178" s="15">
        <v>0</v>
      </c>
      <c r="M178" s="15">
        <v>0</v>
      </c>
      <c r="N178" s="38">
        <v>0</v>
      </c>
      <c r="O178" s="41">
        <f t="shared" si="43"/>
        <v>279.44</v>
      </c>
      <c r="P178" s="15">
        <f t="shared" si="44"/>
        <v>23.286666666666665</v>
      </c>
      <c r="Q178" s="42">
        <f t="shared" si="45"/>
        <v>43.000302183575265</v>
      </c>
      <c r="R178" s="44">
        <f t="shared" si="46"/>
        <v>1.8465632200218409</v>
      </c>
      <c r="S178" s="49"/>
      <c r="T178" s="45">
        <f t="shared" si="52"/>
        <v>27.132885079964911</v>
      </c>
      <c r="U178" s="46">
        <f>VLOOKUP(B178,Policy!$B$5:$J$8,9,FALSE)</f>
        <v>35.440534834623506</v>
      </c>
      <c r="V178" s="15">
        <f t="shared" si="40"/>
        <v>27.132885079964911</v>
      </c>
      <c r="W178" s="15">
        <f t="shared" si="41"/>
        <v>18.204008724240722</v>
      </c>
      <c r="X178" s="46">
        <f>VLOOKUP(B178,Policy!$B$5:$F$8,5,FALSE)</f>
        <v>0.84162123357291474</v>
      </c>
      <c r="Y178" s="47">
        <f t="shared" si="47"/>
        <v>0.11163767369322539</v>
      </c>
      <c r="Z178" s="43">
        <f t="shared" si="48"/>
        <v>2.032253185865414</v>
      </c>
      <c r="AA178" s="48">
        <f t="shared" si="37"/>
        <v>0.92509999655856567</v>
      </c>
      <c r="AB178" s="15"/>
      <c r="AC178" s="45">
        <f t="shared" si="38"/>
        <v>42.453765358432491</v>
      </c>
      <c r="AD178" s="15">
        <f t="shared" si="49"/>
        <v>15.320880278467579</v>
      </c>
      <c r="AE178" s="50">
        <f t="shared" si="42"/>
        <v>13.566442539982456</v>
      </c>
      <c r="AF178" s="52">
        <f t="shared" si="39"/>
        <v>35.440534834623506</v>
      </c>
      <c r="AG178" s="51">
        <f t="shared" si="50"/>
        <v>32</v>
      </c>
      <c r="AH178" s="43">
        <f t="shared" si="51"/>
        <v>0.41915999999999998</v>
      </c>
      <c r="AI178" s="53">
        <f>IF(AH178&gt;=Policy!$E$13,Policy!$C$13,IF(Solution!AH178&gt;=Policy!$E$14,Policy!$C$14,IF(Solution!AH178&gt;=Policy!$E$15,Policy!$C$15,IF(Solution!AH178&gt;=Policy!$E$16,Policy!$C$16,IF(Solution!AH178&gt;=Policy!$E$17,Policy!$C$17,IF(Solution!AH178&gt;=Policy!$E$18,Policy!$C$18,IF(AH178&gt;=Policy!$E$19,Policy!$C$19,Policy!$C$20)))))))</f>
        <v>8</v>
      </c>
    </row>
    <row r="179" spans="1:35" x14ac:dyDescent="0.3">
      <c r="A179" s="16" t="s">
        <v>229</v>
      </c>
      <c r="B179" s="14" t="s">
        <v>4</v>
      </c>
      <c r="C179" s="15">
        <v>0</v>
      </c>
      <c r="D179" s="15">
        <v>0</v>
      </c>
      <c r="E179" s="15">
        <v>0</v>
      </c>
      <c r="F179" s="15">
        <v>172.02</v>
      </c>
      <c r="G179" s="15">
        <v>0</v>
      </c>
      <c r="H179" s="15">
        <v>0</v>
      </c>
      <c r="I179" s="15">
        <v>69.88</v>
      </c>
      <c r="J179" s="15">
        <v>34.9</v>
      </c>
      <c r="K179" s="15">
        <v>0</v>
      </c>
      <c r="L179" s="15">
        <v>0</v>
      </c>
      <c r="M179" s="15">
        <v>0</v>
      </c>
      <c r="N179" s="38">
        <v>0</v>
      </c>
      <c r="O179" s="41">
        <f t="shared" si="43"/>
        <v>276.8</v>
      </c>
      <c r="P179" s="15">
        <f t="shared" si="44"/>
        <v>23.066666666666666</v>
      </c>
      <c r="Q179" s="42">
        <f t="shared" si="45"/>
        <v>51.616814972243183</v>
      </c>
      <c r="R179" s="44">
        <f t="shared" si="46"/>
        <v>2.2377231924382883</v>
      </c>
      <c r="S179" s="49"/>
      <c r="T179" s="45">
        <f t="shared" si="52"/>
        <v>26.876548060887089</v>
      </c>
      <c r="U179" s="46">
        <f>VLOOKUP(B179,Policy!$B$5:$J$8,9,FALSE)</f>
        <v>35.440534834623506</v>
      </c>
      <c r="V179" s="15">
        <f t="shared" si="40"/>
        <v>26.876548060887089</v>
      </c>
      <c r="W179" s="15">
        <f t="shared" si="41"/>
        <v>21.844869757323547</v>
      </c>
      <c r="X179" s="46">
        <f>VLOOKUP(B179,Policy!$B$5:$F$8,5,FALSE)</f>
        <v>0.84162123357291474</v>
      </c>
      <c r="Y179" s="47">
        <f t="shared" si="47"/>
        <v>0.11163767369322539</v>
      </c>
      <c r="Z179" s="43">
        <f t="shared" si="48"/>
        <v>2.4387104418390937</v>
      </c>
      <c r="AA179" s="48">
        <f t="shared" si="37"/>
        <v>0.90926251256990476</v>
      </c>
      <c r="AB179" s="15"/>
      <c r="AC179" s="45">
        <f t="shared" si="38"/>
        <v>45.261654293285389</v>
      </c>
      <c r="AD179" s="15">
        <f t="shared" si="49"/>
        <v>18.385106232398304</v>
      </c>
      <c r="AE179" s="50">
        <f t="shared" si="42"/>
        <v>13.438274030443544</v>
      </c>
      <c r="AF179" s="52">
        <f t="shared" si="39"/>
        <v>35.440534834623506</v>
      </c>
      <c r="AG179" s="51">
        <f t="shared" si="50"/>
        <v>32</v>
      </c>
      <c r="AH179" s="43">
        <f t="shared" si="51"/>
        <v>0.41520000000000001</v>
      </c>
      <c r="AI179" s="53">
        <f>IF(AH179&gt;=Policy!$E$13,Policy!$C$13,IF(Solution!AH179&gt;=Policy!$E$14,Policy!$C$14,IF(Solution!AH179&gt;=Policy!$E$15,Policy!$C$15,IF(Solution!AH179&gt;=Policy!$E$16,Policy!$C$16,IF(Solution!AH179&gt;=Policy!$E$17,Policy!$C$17,IF(Solution!AH179&gt;=Policy!$E$18,Policy!$C$18,IF(AH179&gt;=Policy!$E$19,Policy!$C$19,Policy!$C$20)))))))</f>
        <v>8</v>
      </c>
    </row>
    <row r="180" spans="1:35" x14ac:dyDescent="0.3">
      <c r="A180" s="16" t="s">
        <v>230</v>
      </c>
      <c r="B180" s="14" t="s">
        <v>4</v>
      </c>
      <c r="C180" s="15">
        <v>0</v>
      </c>
      <c r="D180" s="15">
        <v>0</v>
      </c>
      <c r="E180" s="15">
        <v>33.94</v>
      </c>
      <c r="F180" s="15">
        <v>0</v>
      </c>
      <c r="G180" s="15">
        <v>135.84</v>
      </c>
      <c r="H180" s="15">
        <v>67.77</v>
      </c>
      <c r="I180" s="15">
        <v>0</v>
      </c>
      <c r="J180" s="15">
        <v>0</v>
      </c>
      <c r="K180" s="15">
        <v>35.19</v>
      </c>
      <c r="L180" s="15">
        <v>0</v>
      </c>
      <c r="M180" s="15">
        <v>0</v>
      </c>
      <c r="N180" s="38">
        <v>0</v>
      </c>
      <c r="O180" s="41">
        <f t="shared" si="43"/>
        <v>272.74</v>
      </c>
      <c r="P180" s="15">
        <f t="shared" si="44"/>
        <v>22.728333333333335</v>
      </c>
      <c r="Q180" s="42">
        <f t="shared" si="45"/>
        <v>41.818452393722808</v>
      </c>
      <c r="R180" s="44">
        <f t="shared" si="46"/>
        <v>1.8399260421085051</v>
      </c>
      <c r="S180" s="49"/>
      <c r="T180" s="45">
        <f t="shared" si="52"/>
        <v>26.482332796699218</v>
      </c>
      <c r="U180" s="46">
        <f>VLOOKUP(B180,Policy!$B$5:$J$8,9,FALSE)</f>
        <v>35.440534834623506</v>
      </c>
      <c r="V180" s="15">
        <f t="shared" si="40"/>
        <v>26.482332796699218</v>
      </c>
      <c r="W180" s="15">
        <f t="shared" si="41"/>
        <v>17.703803989205102</v>
      </c>
      <c r="X180" s="46">
        <f>VLOOKUP(B180,Policy!$B$5:$F$8,5,FALSE)</f>
        <v>0.84162123357291474</v>
      </c>
      <c r="Y180" s="47">
        <f t="shared" si="47"/>
        <v>0.11163767369322539</v>
      </c>
      <c r="Z180" s="43">
        <f t="shared" si="48"/>
        <v>1.9764114928757011</v>
      </c>
      <c r="AA180" s="48">
        <f t="shared" si="37"/>
        <v>0.925368678505466</v>
      </c>
      <c r="AB180" s="15"/>
      <c r="AC180" s="45">
        <f t="shared" si="38"/>
        <v>41.382230149027109</v>
      </c>
      <c r="AD180" s="15">
        <f t="shared" si="49"/>
        <v>14.899897352327887</v>
      </c>
      <c r="AE180" s="50">
        <f t="shared" si="42"/>
        <v>13.241166398349609</v>
      </c>
      <c r="AF180" s="52">
        <f t="shared" si="39"/>
        <v>35.440534834623506</v>
      </c>
      <c r="AG180" s="51">
        <f t="shared" si="50"/>
        <v>32</v>
      </c>
      <c r="AH180" s="43">
        <f t="shared" si="51"/>
        <v>0.40910999999999997</v>
      </c>
      <c r="AI180" s="53">
        <f>IF(AH180&gt;=Policy!$E$13,Policy!$C$13,IF(Solution!AH180&gt;=Policy!$E$14,Policy!$C$14,IF(Solution!AH180&gt;=Policy!$E$15,Policy!$C$15,IF(Solution!AH180&gt;=Policy!$E$16,Policy!$C$16,IF(Solution!AH180&gt;=Policy!$E$17,Policy!$C$17,IF(Solution!AH180&gt;=Policy!$E$18,Policy!$C$18,IF(AH180&gt;=Policy!$E$19,Policy!$C$19,Policy!$C$20)))))))</f>
        <v>8</v>
      </c>
    </row>
    <row r="181" spans="1:35" x14ac:dyDescent="0.3">
      <c r="A181" s="16" t="s">
        <v>231</v>
      </c>
      <c r="B181" s="14" t="s">
        <v>4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101.32</v>
      </c>
      <c r="L181" s="15">
        <v>168.89</v>
      </c>
      <c r="M181" s="15">
        <v>152.001</v>
      </c>
      <c r="N181" s="38">
        <v>185.779</v>
      </c>
      <c r="O181" s="41">
        <f t="shared" si="43"/>
        <v>607.99</v>
      </c>
      <c r="P181" s="15">
        <f t="shared" si="44"/>
        <v>50.665833333333332</v>
      </c>
      <c r="Q181" s="42">
        <f t="shared" si="45"/>
        <v>77.22658240744137</v>
      </c>
      <c r="R181" s="44">
        <f t="shared" si="46"/>
        <v>1.5242339329418189</v>
      </c>
      <c r="S181" s="49"/>
      <c r="T181" s="45">
        <f t="shared" si="52"/>
        <v>59.034221298911632</v>
      </c>
      <c r="U181" s="46">
        <f>VLOOKUP(B181,Policy!$B$5:$J$8,9,FALSE)</f>
        <v>35.440534834623506</v>
      </c>
      <c r="V181" s="15">
        <f t="shared" si="40"/>
        <v>59.034221298911632</v>
      </c>
      <c r="W181" s="15">
        <f t="shared" si="41"/>
        <v>32.708708477164635</v>
      </c>
      <c r="X181" s="46">
        <f>VLOOKUP(B181,Policy!$B$5:$F$8,5,FALSE)</f>
        <v>0.84162123357291474</v>
      </c>
      <c r="Y181" s="47">
        <f t="shared" si="47"/>
        <v>0.11163767369322539</v>
      </c>
      <c r="Z181" s="43">
        <f t="shared" si="48"/>
        <v>3.6515241239005407</v>
      </c>
      <c r="AA181" s="48">
        <f t="shared" si="37"/>
        <v>0.93814563750385471</v>
      </c>
      <c r="AB181" s="15"/>
      <c r="AC181" s="45">
        <f t="shared" si="38"/>
        <v>86.562564876039787</v>
      </c>
      <c r="AD181" s="15">
        <f t="shared" si="49"/>
        <v>27.528343577128155</v>
      </c>
      <c r="AE181" s="50">
        <f t="shared" si="42"/>
        <v>29.517110649455816</v>
      </c>
      <c r="AF181" s="52">
        <f t="shared" si="39"/>
        <v>35.440534834623506</v>
      </c>
      <c r="AG181" s="51">
        <f t="shared" si="50"/>
        <v>32</v>
      </c>
      <c r="AH181" s="43">
        <f t="shared" si="51"/>
        <v>0.91198500000000005</v>
      </c>
      <c r="AI181" s="53">
        <f>IF(AH181&gt;=Policy!$E$13,Policy!$C$13,IF(Solution!AH181&gt;=Policy!$E$14,Policy!$C$14,IF(Solution!AH181&gt;=Policy!$E$15,Policy!$C$15,IF(Solution!AH181&gt;=Policy!$E$16,Policy!$C$16,IF(Solution!AH181&gt;=Policy!$E$17,Policy!$C$17,IF(Solution!AH181&gt;=Policy!$E$18,Policy!$C$18,IF(AH181&gt;=Policy!$E$19,Policy!$C$19,Policy!$C$20)))))))</f>
        <v>8</v>
      </c>
    </row>
    <row r="182" spans="1:35" x14ac:dyDescent="0.3">
      <c r="A182" s="16" t="s">
        <v>232</v>
      </c>
      <c r="B182" s="14" t="s">
        <v>4</v>
      </c>
      <c r="C182" s="15">
        <v>0</v>
      </c>
      <c r="D182" s="15">
        <v>0</v>
      </c>
      <c r="E182" s="15">
        <v>0</v>
      </c>
      <c r="F182" s="15">
        <v>31.19</v>
      </c>
      <c r="G182" s="15">
        <v>0</v>
      </c>
      <c r="H182" s="15">
        <v>92.69</v>
      </c>
      <c r="I182" s="15">
        <v>61.67</v>
      </c>
      <c r="J182" s="15">
        <v>0</v>
      </c>
      <c r="K182" s="15">
        <v>0</v>
      </c>
      <c r="L182" s="15">
        <v>82.11</v>
      </c>
      <c r="M182" s="15">
        <v>73.899000000000001</v>
      </c>
      <c r="N182" s="38">
        <v>90.321000000000012</v>
      </c>
      <c r="O182" s="41">
        <f t="shared" si="43"/>
        <v>431.88000000000005</v>
      </c>
      <c r="P182" s="15">
        <f t="shared" si="44"/>
        <v>35.99</v>
      </c>
      <c r="Q182" s="42">
        <f t="shared" si="45"/>
        <v>40.659424985872811</v>
      </c>
      <c r="R182" s="44">
        <f t="shared" si="46"/>
        <v>1.129742289132337</v>
      </c>
      <c r="S182" s="49"/>
      <c r="T182" s="45">
        <f t="shared" si="52"/>
        <v>41.934405984595074</v>
      </c>
      <c r="U182" s="46">
        <f>VLOOKUP(B182,Policy!$B$5:$J$8,9,FALSE)</f>
        <v>35.440534834623506</v>
      </c>
      <c r="V182" s="15">
        <f t="shared" si="40"/>
        <v>41.934405984595074</v>
      </c>
      <c r="W182" s="15">
        <f t="shared" si="41"/>
        <v>17.241480019402459</v>
      </c>
      <c r="X182" s="46">
        <f>VLOOKUP(B182,Policy!$B$5:$F$8,5,FALSE)</f>
        <v>0.84162123357291474</v>
      </c>
      <c r="Y182" s="47">
        <f t="shared" si="47"/>
        <v>0.11163767369322539</v>
      </c>
      <c r="Z182" s="43">
        <f t="shared" si="48"/>
        <v>1.9247987203943171</v>
      </c>
      <c r="AA182" s="48">
        <f t="shared" si="37"/>
        <v>0.95409977379669075</v>
      </c>
      <c r="AB182" s="15"/>
      <c r="AC182" s="45">
        <f t="shared" si="38"/>
        <v>56.44520166714733</v>
      </c>
      <c r="AD182" s="15">
        <f t="shared" si="49"/>
        <v>14.51079568255226</v>
      </c>
      <c r="AE182" s="50">
        <f t="shared" si="42"/>
        <v>20.967202992297537</v>
      </c>
      <c r="AF182" s="52">
        <f t="shared" si="39"/>
        <v>35.440534834623506</v>
      </c>
      <c r="AG182" s="51">
        <f t="shared" si="50"/>
        <v>32</v>
      </c>
      <c r="AH182" s="43">
        <f t="shared" si="51"/>
        <v>0.64782000000000006</v>
      </c>
      <c r="AI182" s="53">
        <f>IF(AH182&gt;=Policy!$E$13,Policy!$C$13,IF(Solution!AH182&gt;=Policy!$E$14,Policy!$C$14,IF(Solution!AH182&gt;=Policy!$E$15,Policy!$C$15,IF(Solution!AH182&gt;=Policy!$E$16,Policy!$C$16,IF(Solution!AH182&gt;=Policy!$E$17,Policy!$C$17,IF(Solution!AH182&gt;=Policy!$E$18,Policy!$C$18,IF(AH182&gt;=Policy!$E$19,Policy!$C$19,Policy!$C$20)))))))</f>
        <v>8</v>
      </c>
    </row>
    <row r="183" spans="1:35" x14ac:dyDescent="0.3">
      <c r="A183" s="16" t="s">
        <v>233</v>
      </c>
      <c r="B183" s="14" t="s">
        <v>4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96.22</v>
      </c>
      <c r="L183" s="15">
        <v>171.36</v>
      </c>
      <c r="M183" s="15">
        <v>154.22400000000002</v>
      </c>
      <c r="N183" s="38">
        <v>188.49600000000004</v>
      </c>
      <c r="O183" s="41">
        <f t="shared" si="43"/>
        <v>610.30000000000018</v>
      </c>
      <c r="P183" s="15">
        <f t="shared" si="44"/>
        <v>50.858333333333348</v>
      </c>
      <c r="Q183" s="42">
        <f t="shared" si="45"/>
        <v>77.985710438554463</v>
      </c>
      <c r="R183" s="44">
        <f t="shared" si="46"/>
        <v>1.5333909966617292</v>
      </c>
      <c r="S183" s="49"/>
      <c r="T183" s="45">
        <f t="shared" si="52"/>
        <v>59.258516190604745</v>
      </c>
      <c r="U183" s="46">
        <f>VLOOKUP(B183,Policy!$B$5:$J$8,9,FALSE)</f>
        <v>35.440534834623506</v>
      </c>
      <c r="V183" s="15">
        <f t="shared" si="40"/>
        <v>59.258516190604745</v>
      </c>
      <c r="W183" s="15">
        <f t="shared" si="41"/>
        <v>33.029659976682304</v>
      </c>
      <c r="X183" s="46">
        <f>VLOOKUP(B183,Policy!$B$5:$F$8,5,FALSE)</f>
        <v>0.84162123357291474</v>
      </c>
      <c r="Y183" s="47">
        <f t="shared" si="47"/>
        <v>0.11163767369322539</v>
      </c>
      <c r="Z183" s="43">
        <f t="shared" si="48"/>
        <v>3.6873544026750453</v>
      </c>
      <c r="AA183" s="48">
        <f t="shared" si="37"/>
        <v>0.93777511419937198</v>
      </c>
      <c r="AB183" s="15"/>
      <c r="AC183" s="45">
        <f t="shared" si="38"/>
        <v>87.056979364674035</v>
      </c>
      <c r="AD183" s="15">
        <f t="shared" si="49"/>
        <v>27.79846317406929</v>
      </c>
      <c r="AE183" s="50">
        <f t="shared" si="42"/>
        <v>29.629258095302372</v>
      </c>
      <c r="AF183" s="52">
        <f t="shared" si="39"/>
        <v>35.440534834623506</v>
      </c>
      <c r="AG183" s="51">
        <f t="shared" si="50"/>
        <v>32</v>
      </c>
      <c r="AH183" s="43">
        <f t="shared" si="51"/>
        <v>0.91545000000000032</v>
      </c>
      <c r="AI183" s="53">
        <f>IF(AH183&gt;=Policy!$E$13,Policy!$C$13,IF(Solution!AH183&gt;=Policy!$E$14,Policy!$C$14,IF(Solution!AH183&gt;=Policy!$E$15,Policy!$C$15,IF(Solution!AH183&gt;=Policy!$E$16,Policy!$C$16,IF(Solution!AH183&gt;=Policy!$E$17,Policy!$C$17,IF(Solution!AH183&gt;=Policy!$E$18,Policy!$C$18,IF(AH183&gt;=Policy!$E$19,Policy!$C$19,Policy!$C$20)))))))</f>
        <v>8</v>
      </c>
    </row>
    <row r="184" spans="1:35" x14ac:dyDescent="0.3">
      <c r="A184" s="16" t="s">
        <v>234</v>
      </c>
      <c r="B184" s="14" t="s">
        <v>4</v>
      </c>
      <c r="C184" s="15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242.65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38">
        <v>0</v>
      </c>
      <c r="O184" s="41">
        <f t="shared" si="43"/>
        <v>242.65</v>
      </c>
      <c r="P184" s="15">
        <f t="shared" si="44"/>
        <v>20.220833333333335</v>
      </c>
      <c r="Q184" s="42">
        <f t="shared" si="45"/>
        <v>70.047021409431352</v>
      </c>
      <c r="R184" s="44">
        <f t="shared" si="46"/>
        <v>3.4641016151377544</v>
      </c>
      <c r="S184" s="49"/>
      <c r="T184" s="45">
        <f t="shared" si="52"/>
        <v>23.560673363346282</v>
      </c>
      <c r="U184" s="46">
        <f>VLOOKUP(B184,Policy!$B$5:$J$8,9,FALSE)</f>
        <v>35.440534834623506</v>
      </c>
      <c r="V184" s="15">
        <f t="shared" si="40"/>
        <v>23.560673363346282</v>
      </c>
      <c r="W184" s="15">
        <f t="shared" si="41"/>
        <v>29.633099919627917</v>
      </c>
      <c r="X184" s="46">
        <f>VLOOKUP(B184,Policy!$B$5:$F$8,5,FALSE)</f>
        <v>0.84162123357291474</v>
      </c>
      <c r="Y184" s="47">
        <f t="shared" si="47"/>
        <v>0.11163767369322539</v>
      </c>
      <c r="Z184" s="43">
        <f t="shared" si="48"/>
        <v>3.3081703393461646</v>
      </c>
      <c r="AA184" s="48">
        <f t="shared" si="37"/>
        <v>0.85958931273616579</v>
      </c>
      <c r="AB184" s="15"/>
      <c r="AC184" s="45">
        <f t="shared" si="38"/>
        <v>48.500519472292972</v>
      </c>
      <c r="AD184" s="15">
        <f t="shared" si="49"/>
        <v>24.939846108946689</v>
      </c>
      <c r="AE184" s="50">
        <f t="shared" si="42"/>
        <v>11.780336681673141</v>
      </c>
      <c r="AF184" s="52">
        <f t="shared" si="39"/>
        <v>35.440534834623506</v>
      </c>
      <c r="AG184" s="51">
        <f t="shared" si="50"/>
        <v>32</v>
      </c>
      <c r="AH184" s="43">
        <f t="shared" si="51"/>
        <v>0.36397499999999999</v>
      </c>
      <c r="AI184" s="53">
        <f>IF(AH184&gt;=Policy!$E$13,Policy!$C$13,IF(Solution!AH184&gt;=Policy!$E$14,Policy!$C$14,IF(Solution!AH184&gt;=Policy!$E$15,Policy!$C$15,IF(Solution!AH184&gt;=Policy!$E$16,Policy!$C$16,IF(Solution!AH184&gt;=Policy!$E$17,Policy!$C$17,IF(Solution!AH184&gt;=Policy!$E$18,Policy!$C$18,IF(AH184&gt;=Policy!$E$19,Policy!$C$19,Policy!$C$20)))))))</f>
        <v>8</v>
      </c>
    </row>
    <row r="185" spans="1:35" x14ac:dyDescent="0.3">
      <c r="A185" s="16" t="s">
        <v>235</v>
      </c>
      <c r="B185" s="14" t="s">
        <v>4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101.53</v>
      </c>
      <c r="I185" s="15">
        <v>0</v>
      </c>
      <c r="J185" s="15">
        <v>67.86</v>
      </c>
      <c r="K185" s="15">
        <v>67.94</v>
      </c>
      <c r="L185" s="15">
        <v>0</v>
      </c>
      <c r="M185" s="15">
        <v>0</v>
      </c>
      <c r="N185" s="38">
        <v>0</v>
      </c>
      <c r="O185" s="41">
        <f t="shared" si="43"/>
        <v>237.32999999999998</v>
      </c>
      <c r="P185" s="15">
        <f t="shared" si="44"/>
        <v>19.7775</v>
      </c>
      <c r="Q185" s="42">
        <f t="shared" si="45"/>
        <v>36.724242705231205</v>
      </c>
      <c r="R185" s="44">
        <f t="shared" si="46"/>
        <v>1.8568698119191609</v>
      </c>
      <c r="S185" s="49"/>
      <c r="T185" s="45">
        <f t="shared" si="52"/>
        <v>23.044115430962183</v>
      </c>
      <c r="U185" s="46">
        <f>VLOOKUP(B185,Policy!$B$5:$J$8,9,FALSE)</f>
        <v>35.440534834623506</v>
      </c>
      <c r="V185" s="15">
        <f t="shared" si="40"/>
        <v>23.044115430962183</v>
      </c>
      <c r="W185" s="15">
        <f t="shared" si="41"/>
        <v>15.546893187069783</v>
      </c>
      <c r="X185" s="46">
        <f>VLOOKUP(B185,Policy!$B$5:$F$8,5,FALSE)</f>
        <v>0.84162123357291474</v>
      </c>
      <c r="Y185" s="47">
        <f t="shared" si="47"/>
        <v>0.11163767369322539</v>
      </c>
      <c r="Z185" s="43">
        <f t="shared" si="48"/>
        <v>1.7356189885615252</v>
      </c>
      <c r="AA185" s="48">
        <f t="shared" si="37"/>
        <v>0.92468276798207927</v>
      </c>
      <c r="AB185" s="15"/>
      <c r="AC185" s="45">
        <f t="shared" si="38"/>
        <v>36.128710853290201</v>
      </c>
      <c r="AD185" s="15">
        <f t="shared" si="49"/>
        <v>13.084595422328015</v>
      </c>
      <c r="AE185" s="50">
        <f t="shared" si="42"/>
        <v>11.522057715481091</v>
      </c>
      <c r="AF185" s="52">
        <f t="shared" si="39"/>
        <v>35.440534834623506</v>
      </c>
      <c r="AG185" s="51">
        <f t="shared" si="50"/>
        <v>32</v>
      </c>
      <c r="AH185" s="43">
        <f t="shared" si="51"/>
        <v>0.35599500000000001</v>
      </c>
      <c r="AI185" s="53">
        <f>IF(AH185&gt;=Policy!$E$13,Policy!$C$13,IF(Solution!AH185&gt;=Policy!$E$14,Policy!$C$14,IF(Solution!AH185&gt;=Policy!$E$15,Policy!$C$15,IF(Solution!AH185&gt;=Policy!$E$16,Policy!$C$16,IF(Solution!AH185&gt;=Policy!$E$17,Policy!$C$17,IF(Solution!AH185&gt;=Policy!$E$18,Policy!$C$18,IF(AH185&gt;=Policy!$E$19,Policy!$C$19,Policy!$C$20)))))))</f>
        <v>8</v>
      </c>
    </row>
    <row r="186" spans="1:35" x14ac:dyDescent="0.3">
      <c r="A186" s="16" t="s">
        <v>236</v>
      </c>
      <c r="B186" s="14" t="s">
        <v>4</v>
      </c>
      <c r="C186" s="15">
        <v>0</v>
      </c>
      <c r="D186" s="15">
        <v>0</v>
      </c>
      <c r="E186" s="15">
        <v>0</v>
      </c>
      <c r="F186" s="15">
        <v>0</v>
      </c>
      <c r="G186" s="15">
        <v>0</v>
      </c>
      <c r="H186" s="15">
        <v>66.86</v>
      </c>
      <c r="I186" s="15">
        <v>66.56</v>
      </c>
      <c r="J186" s="15">
        <v>0</v>
      </c>
      <c r="K186" s="15">
        <v>0</v>
      </c>
      <c r="L186" s="15">
        <v>100.47</v>
      </c>
      <c r="M186" s="15">
        <v>90.423000000000002</v>
      </c>
      <c r="N186" s="38">
        <v>110.51700000000001</v>
      </c>
      <c r="O186" s="41">
        <f t="shared" si="43"/>
        <v>434.83</v>
      </c>
      <c r="P186" s="15">
        <f t="shared" si="44"/>
        <v>36.235833333333332</v>
      </c>
      <c r="Q186" s="42">
        <f t="shared" si="45"/>
        <v>46.347122014863089</v>
      </c>
      <c r="R186" s="44">
        <f t="shared" si="46"/>
        <v>1.2790411521246396</v>
      </c>
      <c r="S186" s="49"/>
      <c r="T186" s="45">
        <f t="shared" si="52"/>
        <v>42.220843183943394</v>
      </c>
      <c r="U186" s="46">
        <f>VLOOKUP(B186,Policy!$B$5:$J$8,9,FALSE)</f>
        <v>35.440534834623506</v>
      </c>
      <c r="V186" s="15">
        <f t="shared" si="40"/>
        <v>42.220843183943394</v>
      </c>
      <c r="W186" s="15">
        <f t="shared" si="41"/>
        <v>19.64193038669675</v>
      </c>
      <c r="X186" s="46">
        <f>VLOOKUP(B186,Policy!$B$5:$F$8,5,FALSE)</f>
        <v>0.84162123357291474</v>
      </c>
      <c r="Y186" s="47">
        <f t="shared" si="47"/>
        <v>0.11163767369322539</v>
      </c>
      <c r="Z186" s="43">
        <f t="shared" si="48"/>
        <v>2.1927794152150999</v>
      </c>
      <c r="AA186" s="48">
        <f t="shared" si="37"/>
        <v>0.94806405438987029</v>
      </c>
      <c r="AB186" s="15"/>
      <c r="AC186" s="45">
        <f t="shared" si="38"/>
        <v>58.751908865748433</v>
      </c>
      <c r="AD186" s="15">
        <f t="shared" si="49"/>
        <v>16.531065681805035</v>
      </c>
      <c r="AE186" s="50">
        <f t="shared" si="42"/>
        <v>21.110421591971697</v>
      </c>
      <c r="AF186" s="52">
        <f t="shared" si="39"/>
        <v>35.440534834623506</v>
      </c>
      <c r="AG186" s="51">
        <f t="shared" si="50"/>
        <v>32</v>
      </c>
      <c r="AH186" s="43">
        <f t="shared" si="51"/>
        <v>0.65224499999999996</v>
      </c>
      <c r="AI186" s="53">
        <f>IF(AH186&gt;=Policy!$E$13,Policy!$C$13,IF(Solution!AH186&gt;=Policy!$E$14,Policy!$C$14,IF(Solution!AH186&gt;=Policy!$E$15,Policy!$C$15,IF(Solution!AH186&gt;=Policy!$E$16,Policy!$C$16,IF(Solution!AH186&gt;=Policy!$E$17,Policy!$C$17,IF(Solution!AH186&gt;=Policy!$E$18,Policy!$C$18,IF(AH186&gt;=Policy!$E$19,Policy!$C$19,Policy!$C$20)))))))</f>
        <v>8</v>
      </c>
    </row>
    <row r="187" spans="1:35" x14ac:dyDescent="0.3">
      <c r="A187" s="16" t="s">
        <v>237</v>
      </c>
      <c r="B187" s="14" t="s">
        <v>4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69.12</v>
      </c>
      <c r="J187" s="15">
        <v>161.66999999999999</v>
      </c>
      <c r="K187" s="15">
        <v>0</v>
      </c>
      <c r="L187" s="15">
        <v>0</v>
      </c>
      <c r="M187" s="15">
        <v>0</v>
      </c>
      <c r="N187" s="38">
        <v>0</v>
      </c>
      <c r="O187" s="41">
        <f t="shared" si="43"/>
        <v>230.79</v>
      </c>
      <c r="P187" s="15">
        <f t="shared" si="44"/>
        <v>19.232499999999998</v>
      </c>
      <c r="Q187" s="42">
        <f t="shared" si="45"/>
        <v>49.060347462913647</v>
      </c>
      <c r="R187" s="44">
        <f t="shared" si="46"/>
        <v>2.5509084863077423</v>
      </c>
      <c r="S187" s="49"/>
      <c r="T187" s="45">
        <f t="shared" si="52"/>
        <v>22.409098724610296</v>
      </c>
      <c r="U187" s="46">
        <f>VLOOKUP(B187,Policy!$B$5:$J$8,9,FALSE)</f>
        <v>35.440534834623506</v>
      </c>
      <c r="V187" s="15">
        <f t="shared" si="40"/>
        <v>22.409098724610296</v>
      </c>
      <c r="W187" s="15">
        <f t="shared" si="41"/>
        <v>20.759711836807391</v>
      </c>
      <c r="X187" s="46">
        <f>VLOOKUP(B187,Policy!$B$5:$F$8,5,FALSE)</f>
        <v>0.84162123357291474</v>
      </c>
      <c r="Y187" s="47">
        <f t="shared" si="47"/>
        <v>0.11163767369322539</v>
      </c>
      <c r="Z187" s="43">
        <f t="shared" si="48"/>
        <v>2.3175659360028922</v>
      </c>
      <c r="AA187" s="48">
        <f t="shared" si="37"/>
        <v>0.89657924379360798</v>
      </c>
      <c r="AB187" s="15"/>
      <c r="AC187" s="45">
        <f t="shared" si="38"/>
        <v>39.88091300932237</v>
      </c>
      <c r="AD187" s="15">
        <f t="shared" si="49"/>
        <v>17.471814284712075</v>
      </c>
      <c r="AE187" s="50">
        <f t="shared" si="42"/>
        <v>11.204549362305148</v>
      </c>
      <c r="AF187" s="52">
        <f t="shared" si="39"/>
        <v>35.440534834623506</v>
      </c>
      <c r="AG187" s="51">
        <f t="shared" si="50"/>
        <v>32</v>
      </c>
      <c r="AH187" s="43">
        <f t="shared" si="51"/>
        <v>0.34618500000000002</v>
      </c>
      <c r="AI187" s="53">
        <f>IF(AH187&gt;=Policy!$E$13,Policy!$C$13,IF(Solution!AH187&gt;=Policy!$E$14,Policy!$C$14,IF(Solution!AH187&gt;=Policy!$E$15,Policy!$C$15,IF(Solution!AH187&gt;=Policy!$E$16,Policy!$C$16,IF(Solution!AH187&gt;=Policy!$E$17,Policy!$C$17,IF(Solution!AH187&gt;=Policy!$E$18,Policy!$C$18,IF(AH187&gt;=Policy!$E$19,Policy!$C$19,Policy!$C$20)))))))</f>
        <v>8</v>
      </c>
    </row>
    <row r="188" spans="1:35" x14ac:dyDescent="0.3">
      <c r="A188" s="16" t="s">
        <v>238</v>
      </c>
      <c r="B188" s="14" t="s">
        <v>4</v>
      </c>
      <c r="C188" s="15">
        <v>0</v>
      </c>
      <c r="D188" s="15">
        <v>0</v>
      </c>
      <c r="E188" s="15">
        <v>0</v>
      </c>
      <c r="F188" s="15">
        <v>0</v>
      </c>
      <c r="G188" s="15">
        <v>0</v>
      </c>
      <c r="H188" s="15">
        <v>65.02</v>
      </c>
      <c r="I188" s="15">
        <v>0</v>
      </c>
      <c r="J188" s="15">
        <v>161.29</v>
      </c>
      <c r="K188" s="15">
        <v>0</v>
      </c>
      <c r="L188" s="15">
        <v>0</v>
      </c>
      <c r="M188" s="15">
        <v>0</v>
      </c>
      <c r="N188" s="38">
        <v>0</v>
      </c>
      <c r="O188" s="41">
        <f t="shared" si="43"/>
        <v>226.31</v>
      </c>
      <c r="P188" s="15">
        <f t="shared" si="44"/>
        <v>18.859166666666667</v>
      </c>
      <c r="Q188" s="42">
        <f t="shared" si="45"/>
        <v>48.592972267477926</v>
      </c>
      <c r="R188" s="44">
        <f t="shared" si="46"/>
        <v>2.5766235129235788</v>
      </c>
      <c r="S188" s="49"/>
      <c r="T188" s="45">
        <f t="shared" si="52"/>
        <v>21.974102571023689</v>
      </c>
      <c r="U188" s="46">
        <f>VLOOKUP(B188,Policy!$B$5:$J$8,9,FALSE)</f>
        <v>35.440534834623506</v>
      </c>
      <c r="V188" s="15">
        <f t="shared" si="40"/>
        <v>21.974102571023689</v>
      </c>
      <c r="W188" s="15">
        <f t="shared" si="41"/>
        <v>20.561731550531796</v>
      </c>
      <c r="X188" s="46">
        <f>VLOOKUP(B188,Policy!$B$5:$F$8,5,FALSE)</f>
        <v>0.84162123357291474</v>
      </c>
      <c r="Y188" s="47">
        <f t="shared" si="47"/>
        <v>0.11163767369322539</v>
      </c>
      <c r="Z188" s="43">
        <f t="shared" si="48"/>
        <v>2.2954638774059659</v>
      </c>
      <c r="AA188" s="48">
        <f t="shared" si="37"/>
        <v>0.89553776451226286</v>
      </c>
      <c r="AB188" s="15"/>
      <c r="AC188" s="45">
        <f t="shared" si="38"/>
        <v>39.279292442977379</v>
      </c>
      <c r="AD188" s="15">
        <f t="shared" si="49"/>
        <v>17.30518987195369</v>
      </c>
      <c r="AE188" s="50">
        <f t="shared" si="42"/>
        <v>10.987051285511845</v>
      </c>
      <c r="AF188" s="52">
        <f t="shared" si="39"/>
        <v>35.440534834623506</v>
      </c>
      <c r="AG188" s="51">
        <f t="shared" si="50"/>
        <v>32</v>
      </c>
      <c r="AH188" s="43">
        <f t="shared" si="51"/>
        <v>0.33946500000000002</v>
      </c>
      <c r="AI188" s="53">
        <f>IF(AH188&gt;=Policy!$E$13,Policy!$C$13,IF(Solution!AH188&gt;=Policy!$E$14,Policy!$C$14,IF(Solution!AH188&gt;=Policy!$E$15,Policy!$C$15,IF(Solution!AH188&gt;=Policy!$E$16,Policy!$C$16,IF(Solution!AH188&gt;=Policy!$E$17,Policy!$C$17,IF(Solution!AH188&gt;=Policy!$E$18,Policy!$C$18,IF(AH188&gt;=Policy!$E$19,Policy!$C$19,Policy!$C$20)))))))</f>
        <v>8</v>
      </c>
    </row>
    <row r="189" spans="1:35" x14ac:dyDescent="0.3">
      <c r="A189" s="16" t="s">
        <v>239</v>
      </c>
      <c r="B189" s="14" t="s">
        <v>4</v>
      </c>
      <c r="C189" s="15">
        <v>0</v>
      </c>
      <c r="D189" s="15">
        <v>0</v>
      </c>
      <c r="E189" s="15">
        <v>159.97999999999999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63.94</v>
      </c>
      <c r="M189" s="15">
        <v>57.545999999999999</v>
      </c>
      <c r="N189" s="38">
        <v>70.334000000000003</v>
      </c>
      <c r="O189" s="41">
        <f t="shared" si="43"/>
        <v>351.8</v>
      </c>
      <c r="P189" s="15">
        <f t="shared" si="44"/>
        <v>29.316666666666666</v>
      </c>
      <c r="Q189" s="42">
        <f t="shared" si="45"/>
        <v>50.11508059970722</v>
      </c>
      <c r="R189" s="44">
        <f t="shared" si="46"/>
        <v>1.7094399294954139</v>
      </c>
      <c r="S189" s="49"/>
      <c r="T189" s="45">
        <f t="shared" si="52"/>
        <v>34.158849739234384</v>
      </c>
      <c r="U189" s="46">
        <f>VLOOKUP(B189,Policy!$B$5:$J$8,9,FALSE)</f>
        <v>35.440534834623506</v>
      </c>
      <c r="V189" s="15">
        <f t="shared" si="40"/>
        <v>34.158849739234384</v>
      </c>
      <c r="W189" s="15">
        <f t="shared" si="41"/>
        <v>21.219528004565209</v>
      </c>
      <c r="X189" s="46">
        <f>VLOOKUP(B189,Policy!$B$5:$F$8,5,FALSE)</f>
        <v>0.84162123357291474</v>
      </c>
      <c r="Y189" s="47">
        <f t="shared" si="47"/>
        <v>0.11163767369322539</v>
      </c>
      <c r="Z189" s="43">
        <f t="shared" si="48"/>
        <v>2.3688987432979087</v>
      </c>
      <c r="AA189" s="48">
        <f t="shared" si="37"/>
        <v>0.93065051190593739</v>
      </c>
      <c r="AB189" s="15"/>
      <c r="AC189" s="45">
        <f t="shared" si="38"/>
        <v>52.017655074271566</v>
      </c>
      <c r="AD189" s="15">
        <f t="shared" si="49"/>
        <v>17.858805335037182</v>
      </c>
      <c r="AE189" s="50">
        <f t="shared" si="42"/>
        <v>17.079424869617192</v>
      </c>
      <c r="AF189" s="52">
        <f t="shared" si="39"/>
        <v>35.440534834623506</v>
      </c>
      <c r="AG189" s="51">
        <f t="shared" si="50"/>
        <v>32</v>
      </c>
      <c r="AH189" s="43">
        <f t="shared" si="51"/>
        <v>0.52769999999999995</v>
      </c>
      <c r="AI189" s="53">
        <f>IF(AH189&gt;=Policy!$E$13,Policy!$C$13,IF(Solution!AH189&gt;=Policy!$E$14,Policy!$C$14,IF(Solution!AH189&gt;=Policy!$E$15,Policy!$C$15,IF(Solution!AH189&gt;=Policy!$E$16,Policy!$C$16,IF(Solution!AH189&gt;=Policy!$E$17,Policy!$C$17,IF(Solution!AH189&gt;=Policy!$E$18,Policy!$C$18,IF(AH189&gt;=Policy!$E$19,Policy!$C$19,Policy!$C$20)))))))</f>
        <v>8</v>
      </c>
    </row>
    <row r="190" spans="1:35" x14ac:dyDescent="0.3">
      <c r="A190" s="16" t="s">
        <v>240</v>
      </c>
      <c r="B190" s="14" t="s">
        <v>4</v>
      </c>
      <c r="C190" s="15">
        <v>0</v>
      </c>
      <c r="D190" s="15">
        <v>0</v>
      </c>
      <c r="E190" s="15">
        <v>60.3</v>
      </c>
      <c r="F190" s="15">
        <v>0</v>
      </c>
      <c r="G190" s="15">
        <v>60.62</v>
      </c>
      <c r="H190" s="15">
        <v>60.68</v>
      </c>
      <c r="I190" s="15">
        <v>0</v>
      </c>
      <c r="J190" s="15">
        <v>0</v>
      </c>
      <c r="K190" s="15">
        <v>0</v>
      </c>
      <c r="L190" s="15">
        <v>29.95</v>
      </c>
      <c r="M190" s="15">
        <v>26.954999999999998</v>
      </c>
      <c r="N190" s="38">
        <v>32.945</v>
      </c>
      <c r="O190" s="41">
        <f t="shared" si="43"/>
        <v>271.45</v>
      </c>
      <c r="P190" s="15">
        <f t="shared" si="44"/>
        <v>22.620833333333334</v>
      </c>
      <c r="Q190" s="42">
        <f t="shared" si="45"/>
        <v>26.21841674310544</v>
      </c>
      <c r="R190" s="44">
        <f t="shared" si="46"/>
        <v>1.159038500339898</v>
      </c>
      <c r="S190" s="49"/>
      <c r="T190" s="45">
        <f t="shared" si="52"/>
        <v>26.357077207831644</v>
      </c>
      <c r="U190" s="46">
        <f>VLOOKUP(B190,Policy!$B$5:$J$8,9,FALSE)</f>
        <v>35.440534834623506</v>
      </c>
      <c r="V190" s="15">
        <f t="shared" si="40"/>
        <v>26.357077207831644</v>
      </c>
      <c r="W190" s="15">
        <f t="shared" si="41"/>
        <v>11.116359921846502</v>
      </c>
      <c r="X190" s="46">
        <f>VLOOKUP(B190,Policy!$B$5:$F$8,5,FALSE)</f>
        <v>0.84162123357291474</v>
      </c>
      <c r="Y190" s="47">
        <f t="shared" si="47"/>
        <v>0.11163767369322539</v>
      </c>
      <c r="Z190" s="43">
        <f t="shared" si="48"/>
        <v>1.2410045616115484</v>
      </c>
      <c r="AA190" s="48">
        <f t="shared" si="37"/>
        <v>0.95291569881493532</v>
      </c>
      <c r="AB190" s="15"/>
      <c r="AC190" s="45">
        <f t="shared" si="38"/>
        <v>35.712841758096609</v>
      </c>
      <c r="AD190" s="15">
        <f t="shared" si="49"/>
        <v>9.3557645502649631</v>
      </c>
      <c r="AE190" s="50">
        <f t="shared" si="42"/>
        <v>13.178538603915822</v>
      </c>
      <c r="AF190" s="52">
        <f t="shared" si="39"/>
        <v>35.440534834623506</v>
      </c>
      <c r="AG190" s="51">
        <f t="shared" si="50"/>
        <v>32</v>
      </c>
      <c r="AH190" s="43">
        <f t="shared" si="51"/>
        <v>0.40717500000000001</v>
      </c>
      <c r="AI190" s="53">
        <f>IF(AH190&gt;=Policy!$E$13,Policy!$C$13,IF(Solution!AH190&gt;=Policy!$E$14,Policy!$C$14,IF(Solution!AH190&gt;=Policy!$E$15,Policy!$C$15,IF(Solution!AH190&gt;=Policy!$E$16,Policy!$C$16,IF(Solution!AH190&gt;=Policy!$E$17,Policy!$C$17,IF(Solution!AH190&gt;=Policy!$E$18,Policy!$C$18,IF(AH190&gt;=Policy!$E$19,Policy!$C$19,Policy!$C$20)))))))</f>
        <v>8</v>
      </c>
    </row>
    <row r="191" spans="1:35" x14ac:dyDescent="0.3">
      <c r="A191" s="16" t="s">
        <v>241</v>
      </c>
      <c r="B191" s="14" t="s">
        <v>4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34.72</v>
      </c>
      <c r="I191" s="15">
        <v>0</v>
      </c>
      <c r="J191" s="15">
        <v>173.3</v>
      </c>
      <c r="K191" s="15">
        <v>0</v>
      </c>
      <c r="L191" s="15">
        <v>0</v>
      </c>
      <c r="M191" s="15">
        <v>0</v>
      </c>
      <c r="N191" s="38">
        <v>0</v>
      </c>
      <c r="O191" s="41">
        <f t="shared" si="43"/>
        <v>208.02</v>
      </c>
      <c r="P191" s="15">
        <f t="shared" si="44"/>
        <v>17.335000000000001</v>
      </c>
      <c r="Q191" s="42">
        <f t="shared" si="45"/>
        <v>50.120166237118212</v>
      </c>
      <c r="R191" s="44">
        <f t="shared" si="46"/>
        <v>2.8912700454063001</v>
      </c>
      <c r="S191" s="49"/>
      <c r="T191" s="45">
        <f t="shared" si="52"/>
        <v>20.198191935064063</v>
      </c>
      <c r="U191" s="46">
        <f>VLOOKUP(B191,Policy!$B$5:$J$8,9,FALSE)</f>
        <v>35.440534834623506</v>
      </c>
      <c r="V191" s="15">
        <f t="shared" si="40"/>
        <v>20.198191935064063</v>
      </c>
      <c r="W191" s="15">
        <f t="shared" si="41"/>
        <v>21.205729150448306</v>
      </c>
      <c r="X191" s="46">
        <f>VLOOKUP(B191,Policy!$B$5:$F$8,5,FALSE)</f>
        <v>0.84162123357291474</v>
      </c>
      <c r="Y191" s="47">
        <f t="shared" si="47"/>
        <v>0.11163767369322539</v>
      </c>
      <c r="Z191" s="43">
        <f t="shared" si="48"/>
        <v>2.3673582713246657</v>
      </c>
      <c r="AA191" s="48">
        <f t="shared" si="37"/>
        <v>0.88279355504019486</v>
      </c>
      <c r="AB191" s="15"/>
      <c r="AC191" s="45">
        <f t="shared" si="38"/>
        <v>38.045383861477482</v>
      </c>
      <c r="AD191" s="15">
        <f t="shared" si="49"/>
        <v>17.847191926413419</v>
      </c>
      <c r="AE191" s="50">
        <f t="shared" si="42"/>
        <v>10.099095967532032</v>
      </c>
      <c r="AF191" s="52">
        <f t="shared" si="39"/>
        <v>35.440534834623506</v>
      </c>
      <c r="AG191" s="51">
        <f t="shared" si="50"/>
        <v>32</v>
      </c>
      <c r="AH191" s="43">
        <f t="shared" si="51"/>
        <v>0.31202999999999997</v>
      </c>
      <c r="AI191" s="53">
        <f>IF(AH191&gt;=Policy!$E$13,Policy!$C$13,IF(Solution!AH191&gt;=Policy!$E$14,Policy!$C$14,IF(Solution!AH191&gt;=Policy!$E$15,Policy!$C$15,IF(Solution!AH191&gt;=Policy!$E$16,Policy!$C$16,IF(Solution!AH191&gt;=Policy!$E$17,Policy!$C$17,IF(Solution!AH191&gt;=Policy!$E$18,Policy!$C$18,IF(AH191&gt;=Policy!$E$19,Policy!$C$19,Policy!$C$20)))))))</f>
        <v>8</v>
      </c>
    </row>
    <row r="192" spans="1:35" x14ac:dyDescent="0.3">
      <c r="A192" s="16" t="s">
        <v>242</v>
      </c>
      <c r="B192" s="14" t="s">
        <v>4</v>
      </c>
      <c r="C192" s="15">
        <v>0</v>
      </c>
      <c r="D192" s="15">
        <v>0</v>
      </c>
      <c r="E192" s="15">
        <v>0</v>
      </c>
      <c r="F192" s="15">
        <v>0</v>
      </c>
      <c r="G192" s="15">
        <v>67.75</v>
      </c>
      <c r="H192" s="15">
        <v>0</v>
      </c>
      <c r="I192" s="15">
        <v>0</v>
      </c>
      <c r="J192" s="15">
        <v>135.22</v>
      </c>
      <c r="K192" s="15">
        <v>0</v>
      </c>
      <c r="L192" s="15">
        <v>0</v>
      </c>
      <c r="M192" s="15">
        <v>0</v>
      </c>
      <c r="N192" s="38">
        <v>0</v>
      </c>
      <c r="O192" s="41">
        <f t="shared" si="43"/>
        <v>202.97</v>
      </c>
      <c r="P192" s="15">
        <f t="shared" si="44"/>
        <v>16.914166666666667</v>
      </c>
      <c r="Q192" s="42">
        <f t="shared" si="45"/>
        <v>42.040502647789403</v>
      </c>
      <c r="R192" s="44">
        <f t="shared" si="46"/>
        <v>2.4855201841329895</v>
      </c>
      <c r="S192" s="49"/>
      <c r="T192" s="45">
        <f t="shared" si="52"/>
        <v>19.70785028872201</v>
      </c>
      <c r="U192" s="46">
        <f>VLOOKUP(B192,Policy!$B$5:$J$8,9,FALSE)</f>
        <v>35.440534834623506</v>
      </c>
      <c r="V192" s="15">
        <f t="shared" si="40"/>
        <v>19.70785028872201</v>
      </c>
      <c r="W192" s="15">
        <f t="shared" si="41"/>
        <v>17.789782018918888</v>
      </c>
      <c r="X192" s="46">
        <f>VLOOKUP(B192,Policy!$B$5:$F$8,5,FALSE)</f>
        <v>0.84162123357291474</v>
      </c>
      <c r="Y192" s="47">
        <f t="shared" si="47"/>
        <v>0.11163767369322539</v>
      </c>
      <c r="Z192" s="43">
        <f t="shared" si="48"/>
        <v>1.9860098801016752</v>
      </c>
      <c r="AA192" s="48">
        <f t="shared" si="37"/>
        <v>0.89922747275799098</v>
      </c>
      <c r="AB192" s="15"/>
      <c r="AC192" s="45">
        <f t="shared" si="38"/>
        <v>34.680108576477785</v>
      </c>
      <c r="AD192" s="15">
        <f t="shared" si="49"/>
        <v>14.972258287755773</v>
      </c>
      <c r="AE192" s="50">
        <f t="shared" si="42"/>
        <v>9.8539251443610052</v>
      </c>
      <c r="AF192" s="52">
        <f t="shared" si="39"/>
        <v>35.440534834623506</v>
      </c>
      <c r="AG192" s="51">
        <f t="shared" si="50"/>
        <v>32</v>
      </c>
      <c r="AH192" s="43">
        <f t="shared" si="51"/>
        <v>0.30445499999999998</v>
      </c>
      <c r="AI192" s="53">
        <f>IF(AH192&gt;=Policy!$E$13,Policy!$C$13,IF(Solution!AH192&gt;=Policy!$E$14,Policy!$C$14,IF(Solution!AH192&gt;=Policy!$E$15,Policy!$C$15,IF(Solution!AH192&gt;=Policy!$E$16,Policy!$C$16,IF(Solution!AH192&gt;=Policy!$E$17,Policy!$C$17,IF(Solution!AH192&gt;=Policy!$E$18,Policy!$C$18,IF(AH192&gt;=Policy!$E$19,Policy!$C$19,Policy!$C$20)))))))</f>
        <v>8</v>
      </c>
    </row>
    <row r="193" spans="1:35" x14ac:dyDescent="0.3">
      <c r="A193" s="16" t="s">
        <v>243</v>
      </c>
      <c r="B193" s="14" t="s">
        <v>4</v>
      </c>
      <c r="C193" s="15">
        <v>0</v>
      </c>
      <c r="D193" s="15">
        <v>0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202.93</v>
      </c>
      <c r="M193" s="15">
        <v>182.637</v>
      </c>
      <c r="N193" s="38">
        <v>223.22300000000001</v>
      </c>
      <c r="O193" s="41">
        <f t="shared" si="43"/>
        <v>608.79</v>
      </c>
      <c r="P193" s="15">
        <f t="shared" si="44"/>
        <v>50.732499999999995</v>
      </c>
      <c r="Q193" s="42">
        <f t="shared" si="45"/>
        <v>92.185547932121423</v>
      </c>
      <c r="R193" s="44">
        <f t="shared" si="46"/>
        <v>1.8170905816216711</v>
      </c>
      <c r="S193" s="49"/>
      <c r="T193" s="45">
        <f t="shared" si="52"/>
        <v>59.111899183480659</v>
      </c>
      <c r="U193" s="46">
        <f>VLOOKUP(B193,Policy!$B$5:$J$8,9,FALSE)</f>
        <v>35.440534834623506</v>
      </c>
      <c r="V193" s="15">
        <f t="shared" si="40"/>
        <v>59.111899183480659</v>
      </c>
      <c r="W193" s="15">
        <f t="shared" si="41"/>
        <v>39.027652917262394</v>
      </c>
      <c r="X193" s="46">
        <f>VLOOKUP(B193,Policy!$B$5:$F$8,5,FALSE)</f>
        <v>0.84162123357291474</v>
      </c>
      <c r="Y193" s="47">
        <f t="shared" si="47"/>
        <v>0.11163767369322539</v>
      </c>
      <c r="Z193" s="43">
        <f t="shared" si="48"/>
        <v>4.3569563813897947</v>
      </c>
      <c r="AA193" s="48">
        <f t="shared" si="37"/>
        <v>0.92629307395680183</v>
      </c>
      <c r="AB193" s="15"/>
      <c r="AC193" s="45">
        <f t="shared" si="38"/>
        <v>91.958400575162599</v>
      </c>
      <c r="AD193" s="15">
        <f t="shared" si="49"/>
        <v>32.84650139168194</v>
      </c>
      <c r="AE193" s="50">
        <f t="shared" si="42"/>
        <v>29.55594959174033</v>
      </c>
      <c r="AF193" s="52">
        <f t="shared" si="39"/>
        <v>35.440534834623506</v>
      </c>
      <c r="AG193" s="51">
        <f t="shared" si="50"/>
        <v>32</v>
      </c>
      <c r="AH193" s="43">
        <f t="shared" si="51"/>
        <v>0.91318500000000002</v>
      </c>
      <c r="AI193" s="53">
        <f>IF(AH193&gt;=Policy!$E$13,Policy!$C$13,IF(Solution!AH193&gt;=Policy!$E$14,Policy!$C$14,IF(Solution!AH193&gt;=Policy!$E$15,Policy!$C$15,IF(Solution!AH193&gt;=Policy!$E$16,Policy!$C$16,IF(Solution!AH193&gt;=Policy!$E$17,Policy!$C$17,IF(Solution!AH193&gt;=Policy!$E$18,Policy!$C$18,IF(AH193&gt;=Policy!$E$19,Policy!$C$19,Policy!$C$20)))))))</f>
        <v>8</v>
      </c>
    </row>
    <row r="194" spans="1:35" x14ac:dyDescent="0.3">
      <c r="A194" s="16" t="s">
        <v>244</v>
      </c>
      <c r="B194" s="14" t="s">
        <v>4</v>
      </c>
      <c r="C194" s="15">
        <v>66.66</v>
      </c>
      <c r="D194" s="15">
        <v>0</v>
      </c>
      <c r="E194" s="15">
        <v>0</v>
      </c>
      <c r="F194" s="15">
        <v>0</v>
      </c>
      <c r="G194" s="15">
        <v>0</v>
      </c>
      <c r="H194" s="15">
        <v>11.37</v>
      </c>
      <c r="I194" s="15">
        <v>33.450000000000003</v>
      </c>
      <c r="J194" s="15">
        <v>0</v>
      </c>
      <c r="K194" s="15">
        <v>0</v>
      </c>
      <c r="L194" s="15">
        <v>78.05</v>
      </c>
      <c r="M194" s="15">
        <v>70.245000000000005</v>
      </c>
      <c r="N194" s="38">
        <v>85.855000000000004</v>
      </c>
      <c r="O194" s="41">
        <f t="shared" si="43"/>
        <v>345.63</v>
      </c>
      <c r="P194" s="15">
        <f t="shared" si="44"/>
        <v>28.802499999999998</v>
      </c>
      <c r="Q194" s="42">
        <f t="shared" si="45"/>
        <v>35.845591176854398</v>
      </c>
      <c r="R194" s="44">
        <f t="shared" si="46"/>
        <v>1.2445305503638364</v>
      </c>
      <c r="S194" s="49"/>
      <c r="T194" s="45">
        <f t="shared" ref="T194:T225" si="53">(O194/$Y$1)*U194</f>
        <v>33.559759054495679</v>
      </c>
      <c r="U194" s="46">
        <f>VLOOKUP(B194,Policy!$B$5:$J$8,9,FALSE)</f>
        <v>35.440534834623506</v>
      </c>
      <c r="V194" s="15">
        <f t="shared" si="40"/>
        <v>33.559759054495679</v>
      </c>
      <c r="W194" s="15">
        <f t="shared" si="41"/>
        <v>15.193136426693526</v>
      </c>
      <c r="X194" s="46">
        <f>VLOOKUP(B194,Policy!$B$5:$F$8,5,FALSE)</f>
        <v>0.84162123357291474</v>
      </c>
      <c r="Y194" s="47">
        <f t="shared" si="47"/>
        <v>0.11163767369322539</v>
      </c>
      <c r="Z194" s="43">
        <f t="shared" si="48"/>
        <v>1.6961264067798683</v>
      </c>
      <c r="AA194" s="48">
        <f t="shared" si="37"/>
        <v>0.9494595177508387</v>
      </c>
      <c r="AB194" s="15"/>
      <c r="AC194" s="45">
        <f t="shared" si="38"/>
        <v>46.346625275771068</v>
      </c>
      <c r="AD194" s="15">
        <f t="shared" si="49"/>
        <v>12.786866221275391</v>
      </c>
      <c r="AE194" s="50">
        <f t="shared" si="42"/>
        <v>16.779879527247839</v>
      </c>
      <c r="AF194" s="52">
        <f t="shared" si="39"/>
        <v>35.440534834623506</v>
      </c>
      <c r="AG194" s="51">
        <f t="shared" si="50"/>
        <v>32</v>
      </c>
      <c r="AH194" s="43">
        <f t="shared" si="51"/>
        <v>0.51844500000000004</v>
      </c>
      <c r="AI194" s="53">
        <f>IF(AH194&gt;=Policy!$E$13,Policy!$C$13,IF(Solution!AH194&gt;=Policy!$E$14,Policy!$C$14,IF(Solution!AH194&gt;=Policy!$E$15,Policy!$C$15,IF(Solution!AH194&gt;=Policy!$E$16,Policy!$C$16,IF(Solution!AH194&gt;=Policy!$E$17,Policy!$C$17,IF(Solution!AH194&gt;=Policy!$E$18,Policy!$C$18,IF(AH194&gt;=Policy!$E$19,Policy!$C$19,Policy!$C$20)))))))</f>
        <v>8</v>
      </c>
    </row>
    <row r="195" spans="1:35" x14ac:dyDescent="0.3">
      <c r="A195" s="16" t="s">
        <v>245</v>
      </c>
      <c r="B195" s="14" t="s">
        <v>4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140.24</v>
      </c>
      <c r="I195" s="15">
        <v>0</v>
      </c>
      <c r="J195" s="15">
        <v>46.54</v>
      </c>
      <c r="K195" s="15">
        <v>0</v>
      </c>
      <c r="L195" s="15">
        <v>0</v>
      </c>
      <c r="M195" s="15">
        <v>0</v>
      </c>
      <c r="N195" s="38">
        <v>0</v>
      </c>
      <c r="O195" s="41">
        <f t="shared" si="43"/>
        <v>186.78</v>
      </c>
      <c r="P195" s="15">
        <f t="shared" si="44"/>
        <v>15.565</v>
      </c>
      <c r="Q195" s="42">
        <f t="shared" si="45"/>
        <v>41.47945658011708</v>
      </c>
      <c r="R195" s="44">
        <f t="shared" si="46"/>
        <v>2.6649185081989772</v>
      </c>
      <c r="S195" s="49"/>
      <c r="T195" s="45">
        <f t="shared" si="53"/>
        <v>18.135844099756106</v>
      </c>
      <c r="U195" s="46">
        <f>VLOOKUP(B195,Policy!$B$5:$J$8,9,FALSE)</f>
        <v>35.440534834623506</v>
      </c>
      <c r="V195" s="15">
        <f t="shared" si="40"/>
        <v>18.135844099756106</v>
      </c>
      <c r="W195" s="15">
        <f t="shared" si="41"/>
        <v>17.551121331781285</v>
      </c>
      <c r="X195" s="46">
        <f>VLOOKUP(B195,Policy!$B$5:$F$8,5,FALSE)</f>
        <v>0.84162123357291474</v>
      </c>
      <c r="Y195" s="47">
        <f t="shared" si="47"/>
        <v>0.11163767369322539</v>
      </c>
      <c r="Z195" s="43">
        <f t="shared" si="48"/>
        <v>1.9593663561876065</v>
      </c>
      <c r="AA195" s="48">
        <f t="shared" ref="AA195:AA245" si="54">1-Z195/T195</f>
        <v>0.89196166743548722</v>
      </c>
      <c r="AB195" s="15"/>
      <c r="AC195" s="45">
        <f t="shared" ref="AC195:AC245" si="55">+V195+X195*W195</f>
        <v>32.907240485597768</v>
      </c>
      <c r="AD195" s="15">
        <f t="shared" si="49"/>
        <v>14.771396385841664</v>
      </c>
      <c r="AE195" s="50">
        <f t="shared" si="42"/>
        <v>9.0679220498780531</v>
      </c>
      <c r="AF195" s="52">
        <f t="shared" ref="AF195:AF245" si="56">T195/(O195/$Y$1)</f>
        <v>35.440534834623506</v>
      </c>
      <c r="AG195" s="51">
        <f t="shared" si="50"/>
        <v>32</v>
      </c>
      <c r="AH195" s="43">
        <f t="shared" si="51"/>
        <v>0.28016999999999997</v>
      </c>
      <c r="AI195" s="53">
        <f>IF(AH195&gt;=Policy!$E$13,Policy!$C$13,IF(Solution!AH195&gt;=Policy!$E$14,Policy!$C$14,IF(Solution!AH195&gt;=Policy!$E$15,Policy!$C$15,IF(Solution!AH195&gt;=Policy!$E$16,Policy!$C$16,IF(Solution!AH195&gt;=Policy!$E$17,Policy!$C$17,IF(Solution!AH195&gt;=Policy!$E$18,Policy!$C$18,IF(AH195&gt;=Policy!$E$19,Policy!$C$19,Policy!$C$20)))))))</f>
        <v>8</v>
      </c>
    </row>
    <row r="196" spans="1:35" x14ac:dyDescent="0.3">
      <c r="A196" s="16" t="s">
        <v>246</v>
      </c>
      <c r="B196" s="14" t="s">
        <v>4</v>
      </c>
      <c r="C196" s="15">
        <v>0</v>
      </c>
      <c r="D196" s="15">
        <v>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184.67</v>
      </c>
      <c r="L196" s="15">
        <v>0</v>
      </c>
      <c r="M196" s="15">
        <v>0</v>
      </c>
      <c r="N196" s="38">
        <v>0</v>
      </c>
      <c r="O196" s="41">
        <f t="shared" si="43"/>
        <v>184.67</v>
      </c>
      <c r="P196" s="15">
        <f t="shared" si="44"/>
        <v>15.389166666666666</v>
      </c>
      <c r="Q196" s="42">
        <f t="shared" si="45"/>
        <v>53.309637105624091</v>
      </c>
      <c r="R196" s="44">
        <f t="shared" si="46"/>
        <v>3.4641016151377544</v>
      </c>
      <c r="S196" s="49"/>
      <c r="T196" s="45">
        <f t="shared" si="53"/>
        <v>17.930968679205264</v>
      </c>
      <c r="U196" s="46">
        <f>VLOOKUP(B196,Policy!$B$5:$J$8,9,FALSE)</f>
        <v>35.440534834623506</v>
      </c>
      <c r="V196" s="15">
        <f t="shared" si="40"/>
        <v>17.930968679205264</v>
      </c>
      <c r="W196" s="15">
        <f t="shared" si="41"/>
        <v>22.552419378354362</v>
      </c>
      <c r="X196" s="46">
        <f>VLOOKUP(B196,Policy!$B$5:$F$8,5,FALSE)</f>
        <v>0.84162123357291474</v>
      </c>
      <c r="Y196" s="47">
        <f t="shared" si="47"/>
        <v>0.11163767369322539</v>
      </c>
      <c r="Z196" s="43">
        <f t="shared" si="48"/>
        <v>2.5176996355534973</v>
      </c>
      <c r="AA196" s="48">
        <f t="shared" si="54"/>
        <v>0.85958931273616579</v>
      </c>
      <c r="AB196" s="15"/>
      <c r="AC196" s="45">
        <f t="shared" si="55"/>
        <v>36.911563696469571</v>
      </c>
      <c r="AD196" s="15">
        <f t="shared" si="49"/>
        <v>18.980595017264307</v>
      </c>
      <c r="AE196" s="50">
        <f t="shared" si="42"/>
        <v>8.9654843396026322</v>
      </c>
      <c r="AF196" s="52">
        <f t="shared" si="56"/>
        <v>35.440534834623506</v>
      </c>
      <c r="AG196" s="51">
        <f t="shared" si="50"/>
        <v>32</v>
      </c>
      <c r="AH196" s="43">
        <f t="shared" si="51"/>
        <v>0.27700499999999995</v>
      </c>
      <c r="AI196" s="53">
        <f>IF(AH196&gt;=Policy!$E$13,Policy!$C$13,IF(Solution!AH196&gt;=Policy!$E$14,Policy!$C$14,IF(Solution!AH196&gt;=Policy!$E$15,Policy!$C$15,IF(Solution!AH196&gt;=Policy!$E$16,Policy!$C$16,IF(Solution!AH196&gt;=Policy!$E$17,Policy!$C$17,IF(Solution!AH196&gt;=Policy!$E$18,Policy!$C$18,IF(AH196&gt;=Policy!$E$19,Policy!$C$19,Policy!$C$20)))))))</f>
        <v>8</v>
      </c>
    </row>
    <row r="197" spans="1:35" x14ac:dyDescent="0.3">
      <c r="A197" s="16" t="s">
        <v>247</v>
      </c>
      <c r="B197" s="14" t="s">
        <v>4</v>
      </c>
      <c r="C197" s="15">
        <v>0</v>
      </c>
      <c r="D197" s="15">
        <v>0</v>
      </c>
      <c r="E197" s="15">
        <v>0</v>
      </c>
      <c r="F197" s="15">
        <v>0</v>
      </c>
      <c r="G197" s="15">
        <v>0</v>
      </c>
      <c r="H197" s="15">
        <v>182.69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38">
        <v>0</v>
      </c>
      <c r="O197" s="41">
        <f t="shared" si="43"/>
        <v>182.69</v>
      </c>
      <c r="P197" s="15">
        <f t="shared" si="44"/>
        <v>15.224166666666667</v>
      </c>
      <c r="Q197" s="42">
        <f t="shared" si="45"/>
        <v>52.738060339126363</v>
      </c>
      <c r="R197" s="44">
        <f t="shared" si="46"/>
        <v>3.4641016151377544</v>
      </c>
      <c r="S197" s="49"/>
      <c r="T197" s="45">
        <f t="shared" si="53"/>
        <v>17.7387159148969</v>
      </c>
      <c r="U197" s="46">
        <f>VLOOKUP(B197,Policy!$B$5:$J$8,9,FALSE)</f>
        <v>35.440534834623506</v>
      </c>
      <c r="V197" s="15">
        <f t="shared" si="40"/>
        <v>17.7387159148969</v>
      </c>
      <c r="W197" s="15">
        <f t="shared" si="41"/>
        <v>22.310616213957648</v>
      </c>
      <c r="X197" s="46">
        <f>VLOOKUP(B197,Policy!$B$5:$F$8,5,FALSE)</f>
        <v>0.84162123357291474</v>
      </c>
      <c r="Y197" s="47">
        <f t="shared" si="47"/>
        <v>0.11163767369322539</v>
      </c>
      <c r="Z197" s="43">
        <f t="shared" si="48"/>
        <v>2.4907052927885873</v>
      </c>
      <c r="AA197" s="48">
        <f t="shared" si="54"/>
        <v>0.85958931273616579</v>
      </c>
      <c r="AB197" s="15"/>
      <c r="AC197" s="45">
        <f t="shared" si="55"/>
        <v>36.515804254659812</v>
      </c>
      <c r="AD197" s="15">
        <f t="shared" si="49"/>
        <v>18.777088339762908</v>
      </c>
      <c r="AE197" s="50">
        <f t="shared" si="42"/>
        <v>8.8693579574484502</v>
      </c>
      <c r="AF197" s="52">
        <f t="shared" si="56"/>
        <v>35.440534834623506</v>
      </c>
      <c r="AG197" s="51">
        <f t="shared" si="50"/>
        <v>32</v>
      </c>
      <c r="AH197" s="43">
        <f t="shared" si="51"/>
        <v>0.27403499999999997</v>
      </c>
      <c r="AI197" s="53">
        <f>IF(AH197&gt;=Policy!$E$13,Policy!$C$13,IF(Solution!AH197&gt;=Policy!$E$14,Policy!$C$14,IF(Solution!AH197&gt;=Policy!$E$15,Policy!$C$15,IF(Solution!AH197&gt;=Policy!$E$16,Policy!$C$16,IF(Solution!AH197&gt;=Policy!$E$17,Policy!$C$17,IF(Solution!AH197&gt;=Policy!$E$18,Policy!$C$18,IF(AH197&gt;=Policy!$E$19,Policy!$C$19,Policy!$C$20)))))))</f>
        <v>8</v>
      </c>
    </row>
    <row r="198" spans="1:35" x14ac:dyDescent="0.3">
      <c r="A198" s="16" t="s">
        <v>248</v>
      </c>
      <c r="B198" s="14" t="s">
        <v>4</v>
      </c>
      <c r="C198" s="15">
        <v>0</v>
      </c>
      <c r="D198" s="15">
        <v>0</v>
      </c>
      <c r="E198" s="15">
        <v>0</v>
      </c>
      <c r="F198" s="15">
        <v>0</v>
      </c>
      <c r="G198" s="15">
        <v>71.680000000000007</v>
      </c>
      <c r="H198" s="15">
        <v>107.91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38">
        <v>0</v>
      </c>
      <c r="O198" s="41">
        <f t="shared" si="43"/>
        <v>179.59</v>
      </c>
      <c r="P198" s="15">
        <f t="shared" si="44"/>
        <v>14.965833333333334</v>
      </c>
      <c r="Q198" s="42">
        <f t="shared" si="45"/>
        <v>35.79598313125836</v>
      </c>
      <c r="R198" s="44">
        <f t="shared" si="46"/>
        <v>2.3918469712962875</v>
      </c>
      <c r="S198" s="49"/>
      <c r="T198" s="45">
        <f t="shared" si="53"/>
        <v>17.43771411219188</v>
      </c>
      <c r="U198" s="46">
        <f>VLOOKUP(B198,Policy!$B$5:$J$8,9,FALSE)</f>
        <v>35.440534834623506</v>
      </c>
      <c r="V198" s="15">
        <f t="shared" ref="V198:V245" si="57">(O198/$Y$1)*U198</f>
        <v>17.43771411219188</v>
      </c>
      <c r="W198" s="15">
        <f t="shared" ref="W198:W245" si="58">SQRT($Q$1*(Q198/SQRT($Y$2))^2+(O198/$Y$1)^2*($Q$2)^2)</f>
        <v>15.148024407751796</v>
      </c>
      <c r="X198" s="46">
        <f>VLOOKUP(B198,Policy!$B$5:$F$8,5,FALSE)</f>
        <v>0.84162123357291474</v>
      </c>
      <c r="Y198" s="47">
        <f t="shared" si="47"/>
        <v>0.11163767369322539</v>
      </c>
      <c r="Z198" s="43">
        <f t="shared" si="48"/>
        <v>1.6910902059296087</v>
      </c>
      <c r="AA198" s="48">
        <f t="shared" si="54"/>
        <v>0.90302110729368745</v>
      </c>
      <c r="AB198" s="15"/>
      <c r="AC198" s="45">
        <f t="shared" si="55"/>
        <v>30.186613100436567</v>
      </c>
      <c r="AD198" s="15">
        <f t="shared" si="49"/>
        <v>12.748898988244688</v>
      </c>
      <c r="AE198" s="50">
        <f t="shared" ref="AE198:AE245" si="59">IF(B198="C",(T198/2),(S198/2))</f>
        <v>8.7188570560959402</v>
      </c>
      <c r="AF198" s="52">
        <f t="shared" si="56"/>
        <v>35.440534834623506</v>
      </c>
      <c r="AG198" s="51">
        <f t="shared" si="50"/>
        <v>32</v>
      </c>
      <c r="AH198" s="43">
        <f t="shared" si="51"/>
        <v>0.26938499999999999</v>
      </c>
      <c r="AI198" s="53">
        <f>IF(AH198&gt;=Policy!$E$13,Policy!$C$13,IF(Solution!AH198&gt;=Policy!$E$14,Policy!$C$14,IF(Solution!AH198&gt;=Policy!$E$15,Policy!$C$15,IF(Solution!AH198&gt;=Policy!$E$16,Policy!$C$16,IF(Solution!AH198&gt;=Policy!$E$17,Policy!$C$17,IF(Solution!AH198&gt;=Policy!$E$18,Policy!$C$18,IF(AH198&gt;=Policy!$E$19,Policy!$C$19,Policy!$C$20)))))))</f>
        <v>8</v>
      </c>
    </row>
    <row r="199" spans="1:35" x14ac:dyDescent="0.3">
      <c r="A199" s="16" t="s">
        <v>249</v>
      </c>
      <c r="B199" s="14" t="s">
        <v>4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69.180000000000007</v>
      </c>
      <c r="K199" s="15">
        <v>69.150000000000006</v>
      </c>
      <c r="L199" s="15">
        <v>34.72</v>
      </c>
      <c r="M199" s="15">
        <v>31.248000000000001</v>
      </c>
      <c r="N199" s="38">
        <v>38.192</v>
      </c>
      <c r="O199" s="41">
        <f t="shared" ref="O199:O245" si="60">SUM(C199:N199)</f>
        <v>242.49</v>
      </c>
      <c r="P199" s="15">
        <f t="shared" ref="P199:P245" si="61">AVERAGE(C199:N199)</f>
        <v>20.2075</v>
      </c>
      <c r="Q199" s="42">
        <f t="shared" ref="Q199:Q245" si="62">STDEV(C199:N199)</f>
        <v>27.482263690341355</v>
      </c>
      <c r="R199" s="44">
        <f t="shared" ref="R199:R246" si="63">Q199/P199</f>
        <v>1.3600031518169668</v>
      </c>
      <c r="S199" s="49"/>
      <c r="T199" s="45">
        <f t="shared" si="53"/>
        <v>23.54513778643248</v>
      </c>
      <c r="U199" s="46">
        <f>VLOOKUP(B199,Policy!$B$5:$J$8,9,FALSE)</f>
        <v>35.440534834623506</v>
      </c>
      <c r="V199" s="15">
        <f t="shared" si="57"/>
        <v>23.54513778643248</v>
      </c>
      <c r="W199" s="15">
        <f t="shared" si="58"/>
        <v>11.644223603686024</v>
      </c>
      <c r="X199" s="46">
        <f>VLOOKUP(B199,Policy!$B$5:$F$8,5,FALSE)</f>
        <v>0.84162123357291474</v>
      </c>
      <c r="Y199" s="47">
        <f t="shared" ref="Y199:Y245" si="64">_xlfn.NORM.DIST(X199,0,1,0)-X199*(1-_xlfn.NORM.DIST(X199,0,1,1))</f>
        <v>0.11163767369322539</v>
      </c>
      <c r="Z199" s="43">
        <f t="shared" ref="Z199:Z245" si="65">W199*Y199</f>
        <v>1.2999340350792534</v>
      </c>
      <c r="AA199" s="48">
        <f t="shared" si="54"/>
        <v>0.94478970363773707</v>
      </c>
      <c r="AB199" s="15"/>
      <c r="AC199" s="45">
        <f t="shared" si="55"/>
        <v>33.345163619765565</v>
      </c>
      <c r="AD199" s="15">
        <f t="shared" ref="AD199:AD245" si="66">+X199*W199</f>
        <v>9.8000258333330823</v>
      </c>
      <c r="AE199" s="50">
        <f t="shared" si="59"/>
        <v>11.77256889321624</v>
      </c>
      <c r="AF199" s="52">
        <f t="shared" si="56"/>
        <v>35.440534834623506</v>
      </c>
      <c r="AG199" s="51">
        <f t="shared" ref="AG199:AG245" si="67">2^ROUNDUP((LN(AF199/SQRT(2))/LN(2)),0)</f>
        <v>32</v>
      </c>
      <c r="AH199" s="43">
        <f t="shared" si="51"/>
        <v>0.36373499999999998</v>
      </c>
      <c r="AI199" s="53">
        <f>IF(AH199&gt;=Policy!$E$13,Policy!$C$13,IF(Solution!AH199&gt;=Policy!$E$14,Policy!$C$14,IF(Solution!AH199&gt;=Policy!$E$15,Policy!$C$15,IF(Solution!AH199&gt;=Policy!$E$16,Policy!$C$16,IF(Solution!AH199&gt;=Policy!$E$17,Policy!$C$17,IF(Solution!AH199&gt;=Policy!$E$18,Policy!$C$18,IF(AH199&gt;=Policy!$E$19,Policy!$C$19,Policy!$C$20)))))))</f>
        <v>8</v>
      </c>
    </row>
    <row r="200" spans="1:35" x14ac:dyDescent="0.3">
      <c r="A200" s="16" t="s">
        <v>250</v>
      </c>
      <c r="B200" s="14" t="s">
        <v>4</v>
      </c>
      <c r="C200" s="15">
        <v>0</v>
      </c>
      <c r="D200" s="15">
        <v>0</v>
      </c>
      <c r="E200" s="15">
        <v>57.38</v>
      </c>
      <c r="F200" s="15">
        <v>115.09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38">
        <v>0</v>
      </c>
      <c r="O200" s="41">
        <f t="shared" si="60"/>
        <v>172.47</v>
      </c>
      <c r="P200" s="15">
        <f t="shared" si="61"/>
        <v>14.3725</v>
      </c>
      <c r="Q200" s="42">
        <f t="shared" si="62"/>
        <v>35.75083905563362</v>
      </c>
      <c r="R200" s="44">
        <f t="shared" si="63"/>
        <v>2.4874474903902328</v>
      </c>
      <c r="S200" s="49"/>
      <c r="T200" s="45">
        <f t="shared" si="53"/>
        <v>16.746380939527441</v>
      </c>
      <c r="U200" s="46">
        <f>VLOOKUP(B200,Policy!$B$5:$J$8,9,FALSE)</f>
        <v>35.440534834623506</v>
      </c>
      <c r="V200" s="15">
        <f t="shared" si="57"/>
        <v>16.746380939527441</v>
      </c>
      <c r="W200" s="15">
        <f t="shared" si="58"/>
        <v>15.128246684316846</v>
      </c>
      <c r="X200" s="46">
        <f>VLOOKUP(B200,Policy!$B$5:$F$8,5,FALSE)</f>
        <v>0.84162123357291474</v>
      </c>
      <c r="Y200" s="47">
        <f t="shared" si="64"/>
        <v>0.11163767369322539</v>
      </c>
      <c r="Z200" s="43">
        <f t="shared" si="65"/>
        <v>1.6888822668943828</v>
      </c>
      <c r="AA200" s="48">
        <f t="shared" si="54"/>
        <v>0.89914941783582525</v>
      </c>
      <c r="AB200" s="15"/>
      <c r="AC200" s="45">
        <f t="shared" si="55"/>
        <v>29.478634575777541</v>
      </c>
      <c r="AD200" s="15">
        <f t="shared" si="66"/>
        <v>12.732253636250102</v>
      </c>
      <c r="AE200" s="50">
        <f t="shared" si="59"/>
        <v>8.3731904697637205</v>
      </c>
      <c r="AF200" s="52">
        <f t="shared" si="56"/>
        <v>35.440534834623506</v>
      </c>
      <c r="AG200" s="51">
        <f t="shared" si="67"/>
        <v>32</v>
      </c>
      <c r="AH200" s="43">
        <f t="shared" ref="AH200:AH244" si="68">O200*$T$3/10^5</f>
        <v>0.25870500000000002</v>
      </c>
      <c r="AI200" s="53">
        <f>IF(AH200&gt;=Policy!$E$13,Policy!$C$13,IF(Solution!AH200&gt;=Policy!$E$14,Policy!$C$14,IF(Solution!AH200&gt;=Policy!$E$15,Policy!$C$15,IF(Solution!AH200&gt;=Policy!$E$16,Policy!$C$16,IF(Solution!AH200&gt;=Policy!$E$17,Policy!$C$17,IF(Solution!AH200&gt;=Policy!$E$18,Policy!$C$18,IF(AH200&gt;=Policy!$E$19,Policy!$C$19,Policy!$C$20)))))))</f>
        <v>8</v>
      </c>
    </row>
    <row r="201" spans="1:35" x14ac:dyDescent="0.3">
      <c r="A201" s="16" t="s">
        <v>251</v>
      </c>
      <c r="B201" s="14" t="s">
        <v>4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172.47</v>
      </c>
      <c r="L201" s="15">
        <v>0</v>
      </c>
      <c r="M201" s="15">
        <v>0</v>
      </c>
      <c r="N201" s="38">
        <v>0</v>
      </c>
      <c r="O201" s="41">
        <f t="shared" si="60"/>
        <v>172.47</v>
      </c>
      <c r="P201" s="15">
        <f t="shared" si="61"/>
        <v>14.3725</v>
      </c>
      <c r="Q201" s="42">
        <f t="shared" si="62"/>
        <v>49.787800463567379</v>
      </c>
      <c r="R201" s="44">
        <f t="shared" si="63"/>
        <v>3.4641016151377544</v>
      </c>
      <c r="S201" s="49"/>
      <c r="T201" s="45">
        <f t="shared" si="53"/>
        <v>16.746380939527441</v>
      </c>
      <c r="U201" s="46">
        <f>VLOOKUP(B201,Policy!$B$5:$J$8,9,FALSE)</f>
        <v>35.440534834623506</v>
      </c>
      <c r="V201" s="15">
        <f t="shared" si="57"/>
        <v>16.746380939527441</v>
      </c>
      <c r="W201" s="15">
        <f t="shared" si="58"/>
        <v>21.062521092677624</v>
      </c>
      <c r="X201" s="46">
        <f>VLOOKUP(B201,Policy!$B$5:$F$8,5,FALSE)</f>
        <v>0.84162123357291474</v>
      </c>
      <c r="Y201" s="47">
        <f t="shared" si="64"/>
        <v>0.11163767369322539</v>
      </c>
      <c r="Z201" s="43">
        <f t="shared" si="65"/>
        <v>2.3513708569010214</v>
      </c>
      <c r="AA201" s="48">
        <f t="shared" si="54"/>
        <v>0.85958931273616579</v>
      </c>
      <c r="AB201" s="15"/>
      <c r="AC201" s="45">
        <f t="shared" si="55"/>
        <v>34.473045923702315</v>
      </c>
      <c r="AD201" s="15">
        <f t="shared" si="66"/>
        <v>17.726664984174878</v>
      </c>
      <c r="AE201" s="50">
        <f t="shared" si="59"/>
        <v>8.3731904697637205</v>
      </c>
      <c r="AF201" s="52">
        <f t="shared" si="56"/>
        <v>35.440534834623506</v>
      </c>
      <c r="AG201" s="51">
        <f t="shared" si="67"/>
        <v>32</v>
      </c>
      <c r="AH201" s="43">
        <f t="shared" si="68"/>
        <v>0.25870500000000002</v>
      </c>
      <c r="AI201" s="53">
        <f>IF(AH201&gt;=Policy!$E$13,Policy!$C$13,IF(Solution!AH201&gt;=Policy!$E$14,Policy!$C$14,IF(Solution!AH201&gt;=Policy!$E$15,Policy!$C$15,IF(Solution!AH201&gt;=Policy!$E$16,Policy!$C$16,IF(Solution!AH201&gt;=Policy!$E$17,Policy!$C$17,IF(Solution!AH201&gt;=Policy!$E$18,Policy!$C$18,IF(AH201&gt;=Policy!$E$19,Policy!$C$19,Policy!$C$20)))))))</f>
        <v>8</v>
      </c>
    </row>
    <row r="202" spans="1:35" x14ac:dyDescent="0.3">
      <c r="A202" s="16" t="s">
        <v>252</v>
      </c>
      <c r="B202" s="14" t="s">
        <v>4</v>
      </c>
      <c r="C202" s="15">
        <v>0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170.62</v>
      </c>
      <c r="J202" s="15">
        <v>0</v>
      </c>
      <c r="K202" s="15">
        <v>0</v>
      </c>
      <c r="L202" s="15">
        <v>0</v>
      </c>
      <c r="M202" s="15">
        <v>0</v>
      </c>
      <c r="N202" s="38">
        <v>0</v>
      </c>
      <c r="O202" s="41">
        <f t="shared" si="60"/>
        <v>170.62</v>
      </c>
      <c r="P202" s="15">
        <f t="shared" si="61"/>
        <v>14.218333333333334</v>
      </c>
      <c r="Q202" s="42">
        <f t="shared" si="62"/>
        <v>49.253751464566975</v>
      </c>
      <c r="R202" s="44">
        <f t="shared" si="63"/>
        <v>3.4641016151377544</v>
      </c>
      <c r="S202" s="49"/>
      <c r="T202" s="45">
        <f t="shared" si="53"/>
        <v>16.56675083146154</v>
      </c>
      <c r="U202" s="46">
        <f>VLOOKUP(B202,Policy!$B$5:$J$8,9,FALSE)</f>
        <v>35.440534834623506</v>
      </c>
      <c r="V202" s="15">
        <f t="shared" si="57"/>
        <v>16.56675083146154</v>
      </c>
      <c r="W202" s="15">
        <f t="shared" si="58"/>
        <v>20.836593893620087</v>
      </c>
      <c r="X202" s="46">
        <f>VLOOKUP(B202,Policy!$B$5:$F$8,5,FALSE)</f>
        <v>0.84162123357291474</v>
      </c>
      <c r="Y202" s="47">
        <f t="shared" si="64"/>
        <v>0.11163767369322539</v>
      </c>
      <c r="Z202" s="43">
        <f t="shared" si="65"/>
        <v>2.3261488699742121</v>
      </c>
      <c r="AA202" s="48">
        <f t="shared" si="54"/>
        <v>0.85958931273616579</v>
      </c>
      <c r="AB202" s="15"/>
      <c r="AC202" s="45">
        <f t="shared" si="55"/>
        <v>34.103270687667944</v>
      </c>
      <c r="AD202" s="15">
        <f t="shared" si="66"/>
        <v>17.5365198562064</v>
      </c>
      <c r="AE202" s="50">
        <f t="shared" si="59"/>
        <v>8.2833754157307702</v>
      </c>
      <c r="AF202" s="52">
        <f t="shared" si="56"/>
        <v>35.440534834623506</v>
      </c>
      <c r="AG202" s="51">
        <f t="shared" si="67"/>
        <v>32</v>
      </c>
      <c r="AH202" s="43">
        <f t="shared" si="68"/>
        <v>0.25592999999999999</v>
      </c>
      <c r="AI202" s="53">
        <f>IF(AH202&gt;=Policy!$E$13,Policy!$C$13,IF(Solution!AH202&gt;=Policy!$E$14,Policy!$C$14,IF(Solution!AH202&gt;=Policy!$E$15,Policy!$C$15,IF(Solution!AH202&gt;=Policy!$E$16,Policy!$C$16,IF(Solution!AH202&gt;=Policy!$E$17,Policy!$C$17,IF(Solution!AH202&gt;=Policy!$E$18,Policy!$C$18,IF(AH202&gt;=Policy!$E$19,Policy!$C$19,Policy!$C$20)))))))</f>
        <v>8</v>
      </c>
    </row>
    <row r="203" spans="1:35" x14ac:dyDescent="0.3">
      <c r="A203" s="16" t="s">
        <v>253</v>
      </c>
      <c r="B203" s="14" t="s">
        <v>4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166.86</v>
      </c>
      <c r="L203" s="15">
        <v>0</v>
      </c>
      <c r="M203" s="15">
        <v>0</v>
      </c>
      <c r="N203" s="38">
        <v>0</v>
      </c>
      <c r="O203" s="41">
        <f t="shared" si="60"/>
        <v>166.86</v>
      </c>
      <c r="P203" s="15">
        <f t="shared" si="61"/>
        <v>13.905000000000001</v>
      </c>
      <c r="Q203" s="42">
        <f t="shared" si="62"/>
        <v>48.168332958490481</v>
      </c>
      <c r="R203" s="44">
        <f t="shared" si="63"/>
        <v>3.4641016151377544</v>
      </c>
      <c r="S203" s="49"/>
      <c r="T203" s="45">
        <f t="shared" si="53"/>
        <v>16.201664773987066</v>
      </c>
      <c r="U203" s="46">
        <f>VLOOKUP(B203,Policy!$B$5:$J$8,9,FALSE)</f>
        <v>35.440534834623506</v>
      </c>
      <c r="V203" s="15">
        <f t="shared" si="57"/>
        <v>16.201664773987066</v>
      </c>
      <c r="W203" s="15">
        <f t="shared" si="58"/>
        <v>20.377412126886931</v>
      </c>
      <c r="X203" s="46">
        <f>VLOOKUP(B203,Policy!$B$5:$F$8,5,FALSE)</f>
        <v>0.84162123357291474</v>
      </c>
      <c r="Y203" s="47">
        <f t="shared" si="64"/>
        <v>0.11163767369322539</v>
      </c>
      <c r="Z203" s="43">
        <f t="shared" si="65"/>
        <v>2.274886885733777</v>
      </c>
      <c r="AA203" s="48">
        <f t="shared" si="54"/>
        <v>0.85958931273616579</v>
      </c>
      <c r="AB203" s="15"/>
      <c r="AC203" s="45">
        <f t="shared" si="55"/>
        <v>33.351727505241314</v>
      </c>
      <c r="AD203" s="15">
        <f t="shared" si="66"/>
        <v>17.150062731254252</v>
      </c>
      <c r="AE203" s="50">
        <f t="shared" si="59"/>
        <v>8.1008323869935328</v>
      </c>
      <c r="AF203" s="52">
        <f t="shared" si="56"/>
        <v>35.440534834623506</v>
      </c>
      <c r="AG203" s="51">
        <f t="shared" si="67"/>
        <v>32</v>
      </c>
      <c r="AH203" s="43">
        <f t="shared" si="68"/>
        <v>0.25029000000000001</v>
      </c>
      <c r="AI203" s="53">
        <f>IF(AH203&gt;=Policy!$E$13,Policy!$C$13,IF(Solution!AH203&gt;=Policy!$E$14,Policy!$C$14,IF(Solution!AH203&gt;=Policy!$E$15,Policy!$C$15,IF(Solution!AH203&gt;=Policy!$E$16,Policy!$C$16,IF(Solution!AH203&gt;=Policy!$E$17,Policy!$C$17,IF(Solution!AH203&gt;=Policy!$E$18,Policy!$C$18,IF(AH203&gt;=Policy!$E$19,Policy!$C$19,Policy!$C$20)))))))</f>
        <v>8</v>
      </c>
    </row>
    <row r="204" spans="1:35" x14ac:dyDescent="0.3">
      <c r="A204" s="16" t="s">
        <v>254</v>
      </c>
      <c r="B204" s="14" t="s">
        <v>4</v>
      </c>
      <c r="C204" s="15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166.35</v>
      </c>
      <c r="L204" s="15">
        <v>0</v>
      </c>
      <c r="M204" s="15">
        <v>0</v>
      </c>
      <c r="N204" s="38">
        <v>0</v>
      </c>
      <c r="O204" s="41">
        <f t="shared" si="60"/>
        <v>166.35</v>
      </c>
      <c r="P204" s="15">
        <f t="shared" si="61"/>
        <v>13.862499999999999</v>
      </c>
      <c r="Q204" s="42">
        <f t="shared" si="62"/>
        <v>48.021108639847121</v>
      </c>
      <c r="R204" s="44">
        <f t="shared" si="63"/>
        <v>3.4641016151377548</v>
      </c>
      <c r="S204" s="49"/>
      <c r="T204" s="45">
        <f t="shared" si="53"/>
        <v>16.1521451225743</v>
      </c>
      <c r="U204" s="46">
        <f>VLOOKUP(B204,Policy!$B$5:$J$8,9,FALSE)</f>
        <v>35.440534834623506</v>
      </c>
      <c r="V204" s="15">
        <f t="shared" si="57"/>
        <v>16.1521451225743</v>
      </c>
      <c r="W204" s="15">
        <f t="shared" si="58"/>
        <v>20.315129493633229</v>
      </c>
      <c r="X204" s="46">
        <f>VLOOKUP(B204,Policy!$B$5:$F$8,5,FALSE)</f>
        <v>0.84162123357291474</v>
      </c>
      <c r="Y204" s="47">
        <f t="shared" si="64"/>
        <v>0.11163767369322539</v>
      </c>
      <c r="Z204" s="43">
        <f t="shared" si="65"/>
        <v>2.2679337974458456</v>
      </c>
      <c r="AA204" s="48">
        <f t="shared" si="54"/>
        <v>0.85958931273616579</v>
      </c>
      <c r="AB204" s="15"/>
      <c r="AC204" s="45">
        <f t="shared" si="55"/>
        <v>33.249789467199406</v>
      </c>
      <c r="AD204" s="15">
        <f t="shared" si="66"/>
        <v>17.097644344625103</v>
      </c>
      <c r="AE204" s="50">
        <f t="shared" si="59"/>
        <v>8.07607256128715</v>
      </c>
      <c r="AF204" s="52">
        <f t="shared" si="56"/>
        <v>35.440534834623506</v>
      </c>
      <c r="AG204" s="51">
        <f t="shared" si="67"/>
        <v>32</v>
      </c>
      <c r="AH204" s="43">
        <f t="shared" si="68"/>
        <v>0.249525</v>
      </c>
      <c r="AI204" s="53">
        <f>IF(AH204&gt;=Policy!$E$13,Policy!$C$13,IF(Solution!AH204&gt;=Policy!$E$14,Policy!$C$14,IF(Solution!AH204&gt;=Policy!$E$15,Policy!$C$15,IF(Solution!AH204&gt;=Policy!$E$16,Policy!$C$16,IF(Solution!AH204&gt;=Policy!$E$17,Policy!$C$17,IF(Solution!AH204&gt;=Policy!$E$18,Policy!$C$18,IF(AH204&gt;=Policy!$E$19,Policy!$C$19,Policy!$C$20)))))))</f>
        <v>8</v>
      </c>
    </row>
    <row r="205" spans="1:35" x14ac:dyDescent="0.3">
      <c r="A205" s="16" t="s">
        <v>255</v>
      </c>
      <c r="B205" s="14" t="s">
        <v>4</v>
      </c>
      <c r="C205" s="15">
        <v>0</v>
      </c>
      <c r="D205" s="15">
        <v>0</v>
      </c>
      <c r="E205" s="15">
        <v>160.78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38">
        <v>0</v>
      </c>
      <c r="O205" s="41">
        <f t="shared" si="60"/>
        <v>160.78</v>
      </c>
      <c r="P205" s="15">
        <f t="shared" si="61"/>
        <v>13.398333333333333</v>
      </c>
      <c r="Q205" s="42">
        <f t="shared" si="62"/>
        <v>46.413188140154013</v>
      </c>
      <c r="R205" s="44">
        <f t="shared" si="63"/>
        <v>3.4641016151377544</v>
      </c>
      <c r="S205" s="49"/>
      <c r="T205" s="45">
        <f t="shared" si="53"/>
        <v>15.611312851262376</v>
      </c>
      <c r="U205" s="46">
        <f>VLOOKUP(B205,Policy!$B$5:$J$8,9,FALSE)</f>
        <v>35.440534834623506</v>
      </c>
      <c r="V205" s="15">
        <f t="shared" si="57"/>
        <v>15.611312851262376</v>
      </c>
      <c r="W205" s="15">
        <f t="shared" si="58"/>
        <v>19.634905440254588</v>
      </c>
      <c r="X205" s="46">
        <f>VLOOKUP(B205,Policy!$B$5:$F$8,5,FALSE)</f>
        <v>0.84162123357291474</v>
      </c>
      <c r="Y205" s="47">
        <f t="shared" si="64"/>
        <v>0.11163767369322539</v>
      </c>
      <c r="Z205" s="43">
        <f t="shared" si="65"/>
        <v>2.1919951665364779</v>
      </c>
      <c r="AA205" s="48">
        <f t="shared" si="54"/>
        <v>0.85958931273616579</v>
      </c>
      <c r="AB205" s="15"/>
      <c r="AC205" s="45">
        <f t="shared" si="55"/>
        <v>32.136466188976982</v>
      </c>
      <c r="AD205" s="15">
        <f t="shared" si="66"/>
        <v>16.525153337714602</v>
      </c>
      <c r="AE205" s="50">
        <f t="shared" si="59"/>
        <v>7.805656425631188</v>
      </c>
      <c r="AF205" s="52">
        <f t="shared" si="56"/>
        <v>35.440534834623506</v>
      </c>
      <c r="AG205" s="51">
        <f t="shared" si="67"/>
        <v>32</v>
      </c>
      <c r="AH205" s="43">
        <f t="shared" si="68"/>
        <v>0.24117</v>
      </c>
      <c r="AI205" s="53">
        <f>IF(AH205&gt;=Policy!$E$13,Policy!$C$13,IF(Solution!AH205&gt;=Policy!$E$14,Policy!$C$14,IF(Solution!AH205&gt;=Policy!$E$15,Policy!$C$15,IF(Solution!AH205&gt;=Policy!$E$16,Policy!$C$16,IF(Solution!AH205&gt;=Policy!$E$17,Policy!$C$17,IF(Solution!AH205&gt;=Policy!$E$18,Policy!$C$18,IF(AH205&gt;=Policy!$E$19,Policy!$C$19,Policy!$C$20)))))))</f>
        <v>8</v>
      </c>
    </row>
    <row r="206" spans="1:35" x14ac:dyDescent="0.3">
      <c r="A206" s="16" t="s">
        <v>256</v>
      </c>
      <c r="B206" s="14" t="s">
        <v>4</v>
      </c>
      <c r="C206" s="15">
        <v>0</v>
      </c>
      <c r="D206" s="15">
        <v>0</v>
      </c>
      <c r="E206" s="15">
        <v>0</v>
      </c>
      <c r="F206" s="15">
        <v>31.08</v>
      </c>
      <c r="G206" s="15">
        <v>0</v>
      </c>
      <c r="H206" s="15">
        <v>124.52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38">
        <v>0</v>
      </c>
      <c r="O206" s="41">
        <f t="shared" si="60"/>
        <v>155.6</v>
      </c>
      <c r="P206" s="15">
        <f t="shared" si="61"/>
        <v>12.966666666666667</v>
      </c>
      <c r="Q206" s="42">
        <f t="shared" si="62"/>
        <v>36.248615605748768</v>
      </c>
      <c r="R206" s="44">
        <f t="shared" si="63"/>
        <v>2.7955230544279255</v>
      </c>
      <c r="S206" s="49"/>
      <c r="T206" s="45">
        <f t="shared" si="53"/>
        <v>15.108348548677856</v>
      </c>
      <c r="U206" s="46">
        <f>VLOOKUP(B206,Policy!$B$5:$J$8,9,FALSE)</f>
        <v>35.440534834623506</v>
      </c>
      <c r="V206" s="15">
        <f t="shared" si="57"/>
        <v>15.108348548677856</v>
      </c>
      <c r="W206" s="15">
        <f t="shared" si="58"/>
        <v>15.337139570060611</v>
      </c>
      <c r="X206" s="46">
        <f>VLOOKUP(B206,Policy!$B$5:$F$8,5,FALSE)</f>
        <v>0.84162123357291474</v>
      </c>
      <c r="Y206" s="47">
        <f t="shared" si="64"/>
        <v>0.11163767369322539</v>
      </c>
      <c r="Z206" s="43">
        <f t="shared" si="65"/>
        <v>1.7122025827098815</v>
      </c>
      <c r="AA206" s="48">
        <f t="shared" si="54"/>
        <v>0.88667175785670382</v>
      </c>
      <c r="AB206" s="15"/>
      <c r="AC206" s="45">
        <f t="shared" si="55"/>
        <v>28.016410873112228</v>
      </c>
      <c r="AD206" s="15">
        <f t="shared" si="66"/>
        <v>12.908062324434374</v>
      </c>
      <c r="AE206" s="50">
        <f t="shared" si="59"/>
        <v>7.5541742743389282</v>
      </c>
      <c r="AF206" s="52">
        <f t="shared" si="56"/>
        <v>35.440534834623506</v>
      </c>
      <c r="AG206" s="51">
        <f t="shared" si="67"/>
        <v>32</v>
      </c>
      <c r="AH206" s="43">
        <f t="shared" si="68"/>
        <v>0.2334</v>
      </c>
      <c r="AI206" s="53">
        <f>IF(AH206&gt;=Policy!$E$13,Policy!$C$13,IF(Solution!AH206&gt;=Policy!$E$14,Policy!$C$14,IF(Solution!AH206&gt;=Policy!$E$15,Policy!$C$15,IF(Solution!AH206&gt;=Policy!$E$16,Policy!$C$16,IF(Solution!AH206&gt;=Policy!$E$17,Policy!$C$17,IF(Solution!AH206&gt;=Policy!$E$18,Policy!$C$18,IF(AH206&gt;=Policy!$E$19,Policy!$C$19,Policy!$C$20)))))))</f>
        <v>8</v>
      </c>
    </row>
    <row r="207" spans="1:35" x14ac:dyDescent="0.3">
      <c r="A207" s="16" t="s">
        <v>257</v>
      </c>
      <c r="B207" s="14" t="s">
        <v>4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61</v>
      </c>
      <c r="I207" s="15">
        <v>0</v>
      </c>
      <c r="J207" s="15">
        <v>0</v>
      </c>
      <c r="K207" s="15">
        <v>91.27</v>
      </c>
      <c r="L207" s="15">
        <v>0</v>
      </c>
      <c r="M207" s="15">
        <v>0</v>
      </c>
      <c r="N207" s="38">
        <v>0</v>
      </c>
      <c r="O207" s="41">
        <f t="shared" si="60"/>
        <v>152.26999999999998</v>
      </c>
      <c r="P207" s="15">
        <f t="shared" si="61"/>
        <v>12.689166666666665</v>
      </c>
      <c r="Q207" s="42">
        <f t="shared" si="62"/>
        <v>30.33005333998047</v>
      </c>
      <c r="R207" s="44">
        <f t="shared" si="63"/>
        <v>2.3902320882627284</v>
      </c>
      <c r="S207" s="49"/>
      <c r="T207" s="45">
        <f t="shared" si="53"/>
        <v>14.785014354159234</v>
      </c>
      <c r="U207" s="46">
        <f>VLOOKUP(B207,Policy!$B$5:$J$8,9,FALSE)</f>
        <v>35.440534834623506</v>
      </c>
      <c r="V207" s="15">
        <f t="shared" si="57"/>
        <v>14.785014354159234</v>
      </c>
      <c r="W207" s="15">
        <f t="shared" si="58"/>
        <v>12.834980770576289</v>
      </c>
      <c r="X207" s="46">
        <f>VLOOKUP(B207,Policy!$B$5:$F$8,5,FALSE)</f>
        <v>0.84162123357291474</v>
      </c>
      <c r="Y207" s="47">
        <f t="shared" si="64"/>
        <v>0.11163767369322539</v>
      </c>
      <c r="Z207" s="43">
        <f t="shared" si="65"/>
        <v>1.4328673951244182</v>
      </c>
      <c r="AA207" s="48">
        <f t="shared" si="54"/>
        <v>0.90308650632311815</v>
      </c>
      <c r="AB207" s="15"/>
      <c r="AC207" s="45">
        <f t="shared" si="55"/>
        <v>25.587206703176292</v>
      </c>
      <c r="AD207" s="15">
        <f t="shared" si="66"/>
        <v>10.802192349017057</v>
      </c>
      <c r="AE207" s="50">
        <f t="shared" si="59"/>
        <v>7.3925071770796169</v>
      </c>
      <c r="AF207" s="52">
        <f t="shared" si="56"/>
        <v>35.440534834623506</v>
      </c>
      <c r="AG207" s="51">
        <f t="shared" si="67"/>
        <v>32</v>
      </c>
      <c r="AH207" s="43">
        <f t="shared" si="68"/>
        <v>0.22840499999999997</v>
      </c>
      <c r="AI207" s="53">
        <f>IF(AH207&gt;=Policy!$E$13,Policy!$C$13,IF(Solution!AH207&gt;=Policy!$E$14,Policy!$C$14,IF(Solution!AH207&gt;=Policy!$E$15,Policy!$C$15,IF(Solution!AH207&gt;=Policy!$E$16,Policy!$C$16,IF(Solution!AH207&gt;=Policy!$E$17,Policy!$C$17,IF(Solution!AH207&gt;=Policy!$E$18,Policy!$C$18,IF(AH207&gt;=Policy!$E$19,Policy!$C$19,Policy!$C$20)))))))</f>
        <v>8</v>
      </c>
    </row>
    <row r="208" spans="1:35" x14ac:dyDescent="0.3">
      <c r="A208" s="16" t="s">
        <v>258</v>
      </c>
      <c r="B208" s="14" t="s">
        <v>4</v>
      </c>
      <c r="C208" s="15">
        <v>0</v>
      </c>
      <c r="D208" s="15">
        <v>0</v>
      </c>
      <c r="E208" s="15">
        <v>0</v>
      </c>
      <c r="F208" s="15">
        <v>0</v>
      </c>
      <c r="G208" s="15">
        <v>134.85</v>
      </c>
      <c r="H208" s="15">
        <v>0</v>
      </c>
      <c r="I208" s="15">
        <v>0</v>
      </c>
      <c r="J208" s="15">
        <v>0</v>
      </c>
      <c r="K208" s="15">
        <v>16.97</v>
      </c>
      <c r="L208" s="15">
        <v>0</v>
      </c>
      <c r="M208" s="15">
        <v>0</v>
      </c>
      <c r="N208" s="38">
        <v>0</v>
      </c>
      <c r="O208" s="41">
        <f t="shared" si="60"/>
        <v>151.82</v>
      </c>
      <c r="P208" s="15">
        <f t="shared" si="61"/>
        <v>12.651666666666666</v>
      </c>
      <c r="Q208" s="42">
        <f t="shared" si="62"/>
        <v>38.790494813533741</v>
      </c>
      <c r="R208" s="44">
        <f t="shared" si="63"/>
        <v>3.0660383201317676</v>
      </c>
      <c r="S208" s="49"/>
      <c r="T208" s="45">
        <f t="shared" si="53"/>
        <v>14.741320544089151</v>
      </c>
      <c r="U208" s="46">
        <f>VLOOKUP(B208,Policy!$B$5:$J$8,9,FALSE)</f>
        <v>35.440534834623506</v>
      </c>
      <c r="V208" s="15">
        <f t="shared" si="57"/>
        <v>14.741320544089151</v>
      </c>
      <c r="W208" s="15">
        <f t="shared" si="58"/>
        <v>16.411435580023586</v>
      </c>
      <c r="X208" s="46">
        <f>VLOOKUP(B208,Policy!$B$5:$F$8,5,FALSE)</f>
        <v>0.84162123357291474</v>
      </c>
      <c r="Y208" s="47">
        <f t="shared" si="64"/>
        <v>0.11163767369322539</v>
      </c>
      <c r="Z208" s="43">
        <f t="shared" si="65"/>
        <v>1.8321344901200622</v>
      </c>
      <c r="AA208" s="48">
        <f t="shared" si="54"/>
        <v>0.87571435783921703</v>
      </c>
      <c r="AB208" s="15"/>
      <c r="AC208" s="45">
        <f t="shared" si="55"/>
        <v>28.553533201651025</v>
      </c>
      <c r="AD208" s="15">
        <f t="shared" si="66"/>
        <v>13.812212657561874</v>
      </c>
      <c r="AE208" s="50">
        <f t="shared" si="59"/>
        <v>7.3706602720445753</v>
      </c>
      <c r="AF208" s="52">
        <f t="shared" si="56"/>
        <v>35.440534834623506</v>
      </c>
      <c r="AG208" s="51">
        <f t="shared" si="67"/>
        <v>32</v>
      </c>
      <c r="AH208" s="43">
        <f t="shared" si="68"/>
        <v>0.22772999999999999</v>
      </c>
      <c r="AI208" s="53">
        <f>IF(AH208&gt;=Policy!$E$13,Policy!$C$13,IF(Solution!AH208&gt;=Policy!$E$14,Policy!$C$14,IF(Solution!AH208&gt;=Policy!$E$15,Policy!$C$15,IF(Solution!AH208&gt;=Policy!$E$16,Policy!$C$16,IF(Solution!AH208&gt;=Policy!$E$17,Policy!$C$17,IF(Solution!AH208&gt;=Policy!$E$18,Policy!$C$18,IF(AH208&gt;=Policy!$E$19,Policy!$C$19,Policy!$C$20)))))))</f>
        <v>8</v>
      </c>
    </row>
    <row r="209" spans="1:35" x14ac:dyDescent="0.3">
      <c r="A209" s="16" t="s">
        <v>259</v>
      </c>
      <c r="B209" s="14" t="s">
        <v>4</v>
      </c>
      <c r="C209" s="15">
        <v>0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147.07</v>
      </c>
      <c r="K209" s="15">
        <v>0</v>
      </c>
      <c r="L209" s="15">
        <v>0</v>
      </c>
      <c r="M209" s="15">
        <v>0</v>
      </c>
      <c r="N209" s="38">
        <v>0</v>
      </c>
      <c r="O209" s="41">
        <f t="shared" si="60"/>
        <v>147.07</v>
      </c>
      <c r="P209" s="15">
        <f t="shared" si="61"/>
        <v>12.255833333333333</v>
      </c>
      <c r="Q209" s="42">
        <f t="shared" si="62"/>
        <v>42.455452044859129</v>
      </c>
      <c r="R209" s="44">
        <f t="shared" si="63"/>
        <v>3.4641016151377544</v>
      </c>
      <c r="S209" s="49"/>
      <c r="T209" s="45">
        <f t="shared" si="53"/>
        <v>14.28010810446049</v>
      </c>
      <c r="U209" s="46">
        <f>VLOOKUP(B209,Policy!$B$5:$J$8,9,FALSE)</f>
        <v>35.440534834623506</v>
      </c>
      <c r="V209" s="15">
        <f t="shared" si="57"/>
        <v>14.28010810446049</v>
      </c>
      <c r="W209" s="15">
        <f t="shared" si="58"/>
        <v>17.960601711022779</v>
      </c>
      <c r="X209" s="46">
        <f>VLOOKUP(B209,Policy!$B$5:$F$8,5,FALSE)</f>
        <v>0.84162123357291474</v>
      </c>
      <c r="Y209" s="47">
        <f t="shared" si="64"/>
        <v>0.11163767369322539</v>
      </c>
      <c r="Z209" s="43">
        <f t="shared" si="65"/>
        <v>2.0050797931491466</v>
      </c>
      <c r="AA209" s="48">
        <f t="shared" si="54"/>
        <v>0.85958931273616579</v>
      </c>
      <c r="AB209" s="15"/>
      <c r="AC209" s="45">
        <f t="shared" si="55"/>
        <v>29.396131872203284</v>
      </c>
      <c r="AD209" s="15">
        <f t="shared" si="66"/>
        <v>15.116023767742794</v>
      </c>
      <c r="AE209" s="50">
        <f t="shared" si="59"/>
        <v>7.1400540522302451</v>
      </c>
      <c r="AF209" s="52">
        <f t="shared" si="56"/>
        <v>35.440534834623506</v>
      </c>
      <c r="AG209" s="51">
        <f t="shared" si="67"/>
        <v>32</v>
      </c>
      <c r="AH209" s="43">
        <f t="shared" si="68"/>
        <v>0.220605</v>
      </c>
      <c r="AI209" s="53">
        <f>IF(AH209&gt;=Policy!$E$13,Policy!$C$13,IF(Solution!AH209&gt;=Policy!$E$14,Policy!$C$14,IF(Solution!AH209&gt;=Policy!$E$15,Policy!$C$15,IF(Solution!AH209&gt;=Policy!$E$16,Policy!$C$16,IF(Solution!AH209&gt;=Policy!$E$17,Policy!$C$17,IF(Solution!AH209&gt;=Policy!$E$18,Policy!$C$18,IF(AH209&gt;=Policy!$E$19,Policy!$C$19,Policy!$C$20)))))))</f>
        <v>8</v>
      </c>
    </row>
    <row r="210" spans="1:35" x14ac:dyDescent="0.3">
      <c r="A210" s="16" t="s">
        <v>260</v>
      </c>
      <c r="B210" s="14" t="s">
        <v>4</v>
      </c>
      <c r="C210" s="15">
        <v>0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141.71</v>
      </c>
      <c r="K210" s="15">
        <v>0</v>
      </c>
      <c r="L210" s="15">
        <v>0</v>
      </c>
      <c r="M210" s="15">
        <v>0</v>
      </c>
      <c r="N210" s="38">
        <v>0</v>
      </c>
      <c r="O210" s="41">
        <f t="shared" si="60"/>
        <v>141.71</v>
      </c>
      <c r="P210" s="15">
        <f t="shared" si="61"/>
        <v>11.809166666666668</v>
      </c>
      <c r="Q210" s="42">
        <f t="shared" si="62"/>
        <v>40.908153323430938</v>
      </c>
      <c r="R210" s="44">
        <f t="shared" si="63"/>
        <v>3.4641016151377544</v>
      </c>
      <c r="S210" s="49"/>
      <c r="T210" s="45">
        <f t="shared" si="53"/>
        <v>13.759666277847938</v>
      </c>
      <c r="U210" s="46">
        <f>VLOOKUP(B210,Policy!$B$5:$J$8,9,FALSE)</f>
        <v>35.440534834623506</v>
      </c>
      <c r="V210" s="15">
        <f t="shared" si="57"/>
        <v>13.759666277847938</v>
      </c>
      <c r="W210" s="15">
        <f t="shared" si="58"/>
        <v>17.306023447807426</v>
      </c>
      <c r="X210" s="46">
        <f>VLOOKUP(B210,Policy!$B$5:$F$8,5,FALSE)</f>
        <v>0.84162123357291474</v>
      </c>
      <c r="Y210" s="47">
        <f t="shared" si="64"/>
        <v>0.11163767369322539</v>
      </c>
      <c r="Z210" s="43">
        <f t="shared" si="65"/>
        <v>1.9320041985936329</v>
      </c>
      <c r="AA210" s="48">
        <f t="shared" si="54"/>
        <v>0.85958931273616579</v>
      </c>
      <c r="AB210" s="15"/>
      <c r="AC210" s="45">
        <f t="shared" si="55"/>
        <v>28.324783080233409</v>
      </c>
      <c r="AD210" s="15">
        <f t="shared" si="66"/>
        <v>14.565116802385473</v>
      </c>
      <c r="AE210" s="50">
        <f t="shared" si="59"/>
        <v>6.8798331389239689</v>
      </c>
      <c r="AF210" s="52">
        <f t="shared" si="56"/>
        <v>35.440534834623506</v>
      </c>
      <c r="AG210" s="51">
        <f t="shared" si="67"/>
        <v>32</v>
      </c>
      <c r="AH210" s="43">
        <f t="shared" si="68"/>
        <v>0.212565</v>
      </c>
      <c r="AI210" s="53">
        <f>IF(AH210&gt;=Policy!$E$13,Policy!$C$13,IF(Solution!AH210&gt;=Policy!$E$14,Policy!$C$14,IF(Solution!AH210&gt;=Policy!$E$15,Policy!$C$15,IF(Solution!AH210&gt;=Policy!$E$16,Policy!$C$16,IF(Solution!AH210&gt;=Policy!$E$17,Policy!$C$17,IF(Solution!AH210&gt;=Policy!$E$18,Policy!$C$18,IF(AH210&gt;=Policy!$E$19,Policy!$C$19,Policy!$C$20)))))))</f>
        <v>8</v>
      </c>
    </row>
    <row r="211" spans="1:35" x14ac:dyDescent="0.3">
      <c r="A211" s="16" t="s">
        <v>261</v>
      </c>
      <c r="B211" s="14" t="s">
        <v>4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  <c r="H211" s="15">
        <v>139.94999999999999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38">
        <v>0</v>
      </c>
      <c r="O211" s="41">
        <f t="shared" si="60"/>
        <v>139.94999999999999</v>
      </c>
      <c r="P211" s="15">
        <f t="shared" si="61"/>
        <v>11.6625</v>
      </c>
      <c r="Q211" s="42">
        <f t="shared" si="62"/>
        <v>40.40008508654406</v>
      </c>
      <c r="R211" s="44">
        <f t="shared" si="63"/>
        <v>3.4641016151377544</v>
      </c>
      <c r="S211" s="49"/>
      <c r="T211" s="45">
        <f t="shared" si="53"/>
        <v>13.588774931796053</v>
      </c>
      <c r="U211" s="46">
        <f>VLOOKUP(B211,Policy!$B$5:$J$8,9,FALSE)</f>
        <v>35.440534834623506</v>
      </c>
      <c r="V211" s="15">
        <f t="shared" si="57"/>
        <v>13.588774931796053</v>
      </c>
      <c r="W211" s="15">
        <f t="shared" si="58"/>
        <v>17.091087301677007</v>
      </c>
      <c r="X211" s="46">
        <f>VLOOKUP(B211,Policy!$B$5:$F$8,5,FALSE)</f>
        <v>0.84162123357291474</v>
      </c>
      <c r="Y211" s="47">
        <f t="shared" si="64"/>
        <v>0.11163767369322539</v>
      </c>
      <c r="Z211" s="43">
        <f t="shared" si="65"/>
        <v>1.9080092272470457</v>
      </c>
      <c r="AA211" s="48">
        <f t="shared" si="54"/>
        <v>0.85958931273616579</v>
      </c>
      <c r="AB211" s="15"/>
      <c r="AC211" s="45">
        <f t="shared" si="55"/>
        <v>27.972996909735834</v>
      </c>
      <c r="AD211" s="15">
        <f t="shared" si="66"/>
        <v>14.384221977939781</v>
      </c>
      <c r="AE211" s="50">
        <f t="shared" si="59"/>
        <v>6.7943874658980263</v>
      </c>
      <c r="AF211" s="52">
        <f t="shared" si="56"/>
        <v>35.440534834623506</v>
      </c>
      <c r="AG211" s="51">
        <f t="shared" si="67"/>
        <v>32</v>
      </c>
      <c r="AH211" s="43">
        <f t="shared" si="68"/>
        <v>0.209925</v>
      </c>
      <c r="AI211" s="53">
        <f>IF(AH211&gt;=Policy!$E$13,Policy!$C$13,IF(Solution!AH211&gt;=Policy!$E$14,Policy!$C$14,IF(Solution!AH211&gt;=Policy!$E$15,Policy!$C$15,IF(Solution!AH211&gt;=Policy!$E$16,Policy!$C$16,IF(Solution!AH211&gt;=Policy!$E$17,Policy!$C$17,IF(Solution!AH211&gt;=Policy!$E$18,Policy!$C$18,IF(AH211&gt;=Policy!$E$19,Policy!$C$19,Policy!$C$20)))))))</f>
        <v>8</v>
      </c>
    </row>
    <row r="212" spans="1:35" x14ac:dyDescent="0.3">
      <c r="A212" s="16" t="s">
        <v>262</v>
      </c>
      <c r="B212" s="14" t="s">
        <v>4</v>
      </c>
      <c r="C212" s="15">
        <v>0</v>
      </c>
      <c r="D212" s="15">
        <v>0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136.74</v>
      </c>
      <c r="M212" s="15">
        <v>123.06600000000002</v>
      </c>
      <c r="N212" s="38">
        <v>150.41400000000002</v>
      </c>
      <c r="O212" s="41">
        <f t="shared" si="60"/>
        <v>410.22</v>
      </c>
      <c r="P212" s="15">
        <f t="shared" si="61"/>
        <v>34.185000000000002</v>
      </c>
      <c r="Q212" s="42">
        <f t="shared" si="62"/>
        <v>62.117241532736827</v>
      </c>
      <c r="R212" s="44">
        <f t="shared" si="63"/>
        <v>1.8170905816216709</v>
      </c>
      <c r="S212" s="49"/>
      <c r="T212" s="45">
        <f t="shared" si="53"/>
        <v>39.831277259888367</v>
      </c>
      <c r="U212" s="46">
        <f>VLOOKUP(B212,Policy!$B$5:$J$8,9,FALSE)</f>
        <v>35.440534834623506</v>
      </c>
      <c r="V212" s="15">
        <f t="shared" si="57"/>
        <v>39.831277259888367</v>
      </c>
      <c r="W212" s="15">
        <f t="shared" si="58"/>
        <v>26.29794145718455</v>
      </c>
      <c r="X212" s="46">
        <f>VLOOKUP(B212,Policy!$B$5:$F$8,5,FALSE)</f>
        <v>0.84162123357291474</v>
      </c>
      <c r="Y212" s="47">
        <f t="shared" si="64"/>
        <v>0.11163767369322539</v>
      </c>
      <c r="Z212" s="43">
        <f t="shared" si="65"/>
        <v>2.9358410072007128</v>
      </c>
      <c r="AA212" s="48">
        <f t="shared" si="54"/>
        <v>0.92629307395680183</v>
      </c>
      <c r="AB212" s="15"/>
      <c r="AC212" s="45">
        <f t="shared" si="55"/>
        <v>61.964183189512326</v>
      </c>
      <c r="AD212" s="15">
        <f t="shared" si="66"/>
        <v>22.132905929623956</v>
      </c>
      <c r="AE212" s="50">
        <f t="shared" si="59"/>
        <v>19.915638629944183</v>
      </c>
      <c r="AF212" s="52">
        <f t="shared" si="56"/>
        <v>35.440534834623506</v>
      </c>
      <c r="AG212" s="51">
        <f t="shared" si="67"/>
        <v>32</v>
      </c>
      <c r="AH212" s="43">
        <f t="shared" si="68"/>
        <v>0.61533000000000004</v>
      </c>
      <c r="AI212" s="53">
        <f>IF(AH212&gt;=Policy!$E$13,Policy!$C$13,IF(Solution!AH212&gt;=Policy!$E$14,Policy!$C$14,IF(Solution!AH212&gt;=Policy!$E$15,Policy!$C$15,IF(Solution!AH212&gt;=Policy!$E$16,Policy!$C$16,IF(Solution!AH212&gt;=Policy!$E$17,Policy!$C$17,IF(Solution!AH212&gt;=Policy!$E$18,Policy!$C$18,IF(AH212&gt;=Policy!$E$19,Policy!$C$19,Policy!$C$20)))))))</f>
        <v>8</v>
      </c>
    </row>
    <row r="213" spans="1:35" x14ac:dyDescent="0.3">
      <c r="A213" s="16" t="s">
        <v>263</v>
      </c>
      <c r="B213" s="14" t="s">
        <v>4</v>
      </c>
      <c r="C213" s="15">
        <v>0</v>
      </c>
      <c r="D213" s="15">
        <v>0</v>
      </c>
      <c r="E213" s="15">
        <v>31.77</v>
      </c>
      <c r="F213" s="15">
        <v>0</v>
      </c>
      <c r="G213" s="15">
        <v>64.61</v>
      </c>
      <c r="H213" s="15">
        <v>38.869999999999997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38">
        <v>0</v>
      </c>
      <c r="O213" s="41">
        <f t="shared" si="60"/>
        <v>135.25</v>
      </c>
      <c r="P213" s="15">
        <f t="shared" si="61"/>
        <v>11.270833333333334</v>
      </c>
      <c r="Q213" s="42">
        <f t="shared" si="62"/>
        <v>21.680073992801162</v>
      </c>
      <c r="R213" s="44">
        <f t="shared" si="63"/>
        <v>1.9235555483446503</v>
      </c>
      <c r="S213" s="49"/>
      <c r="T213" s="45">
        <f t="shared" si="53"/>
        <v>13.132417359952957</v>
      </c>
      <c r="U213" s="46">
        <f>VLOOKUP(B213,Policy!$B$5:$J$8,9,FALSE)</f>
        <v>35.440534834623506</v>
      </c>
      <c r="V213" s="15">
        <f t="shared" si="57"/>
        <v>13.132417359952957</v>
      </c>
      <c r="W213" s="15">
        <f t="shared" si="58"/>
        <v>9.1774608923028982</v>
      </c>
      <c r="X213" s="46">
        <f>VLOOKUP(B213,Policy!$B$5:$F$8,5,FALSE)</f>
        <v>0.84162123357291474</v>
      </c>
      <c r="Y213" s="47">
        <f t="shared" si="64"/>
        <v>0.11163767369322539</v>
      </c>
      <c r="Z213" s="43">
        <f t="shared" si="65"/>
        <v>1.0245503844272481</v>
      </c>
      <c r="AA213" s="48">
        <f t="shared" si="54"/>
        <v>0.9219831081860379</v>
      </c>
      <c r="AB213" s="15"/>
      <c r="AC213" s="45">
        <f t="shared" si="55"/>
        <v>20.856363317200106</v>
      </c>
      <c r="AD213" s="15">
        <f t="shared" si="66"/>
        <v>7.7239459572471478</v>
      </c>
      <c r="AE213" s="50">
        <f t="shared" si="59"/>
        <v>6.5662086799764783</v>
      </c>
      <c r="AF213" s="52">
        <f t="shared" si="56"/>
        <v>35.440534834623506</v>
      </c>
      <c r="AG213" s="51">
        <f t="shared" si="67"/>
        <v>32</v>
      </c>
      <c r="AH213" s="43">
        <f t="shared" si="68"/>
        <v>0.202875</v>
      </c>
      <c r="AI213" s="53">
        <f>IF(AH213&gt;=Policy!$E$13,Policy!$C$13,IF(Solution!AH213&gt;=Policy!$E$14,Policy!$C$14,IF(Solution!AH213&gt;=Policy!$E$15,Policy!$C$15,IF(Solution!AH213&gt;=Policy!$E$16,Policy!$C$16,IF(Solution!AH213&gt;=Policy!$E$17,Policy!$C$17,IF(Solution!AH213&gt;=Policy!$E$18,Policy!$C$18,IF(AH213&gt;=Policy!$E$19,Policy!$C$19,Policy!$C$20)))))))</f>
        <v>8</v>
      </c>
    </row>
    <row r="214" spans="1:35" x14ac:dyDescent="0.3">
      <c r="A214" s="16" t="s">
        <v>264</v>
      </c>
      <c r="B214" s="14" t="s">
        <v>4</v>
      </c>
      <c r="C214" s="15">
        <v>0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67.260000000000005</v>
      </c>
      <c r="L214" s="15">
        <v>67.3</v>
      </c>
      <c r="M214" s="15">
        <v>60.57</v>
      </c>
      <c r="N214" s="38">
        <v>74.03</v>
      </c>
      <c r="O214" s="41">
        <f t="shared" si="60"/>
        <v>269.15999999999997</v>
      </c>
      <c r="P214" s="15">
        <f t="shared" si="61"/>
        <v>22.429999999999996</v>
      </c>
      <c r="Q214" s="42">
        <f t="shared" si="62"/>
        <v>33.255354456087218</v>
      </c>
      <c r="R214" s="44">
        <f t="shared" si="63"/>
        <v>1.4826283752156586</v>
      </c>
      <c r="S214" s="49"/>
      <c r="T214" s="45">
        <f t="shared" si="53"/>
        <v>26.134724263252771</v>
      </c>
      <c r="U214" s="46">
        <f>VLOOKUP(B214,Policy!$B$5:$J$8,9,FALSE)</f>
        <v>35.440534834623506</v>
      </c>
      <c r="V214" s="15">
        <f t="shared" si="57"/>
        <v>26.134724263252771</v>
      </c>
      <c r="W214" s="15">
        <f t="shared" si="58"/>
        <v>14.086206507218442</v>
      </c>
      <c r="X214" s="46">
        <f>VLOOKUP(B214,Policy!$B$5:$F$8,5,FALSE)</f>
        <v>0.84162123357291474</v>
      </c>
      <c r="Y214" s="47">
        <f t="shared" si="64"/>
        <v>0.11163767369322539</v>
      </c>
      <c r="Z214" s="43">
        <f t="shared" si="65"/>
        <v>1.5725513256282406</v>
      </c>
      <c r="AA214" s="48">
        <f t="shared" si="54"/>
        <v>0.93982904469210882</v>
      </c>
      <c r="AB214" s="15"/>
      <c r="AC214" s="45">
        <f t="shared" si="55"/>
        <v>37.989974760220775</v>
      </c>
      <c r="AD214" s="15">
        <f t="shared" si="66"/>
        <v>11.855250496968004</v>
      </c>
      <c r="AE214" s="50">
        <f t="shared" si="59"/>
        <v>13.067362131626385</v>
      </c>
      <c r="AF214" s="52">
        <f t="shared" si="56"/>
        <v>35.440534834623506</v>
      </c>
      <c r="AG214" s="51">
        <f t="shared" si="67"/>
        <v>32</v>
      </c>
      <c r="AH214" s="43">
        <f t="shared" si="68"/>
        <v>0.40373999999999993</v>
      </c>
      <c r="AI214" s="53">
        <f>IF(AH214&gt;=Policy!$E$13,Policy!$C$13,IF(Solution!AH214&gt;=Policy!$E$14,Policy!$C$14,IF(Solution!AH214&gt;=Policy!$E$15,Policy!$C$15,IF(Solution!AH214&gt;=Policy!$E$16,Policy!$C$16,IF(Solution!AH214&gt;=Policy!$E$17,Policy!$C$17,IF(Solution!AH214&gt;=Policy!$E$18,Policy!$C$18,IF(AH214&gt;=Policy!$E$19,Policy!$C$19,Policy!$C$20)))))))</f>
        <v>8</v>
      </c>
    </row>
    <row r="215" spans="1:35" x14ac:dyDescent="0.3">
      <c r="A215" s="16" t="s">
        <v>265</v>
      </c>
      <c r="B215" s="14" t="s">
        <v>4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  <c r="H215" s="15">
        <v>134.07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38">
        <v>0</v>
      </c>
      <c r="O215" s="41">
        <f t="shared" si="60"/>
        <v>134.07</v>
      </c>
      <c r="P215" s="15">
        <f t="shared" si="61"/>
        <v>11.172499999999999</v>
      </c>
      <c r="Q215" s="42">
        <f t="shared" si="62"/>
        <v>38.702675295126561</v>
      </c>
      <c r="R215" s="44">
        <f t="shared" si="63"/>
        <v>3.4641016151377544</v>
      </c>
      <c r="S215" s="49"/>
      <c r="T215" s="45">
        <f t="shared" si="53"/>
        <v>13.017842480213625</v>
      </c>
      <c r="U215" s="46">
        <f>VLOOKUP(B215,Policy!$B$5:$J$8,9,FALSE)</f>
        <v>35.440534834623506</v>
      </c>
      <c r="V215" s="15">
        <f t="shared" si="57"/>
        <v>13.017842480213625</v>
      </c>
      <c r="W215" s="15">
        <f t="shared" si="58"/>
        <v>16.37300517710494</v>
      </c>
      <c r="X215" s="46">
        <f>VLOOKUP(B215,Policy!$B$5:$F$8,5,FALSE)</f>
        <v>0.84162123357291474</v>
      </c>
      <c r="Y215" s="47">
        <f t="shared" si="64"/>
        <v>0.11163767369322539</v>
      </c>
      <c r="Z215" s="43">
        <f t="shared" si="65"/>
        <v>1.8278442093391312</v>
      </c>
      <c r="AA215" s="48">
        <f t="shared" si="54"/>
        <v>0.85958931273616579</v>
      </c>
      <c r="AB215" s="15"/>
      <c r="AC215" s="45">
        <f t="shared" si="55"/>
        <v>26.797711294664403</v>
      </c>
      <c r="AD215" s="15">
        <f t="shared" si="66"/>
        <v>13.779868814450779</v>
      </c>
      <c r="AE215" s="50">
        <f t="shared" si="59"/>
        <v>6.5089212401068126</v>
      </c>
      <c r="AF215" s="52">
        <f t="shared" si="56"/>
        <v>35.440534834623506</v>
      </c>
      <c r="AG215" s="51">
        <f t="shared" si="67"/>
        <v>32</v>
      </c>
      <c r="AH215" s="43">
        <f t="shared" si="68"/>
        <v>0.20110500000000001</v>
      </c>
      <c r="AI215" s="53">
        <f>IF(AH215&gt;=Policy!$E$13,Policy!$C$13,IF(Solution!AH215&gt;=Policy!$E$14,Policy!$C$14,IF(Solution!AH215&gt;=Policy!$E$15,Policy!$C$15,IF(Solution!AH215&gt;=Policy!$E$16,Policy!$C$16,IF(Solution!AH215&gt;=Policy!$E$17,Policy!$C$17,IF(Solution!AH215&gt;=Policy!$E$18,Policy!$C$18,IF(AH215&gt;=Policy!$E$19,Policy!$C$19,Policy!$C$20)))))))</f>
        <v>8</v>
      </c>
    </row>
    <row r="216" spans="1:35" x14ac:dyDescent="0.3">
      <c r="A216" s="16" t="s">
        <v>266</v>
      </c>
      <c r="B216" s="14" t="s">
        <v>4</v>
      </c>
      <c r="C216" s="15">
        <v>0</v>
      </c>
      <c r="D216" s="15">
        <v>127.84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38">
        <v>0</v>
      </c>
      <c r="O216" s="41">
        <f t="shared" si="60"/>
        <v>127.84</v>
      </c>
      <c r="P216" s="15">
        <f t="shared" si="61"/>
        <v>10.653333333333334</v>
      </c>
      <c r="Q216" s="42">
        <f t="shared" si="62"/>
        <v>36.904229206600881</v>
      </c>
      <c r="R216" s="44">
        <f t="shared" si="63"/>
        <v>3.4641016151377544</v>
      </c>
      <c r="S216" s="49"/>
      <c r="T216" s="45">
        <f t="shared" si="53"/>
        <v>12.412925954132245</v>
      </c>
      <c r="U216" s="46">
        <f>VLOOKUP(B216,Policy!$B$5:$J$8,9,FALSE)</f>
        <v>35.440534834623506</v>
      </c>
      <c r="V216" s="15">
        <f t="shared" si="57"/>
        <v>12.412925954132245</v>
      </c>
      <c r="W216" s="15">
        <f t="shared" si="58"/>
        <v>15.612180068927398</v>
      </c>
      <c r="X216" s="46">
        <f>VLOOKUP(B216,Policy!$B$5:$F$8,5,FALSE)</f>
        <v>0.84162123357291474</v>
      </c>
      <c r="Y216" s="47">
        <f t="shared" si="64"/>
        <v>0.11163767369322539</v>
      </c>
      <c r="Z216" s="43">
        <f t="shared" si="65"/>
        <v>1.7429074641747939</v>
      </c>
      <c r="AA216" s="48">
        <f t="shared" si="54"/>
        <v>0.85958931273616579</v>
      </c>
      <c r="AB216" s="15"/>
      <c r="AC216" s="45">
        <f t="shared" si="55"/>
        <v>25.552468202505395</v>
      </c>
      <c r="AD216" s="15">
        <f t="shared" si="66"/>
        <v>13.13954224837315</v>
      </c>
      <c r="AE216" s="50">
        <f t="shared" si="59"/>
        <v>6.2064629770661224</v>
      </c>
      <c r="AF216" s="52">
        <f t="shared" si="56"/>
        <v>35.440534834623506</v>
      </c>
      <c r="AG216" s="51">
        <f t="shared" si="67"/>
        <v>32</v>
      </c>
      <c r="AH216" s="43">
        <f t="shared" si="68"/>
        <v>0.19176000000000001</v>
      </c>
      <c r="AI216" s="53">
        <f>IF(AH216&gt;=Policy!$E$13,Policy!$C$13,IF(Solution!AH216&gt;=Policy!$E$14,Policy!$C$14,IF(Solution!AH216&gt;=Policy!$E$15,Policy!$C$15,IF(Solution!AH216&gt;=Policy!$E$16,Policy!$C$16,IF(Solution!AH216&gt;=Policy!$E$17,Policy!$C$17,IF(Solution!AH216&gt;=Policy!$E$18,Policy!$C$18,IF(AH216&gt;=Policy!$E$19,Policy!$C$19,Policy!$C$20)))))))</f>
        <v>8</v>
      </c>
    </row>
    <row r="217" spans="1:35" x14ac:dyDescent="0.3">
      <c r="A217" s="16" t="s">
        <v>267</v>
      </c>
      <c r="B217" s="14" t="s">
        <v>4</v>
      </c>
      <c r="C217" s="15">
        <v>0</v>
      </c>
      <c r="D217" s="15">
        <v>0</v>
      </c>
      <c r="E217" s="15">
        <v>0</v>
      </c>
      <c r="F217" s="15">
        <v>0</v>
      </c>
      <c r="G217" s="15">
        <v>105.72</v>
      </c>
      <c r="H217" s="15">
        <v>0</v>
      </c>
      <c r="I217" s="15">
        <v>19.690000000000001</v>
      </c>
      <c r="J217" s="15">
        <v>0</v>
      </c>
      <c r="K217" s="15">
        <v>0</v>
      </c>
      <c r="L217" s="15">
        <v>0</v>
      </c>
      <c r="M217" s="15">
        <v>0</v>
      </c>
      <c r="N217" s="38">
        <v>0</v>
      </c>
      <c r="O217" s="41">
        <f t="shared" si="60"/>
        <v>125.41</v>
      </c>
      <c r="P217" s="15">
        <f t="shared" si="61"/>
        <v>10.450833333333334</v>
      </c>
      <c r="Q217" s="42">
        <f t="shared" si="62"/>
        <v>30.531318483375941</v>
      </c>
      <c r="R217" s="44">
        <f t="shared" si="63"/>
        <v>2.9214243026912627</v>
      </c>
      <c r="S217" s="49"/>
      <c r="T217" s="45">
        <f t="shared" si="53"/>
        <v>12.17697937975379</v>
      </c>
      <c r="U217" s="46">
        <f>VLOOKUP(B217,Policy!$B$5:$J$8,9,FALSE)</f>
        <v>35.440534834623506</v>
      </c>
      <c r="V217" s="15">
        <f t="shared" si="57"/>
        <v>12.17697937975379</v>
      </c>
      <c r="W217" s="15">
        <f t="shared" si="58"/>
        <v>12.917624606665678</v>
      </c>
      <c r="X217" s="46">
        <f>VLOOKUP(B217,Policy!$B$5:$F$8,5,FALSE)</f>
        <v>0.84162123357291474</v>
      </c>
      <c r="Y217" s="47">
        <f t="shared" si="64"/>
        <v>0.11163767369322539</v>
      </c>
      <c r="Z217" s="43">
        <f t="shared" si="65"/>
        <v>1.4420935607305219</v>
      </c>
      <c r="AA217" s="48">
        <f t="shared" si="54"/>
        <v>0.88157214398110606</v>
      </c>
      <c r="AB217" s="15"/>
      <c r="AC217" s="45">
        <f t="shared" si="55"/>
        <v>23.048726536047596</v>
      </c>
      <c r="AD217" s="15">
        <f t="shared" si="66"/>
        <v>10.871747156293806</v>
      </c>
      <c r="AE217" s="50">
        <f t="shared" si="59"/>
        <v>6.0884896898768952</v>
      </c>
      <c r="AF217" s="52">
        <f t="shared" si="56"/>
        <v>35.440534834623506</v>
      </c>
      <c r="AG217" s="51">
        <f t="shared" si="67"/>
        <v>32</v>
      </c>
      <c r="AH217" s="43">
        <f t="shared" si="68"/>
        <v>0.188115</v>
      </c>
      <c r="AI217" s="53">
        <f>IF(AH217&gt;=Policy!$E$13,Policy!$C$13,IF(Solution!AH217&gt;=Policy!$E$14,Policy!$C$14,IF(Solution!AH217&gt;=Policy!$E$15,Policy!$C$15,IF(Solution!AH217&gt;=Policy!$E$16,Policy!$C$16,IF(Solution!AH217&gt;=Policy!$E$17,Policy!$C$17,IF(Solution!AH217&gt;=Policy!$E$18,Policy!$C$18,IF(AH217&gt;=Policy!$E$19,Policy!$C$19,Policy!$C$20)))))))</f>
        <v>8</v>
      </c>
    </row>
    <row r="218" spans="1:35" x14ac:dyDescent="0.3">
      <c r="A218" s="16" t="s">
        <v>268</v>
      </c>
      <c r="B218" s="14" t="s">
        <v>4</v>
      </c>
      <c r="C218" s="15">
        <v>30.64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92.47</v>
      </c>
      <c r="M218" s="15">
        <v>83.222999999999999</v>
      </c>
      <c r="N218" s="38">
        <v>101.71700000000001</v>
      </c>
      <c r="O218" s="41">
        <f t="shared" si="60"/>
        <v>308.05</v>
      </c>
      <c r="P218" s="15">
        <f t="shared" si="61"/>
        <v>25.670833333333334</v>
      </c>
      <c r="Q218" s="42">
        <f t="shared" si="62"/>
        <v>41.400511755364342</v>
      </c>
      <c r="R218" s="44">
        <f t="shared" si="63"/>
        <v>1.6127451422313652</v>
      </c>
      <c r="S218" s="49"/>
      <c r="T218" s="45">
        <f t="shared" si="53"/>
        <v>29.910840426865128</v>
      </c>
      <c r="U218" s="46">
        <f>VLOOKUP(B218,Policy!$B$5:$J$8,9,FALSE)</f>
        <v>35.440534834623506</v>
      </c>
      <c r="V218" s="15">
        <f t="shared" si="57"/>
        <v>29.910840426865128</v>
      </c>
      <c r="W218" s="15">
        <f t="shared" si="58"/>
        <v>17.532140933835631</v>
      </c>
      <c r="X218" s="46">
        <f>VLOOKUP(B218,Policy!$B$5:$F$8,5,FALSE)</f>
        <v>0.84162123357291474</v>
      </c>
      <c r="Y218" s="47">
        <f t="shared" si="64"/>
        <v>0.11163767369322539</v>
      </c>
      <c r="Z218" s="43">
        <f t="shared" si="65"/>
        <v>1.957247428715182</v>
      </c>
      <c r="AA218" s="48">
        <f t="shared" si="54"/>
        <v>0.93456394401552045</v>
      </c>
      <c r="AB218" s="15"/>
      <c r="AC218" s="45">
        <f t="shared" si="55"/>
        <v>44.666262506774068</v>
      </c>
      <c r="AD218" s="15">
        <f t="shared" si="66"/>
        <v>14.755422079908938</v>
      </c>
      <c r="AE218" s="50">
        <f t="shared" si="59"/>
        <v>14.955420213432564</v>
      </c>
      <c r="AF218" s="52">
        <f t="shared" si="56"/>
        <v>35.440534834623506</v>
      </c>
      <c r="AG218" s="51">
        <f t="shared" si="67"/>
        <v>32</v>
      </c>
      <c r="AH218" s="43">
        <f t="shared" si="68"/>
        <v>0.46207500000000001</v>
      </c>
      <c r="AI218" s="53">
        <f>IF(AH218&gt;=Policy!$E$13,Policy!$C$13,IF(Solution!AH218&gt;=Policy!$E$14,Policy!$C$14,IF(Solution!AH218&gt;=Policy!$E$15,Policy!$C$15,IF(Solution!AH218&gt;=Policy!$E$16,Policy!$C$16,IF(Solution!AH218&gt;=Policy!$E$17,Policy!$C$17,IF(Solution!AH218&gt;=Policy!$E$18,Policy!$C$18,IF(AH218&gt;=Policy!$E$19,Policy!$C$19,Policy!$C$20)))))))</f>
        <v>8</v>
      </c>
    </row>
    <row r="219" spans="1:35" x14ac:dyDescent="0.3">
      <c r="A219" s="16" t="s">
        <v>269</v>
      </c>
      <c r="B219" s="14" t="s">
        <v>4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112.36</v>
      </c>
      <c r="J219" s="15">
        <v>0</v>
      </c>
      <c r="K219" s="15">
        <v>0</v>
      </c>
      <c r="L219" s="15">
        <v>0</v>
      </c>
      <c r="M219" s="15">
        <v>0</v>
      </c>
      <c r="N219" s="38">
        <v>0</v>
      </c>
      <c r="O219" s="41">
        <f t="shared" si="60"/>
        <v>112.36</v>
      </c>
      <c r="P219" s="15">
        <f t="shared" si="61"/>
        <v>9.3633333333333333</v>
      </c>
      <c r="Q219" s="42">
        <f t="shared" si="62"/>
        <v>32.435538123073172</v>
      </c>
      <c r="R219" s="44">
        <f t="shared" si="63"/>
        <v>3.4641016151377544</v>
      </c>
      <c r="S219" s="49"/>
      <c r="T219" s="45">
        <f t="shared" si="53"/>
        <v>10.909858887721361</v>
      </c>
      <c r="U219" s="46">
        <f>VLOOKUP(B219,Policy!$B$5:$J$8,9,FALSE)</f>
        <v>35.440534834623506</v>
      </c>
      <c r="V219" s="15">
        <f t="shared" si="57"/>
        <v>10.909858887721361</v>
      </c>
      <c r="W219" s="15">
        <f t="shared" si="58"/>
        <v>13.721718965462154</v>
      </c>
      <c r="X219" s="46">
        <f>VLOOKUP(B219,Policy!$B$5:$F$8,5,FALSE)</f>
        <v>0.84162123357291474</v>
      </c>
      <c r="Y219" s="47">
        <f t="shared" si="64"/>
        <v>0.11163767369322539</v>
      </c>
      <c r="Z219" s="43">
        <f t="shared" si="65"/>
        <v>1.5318607843764063</v>
      </c>
      <c r="AA219" s="48">
        <f t="shared" si="54"/>
        <v>0.85958931273616579</v>
      </c>
      <c r="AB219" s="15"/>
      <c r="AC219" s="45">
        <f t="shared" si="55"/>
        <v>22.458348930174481</v>
      </c>
      <c r="AD219" s="15">
        <f t="shared" si="66"/>
        <v>11.548490042453118</v>
      </c>
      <c r="AE219" s="50">
        <f t="shared" si="59"/>
        <v>5.4549294438606806</v>
      </c>
      <c r="AF219" s="52">
        <f t="shared" si="56"/>
        <v>35.440534834623506</v>
      </c>
      <c r="AG219" s="51">
        <f t="shared" si="67"/>
        <v>32</v>
      </c>
      <c r="AH219" s="43">
        <f t="shared" si="68"/>
        <v>0.16854</v>
      </c>
      <c r="AI219" s="53">
        <f>IF(AH219&gt;=Policy!$E$13,Policy!$C$13,IF(Solution!AH219&gt;=Policy!$E$14,Policy!$C$14,IF(Solution!AH219&gt;=Policy!$E$15,Policy!$C$15,IF(Solution!AH219&gt;=Policy!$E$16,Policy!$C$16,IF(Solution!AH219&gt;=Policy!$E$17,Policy!$C$17,IF(Solution!AH219&gt;=Policy!$E$18,Policy!$C$18,IF(AH219&gt;=Policy!$E$19,Policy!$C$19,Policy!$C$20)))))))</f>
        <v>8</v>
      </c>
    </row>
    <row r="220" spans="1:35" x14ac:dyDescent="0.3">
      <c r="A220" s="16" t="s">
        <v>270</v>
      </c>
      <c r="B220" s="14" t="s">
        <v>4</v>
      </c>
      <c r="C220" s="15">
        <v>0</v>
      </c>
      <c r="D220" s="15">
        <v>0</v>
      </c>
      <c r="E220" s="15">
        <v>102.4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38">
        <v>0</v>
      </c>
      <c r="O220" s="41">
        <f t="shared" si="60"/>
        <v>102.4</v>
      </c>
      <c r="P220" s="15">
        <f t="shared" si="61"/>
        <v>8.5333333333333332</v>
      </c>
      <c r="Q220" s="42">
        <f t="shared" si="62"/>
        <v>29.560333782508842</v>
      </c>
      <c r="R220" s="44">
        <f t="shared" si="63"/>
        <v>3.4641016151377548</v>
      </c>
      <c r="S220" s="49"/>
      <c r="T220" s="45">
        <f t="shared" si="53"/>
        <v>9.9427692248368427</v>
      </c>
      <c r="U220" s="46">
        <f>VLOOKUP(B220,Policy!$B$5:$J$8,9,FALSE)</f>
        <v>35.440534834623506</v>
      </c>
      <c r="V220" s="15">
        <f t="shared" si="57"/>
        <v>9.9427692248368427</v>
      </c>
      <c r="W220" s="15">
        <f t="shared" si="58"/>
        <v>12.505375774860493</v>
      </c>
      <c r="X220" s="46">
        <f>VLOOKUP(B220,Policy!$B$5:$F$8,5,FALSE)</f>
        <v>0.84162123357291474</v>
      </c>
      <c r="Y220" s="47">
        <f t="shared" si="64"/>
        <v>0.11163767369322539</v>
      </c>
      <c r="Z220" s="43">
        <f t="shared" si="65"/>
        <v>1.3960710601650412</v>
      </c>
      <c r="AA220" s="48">
        <f t="shared" si="54"/>
        <v>0.85958931273616579</v>
      </c>
      <c r="AB220" s="15"/>
      <c r="AC220" s="45">
        <f t="shared" si="55"/>
        <v>20.467559010767776</v>
      </c>
      <c r="AD220" s="15">
        <f t="shared" si="66"/>
        <v>10.524789785930933</v>
      </c>
      <c r="AE220" s="50">
        <f t="shared" si="59"/>
        <v>4.9713846124184213</v>
      </c>
      <c r="AF220" s="52">
        <f t="shared" si="56"/>
        <v>35.440534834623506</v>
      </c>
      <c r="AG220" s="51">
        <f t="shared" si="67"/>
        <v>32</v>
      </c>
      <c r="AH220" s="43">
        <f t="shared" si="68"/>
        <v>0.15359999999999999</v>
      </c>
      <c r="AI220" s="53">
        <f>IF(AH220&gt;=Policy!$E$13,Policy!$C$13,IF(Solution!AH220&gt;=Policy!$E$14,Policy!$C$14,IF(Solution!AH220&gt;=Policy!$E$15,Policy!$C$15,IF(Solution!AH220&gt;=Policy!$E$16,Policy!$C$16,IF(Solution!AH220&gt;=Policy!$E$17,Policy!$C$17,IF(Solution!AH220&gt;=Policy!$E$18,Policy!$C$18,IF(AH220&gt;=Policy!$E$19,Policy!$C$19,Policy!$C$20)))))))</f>
        <v>8</v>
      </c>
    </row>
    <row r="221" spans="1:35" x14ac:dyDescent="0.3">
      <c r="A221" s="16" t="s">
        <v>271</v>
      </c>
      <c r="B221" s="14" t="s">
        <v>4</v>
      </c>
      <c r="C221" s="15">
        <v>0</v>
      </c>
      <c r="D221" s="15">
        <v>0</v>
      </c>
      <c r="E221" s="15">
        <v>0</v>
      </c>
      <c r="F221" s="15">
        <v>0</v>
      </c>
      <c r="G221" s="15">
        <v>0</v>
      </c>
      <c r="H221" s="15">
        <v>99.93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38">
        <v>0</v>
      </c>
      <c r="O221" s="41">
        <f t="shared" si="60"/>
        <v>99.93</v>
      </c>
      <c r="P221" s="15">
        <f t="shared" si="61"/>
        <v>8.3275000000000006</v>
      </c>
      <c r="Q221" s="42">
        <f t="shared" si="62"/>
        <v>28.847306200059656</v>
      </c>
      <c r="R221" s="44">
        <f t="shared" si="63"/>
        <v>3.4641016151377548</v>
      </c>
      <c r="S221" s="49"/>
      <c r="T221" s="45">
        <f t="shared" si="53"/>
        <v>9.702938756229937</v>
      </c>
      <c r="U221" s="46">
        <f>VLOOKUP(B221,Policy!$B$5:$J$8,9,FALSE)</f>
        <v>35.440534834623506</v>
      </c>
      <c r="V221" s="15">
        <f t="shared" si="57"/>
        <v>9.702938756229937</v>
      </c>
      <c r="W221" s="15">
        <f t="shared" si="58"/>
        <v>12.203732433416103</v>
      </c>
      <c r="X221" s="46">
        <f>VLOOKUP(B221,Policy!$B$5:$F$8,5,FALSE)</f>
        <v>0.84162123357291474</v>
      </c>
      <c r="Y221" s="47">
        <f t="shared" si="64"/>
        <v>0.11163767369322539</v>
      </c>
      <c r="Z221" s="43">
        <f t="shared" si="65"/>
        <v>1.3623962992411385</v>
      </c>
      <c r="AA221" s="48">
        <f t="shared" si="54"/>
        <v>0.85958931273616579</v>
      </c>
      <c r="AB221" s="15"/>
      <c r="AC221" s="45">
        <f t="shared" si="55"/>
        <v>19.973859101035387</v>
      </c>
      <c r="AD221" s="15">
        <f t="shared" si="66"/>
        <v>10.27092034480545</v>
      </c>
      <c r="AE221" s="50">
        <f t="shared" si="59"/>
        <v>4.8514693781149685</v>
      </c>
      <c r="AF221" s="52">
        <f t="shared" si="56"/>
        <v>35.440534834623506</v>
      </c>
      <c r="AG221" s="51">
        <f t="shared" si="67"/>
        <v>32</v>
      </c>
      <c r="AH221" s="43">
        <f t="shared" si="68"/>
        <v>0.14989500000000003</v>
      </c>
      <c r="AI221" s="53">
        <f>IF(AH221&gt;=Policy!$E$13,Policy!$C$13,IF(Solution!AH221&gt;=Policy!$E$14,Policy!$C$14,IF(Solution!AH221&gt;=Policy!$E$15,Policy!$C$15,IF(Solution!AH221&gt;=Policy!$E$16,Policy!$C$16,IF(Solution!AH221&gt;=Policy!$E$17,Policy!$C$17,IF(Solution!AH221&gt;=Policy!$E$18,Policy!$C$18,IF(AH221&gt;=Policy!$E$19,Policy!$C$19,Policy!$C$20)))))))</f>
        <v>8</v>
      </c>
    </row>
    <row r="222" spans="1:35" x14ac:dyDescent="0.3">
      <c r="A222" s="16" t="s">
        <v>272</v>
      </c>
      <c r="B222" s="14" t="s">
        <v>4</v>
      </c>
      <c r="C222" s="15">
        <v>0</v>
      </c>
      <c r="D222" s="15">
        <v>0</v>
      </c>
      <c r="E222" s="15">
        <v>0</v>
      </c>
      <c r="F222" s="15">
        <v>0</v>
      </c>
      <c r="G222" s="15">
        <v>64.53</v>
      </c>
      <c r="H222" s="15">
        <v>32.15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38">
        <v>0</v>
      </c>
      <c r="O222" s="41">
        <f t="shared" si="60"/>
        <v>96.68</v>
      </c>
      <c r="P222" s="15">
        <f t="shared" si="61"/>
        <v>8.0566666666666666</v>
      </c>
      <c r="Q222" s="42">
        <f t="shared" si="62"/>
        <v>20.042738124197289</v>
      </c>
      <c r="R222" s="44">
        <f t="shared" si="63"/>
        <v>2.487720909085307</v>
      </c>
      <c r="S222" s="49"/>
      <c r="T222" s="45">
        <f t="shared" si="53"/>
        <v>9.3873723501682207</v>
      </c>
      <c r="U222" s="46">
        <f>VLOOKUP(B222,Policy!$B$5:$J$8,9,FALSE)</f>
        <v>35.440534834623506</v>
      </c>
      <c r="V222" s="15">
        <f t="shared" si="57"/>
        <v>9.3873723501682207</v>
      </c>
      <c r="W222" s="15">
        <f t="shared" si="58"/>
        <v>8.4812401100110684</v>
      </c>
      <c r="X222" s="46">
        <f>VLOOKUP(B222,Policy!$B$5:$F$8,5,FALSE)</f>
        <v>0.84162123357291474</v>
      </c>
      <c r="Y222" s="47">
        <f t="shared" si="64"/>
        <v>0.11163767369322539</v>
      </c>
      <c r="Z222" s="43">
        <f t="shared" si="65"/>
        <v>0.94682591591531062</v>
      </c>
      <c r="AA222" s="48">
        <f t="shared" si="54"/>
        <v>0.8991383445125255</v>
      </c>
      <c r="AB222" s="15"/>
      <c r="AC222" s="45">
        <f t="shared" si="55"/>
        <v>16.525364113783819</v>
      </c>
      <c r="AD222" s="15">
        <f t="shared" si="66"/>
        <v>7.1379917636155987</v>
      </c>
      <c r="AE222" s="50">
        <f t="shared" si="59"/>
        <v>4.6936861750841103</v>
      </c>
      <c r="AF222" s="52">
        <f t="shared" si="56"/>
        <v>35.440534834623506</v>
      </c>
      <c r="AG222" s="51">
        <f t="shared" si="67"/>
        <v>32</v>
      </c>
      <c r="AH222" s="43">
        <f t="shared" si="68"/>
        <v>0.14502000000000001</v>
      </c>
      <c r="AI222" s="53">
        <f>IF(AH222&gt;=Policy!$E$13,Policy!$C$13,IF(Solution!AH222&gt;=Policy!$E$14,Policy!$C$14,IF(Solution!AH222&gt;=Policy!$E$15,Policy!$C$15,IF(Solution!AH222&gt;=Policy!$E$16,Policy!$C$16,IF(Solution!AH222&gt;=Policy!$E$17,Policy!$C$17,IF(Solution!AH222&gt;=Policy!$E$18,Policy!$C$18,IF(AH222&gt;=Policy!$E$19,Policy!$C$19,Policy!$C$20)))))))</f>
        <v>8</v>
      </c>
    </row>
    <row r="223" spans="1:35" x14ac:dyDescent="0.3">
      <c r="A223" s="16" t="s">
        <v>273</v>
      </c>
      <c r="B223" s="14" t="s">
        <v>4</v>
      </c>
      <c r="C223" s="15">
        <v>63.53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32.21</v>
      </c>
      <c r="M223" s="15">
        <v>28.989000000000001</v>
      </c>
      <c r="N223" s="38">
        <v>35.431000000000004</v>
      </c>
      <c r="O223" s="41">
        <f t="shared" si="60"/>
        <v>160.16000000000003</v>
      </c>
      <c r="P223" s="15">
        <f t="shared" si="61"/>
        <v>13.346666666666669</v>
      </c>
      <c r="Q223" s="42">
        <f t="shared" si="62"/>
        <v>21.387466058985165</v>
      </c>
      <c r="R223" s="44">
        <f t="shared" si="63"/>
        <v>1.60245749692696</v>
      </c>
      <c r="S223" s="49"/>
      <c r="T223" s="45">
        <f t="shared" si="53"/>
        <v>15.551112490721374</v>
      </c>
      <c r="U223" s="46">
        <f>VLOOKUP(B223,Policy!$B$5:$J$8,9,FALSE)</f>
        <v>35.440534834623506</v>
      </c>
      <c r="V223" s="15">
        <f t="shared" si="57"/>
        <v>15.551112490721374</v>
      </c>
      <c r="W223" s="15">
        <f t="shared" si="58"/>
        <v>9.0572391596076969</v>
      </c>
      <c r="X223" s="46">
        <f>VLOOKUP(B223,Policy!$B$5:$F$8,5,FALSE)</f>
        <v>0.84162123357291474</v>
      </c>
      <c r="Y223" s="47">
        <f t="shared" si="64"/>
        <v>0.11163767369322539</v>
      </c>
      <c r="Z223" s="43">
        <f t="shared" si="65"/>
        <v>1.0111291098617869</v>
      </c>
      <c r="AA223" s="48">
        <f t="shared" si="54"/>
        <v>0.93498027163876019</v>
      </c>
      <c r="AB223" s="15"/>
      <c r="AC223" s="45">
        <f t="shared" si="55"/>
        <v>23.173877284995314</v>
      </c>
      <c r="AD223" s="15">
        <f t="shared" si="66"/>
        <v>7.6227647942739392</v>
      </c>
      <c r="AE223" s="50">
        <f t="shared" si="59"/>
        <v>7.7755562453606872</v>
      </c>
      <c r="AF223" s="52">
        <f t="shared" si="56"/>
        <v>35.440534834623506</v>
      </c>
      <c r="AG223" s="51">
        <f t="shared" si="67"/>
        <v>32</v>
      </c>
      <c r="AH223" s="43">
        <f t="shared" si="68"/>
        <v>0.24024000000000004</v>
      </c>
      <c r="AI223" s="53">
        <f>IF(AH223&gt;=Policy!$E$13,Policy!$C$13,IF(Solution!AH223&gt;=Policy!$E$14,Policy!$C$14,IF(Solution!AH223&gt;=Policy!$E$15,Policy!$C$15,IF(Solution!AH223&gt;=Policy!$E$16,Policy!$C$16,IF(Solution!AH223&gt;=Policy!$E$17,Policy!$C$17,IF(Solution!AH223&gt;=Policy!$E$18,Policy!$C$18,IF(AH223&gt;=Policy!$E$19,Policy!$C$19,Policy!$C$20)))))))</f>
        <v>8</v>
      </c>
    </row>
    <row r="224" spans="1:35" x14ac:dyDescent="0.3">
      <c r="A224" s="16" t="s">
        <v>274</v>
      </c>
      <c r="B224" s="14" t="s">
        <v>4</v>
      </c>
      <c r="C224" s="15">
        <v>0</v>
      </c>
      <c r="D224" s="15">
        <v>0</v>
      </c>
      <c r="E224" s="15">
        <v>0</v>
      </c>
      <c r="F224" s="15">
        <v>0</v>
      </c>
      <c r="G224" s="15">
        <v>95.45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38">
        <v>0</v>
      </c>
      <c r="O224" s="41">
        <f t="shared" si="60"/>
        <v>95.45</v>
      </c>
      <c r="P224" s="15">
        <f t="shared" si="61"/>
        <v>7.9541666666666666</v>
      </c>
      <c r="Q224" s="42">
        <f t="shared" si="62"/>
        <v>27.554041597074892</v>
      </c>
      <c r="R224" s="44">
        <f t="shared" si="63"/>
        <v>3.4641016151377548</v>
      </c>
      <c r="S224" s="49"/>
      <c r="T224" s="45">
        <f t="shared" si="53"/>
        <v>9.2679426026433251</v>
      </c>
      <c r="U224" s="46">
        <f>VLOOKUP(B224,Policy!$B$5:$J$8,9,FALSE)</f>
        <v>35.440534834623506</v>
      </c>
      <c r="V224" s="15">
        <f t="shared" si="57"/>
        <v>9.2679426026433251</v>
      </c>
      <c r="W224" s="15">
        <f t="shared" si="58"/>
        <v>11.656622243265955</v>
      </c>
      <c r="X224" s="46">
        <f>VLOOKUP(B224,Policy!$B$5:$F$8,5,FALSE)</f>
        <v>0.84162123357291474</v>
      </c>
      <c r="Y224" s="47">
        <f t="shared" si="64"/>
        <v>0.11163767369322539</v>
      </c>
      <c r="Z224" s="43">
        <f t="shared" si="65"/>
        <v>1.3013181903589177</v>
      </c>
      <c r="AA224" s="48">
        <f t="shared" si="54"/>
        <v>0.85958931273616579</v>
      </c>
      <c r="AB224" s="15"/>
      <c r="AC224" s="45">
        <f t="shared" si="55"/>
        <v>19.078403394314293</v>
      </c>
      <c r="AD224" s="15">
        <f t="shared" si="66"/>
        <v>9.8104607916709696</v>
      </c>
      <c r="AE224" s="50">
        <f t="shared" si="59"/>
        <v>4.6339713013216626</v>
      </c>
      <c r="AF224" s="52">
        <f t="shared" si="56"/>
        <v>35.440534834623506</v>
      </c>
      <c r="AG224" s="51">
        <f t="shared" si="67"/>
        <v>32</v>
      </c>
      <c r="AH224" s="43">
        <f t="shared" si="68"/>
        <v>0.143175</v>
      </c>
      <c r="AI224" s="53">
        <f>IF(AH224&gt;=Policy!$E$13,Policy!$C$13,IF(Solution!AH224&gt;=Policy!$E$14,Policy!$C$14,IF(Solution!AH224&gt;=Policy!$E$15,Policy!$C$15,IF(Solution!AH224&gt;=Policy!$E$16,Policy!$C$16,IF(Solution!AH224&gt;=Policy!$E$17,Policy!$C$17,IF(Solution!AH224&gt;=Policy!$E$18,Policy!$C$18,IF(AH224&gt;=Policy!$E$19,Policy!$C$19,Policy!$C$20)))))))</f>
        <v>8</v>
      </c>
    </row>
    <row r="225" spans="1:35" x14ac:dyDescent="0.3">
      <c r="A225" s="16" t="s">
        <v>275</v>
      </c>
      <c r="B225" s="14" t="s">
        <v>4</v>
      </c>
      <c r="C225" s="15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85.39</v>
      </c>
      <c r="M225" s="15">
        <v>76.850999999999999</v>
      </c>
      <c r="N225" s="38">
        <v>93.929000000000002</v>
      </c>
      <c r="O225" s="41">
        <f t="shared" si="60"/>
        <v>256.16999999999996</v>
      </c>
      <c r="P225" s="15">
        <f t="shared" si="61"/>
        <v>21.347499999999997</v>
      </c>
      <c r="Q225" s="42">
        <f t="shared" si="62"/>
        <v>38.790341191168615</v>
      </c>
      <c r="R225" s="44">
        <f t="shared" si="63"/>
        <v>1.8170905816216709</v>
      </c>
      <c r="S225" s="49"/>
      <c r="T225" s="45">
        <f t="shared" si="53"/>
        <v>24.873429612563019</v>
      </c>
      <c r="U225" s="46">
        <f>VLOOKUP(B225,Policy!$B$5:$J$8,9,FALSE)</f>
        <v>35.440534834623506</v>
      </c>
      <c r="V225" s="15">
        <f t="shared" si="57"/>
        <v>24.873429612563019</v>
      </c>
      <c r="W225" s="15">
        <f t="shared" si="58"/>
        <v>16.422270155250754</v>
      </c>
      <c r="X225" s="46">
        <f>VLOOKUP(B225,Policy!$B$5:$F$8,5,FALSE)</f>
        <v>0.84162123357291474</v>
      </c>
      <c r="Y225" s="47">
        <f t="shared" si="64"/>
        <v>0.11163767369322539</v>
      </c>
      <c r="Z225" s="43">
        <f t="shared" si="65"/>
        <v>1.8333440368938774</v>
      </c>
      <c r="AA225" s="48">
        <f t="shared" si="54"/>
        <v>0.92629307395680183</v>
      </c>
      <c r="AB225" s="15"/>
      <c r="AC225" s="45">
        <f t="shared" si="55"/>
        <v>38.694760878692819</v>
      </c>
      <c r="AD225" s="15">
        <f t="shared" si="66"/>
        <v>13.821331266129802</v>
      </c>
      <c r="AE225" s="50">
        <f t="shared" si="59"/>
        <v>12.436714806281509</v>
      </c>
      <c r="AF225" s="52">
        <f t="shared" si="56"/>
        <v>35.440534834623506</v>
      </c>
      <c r="AG225" s="51">
        <f t="shared" si="67"/>
        <v>32</v>
      </c>
      <c r="AH225" s="43">
        <f t="shared" si="68"/>
        <v>0.3842549999999999</v>
      </c>
      <c r="AI225" s="53">
        <f>IF(AH225&gt;=Policy!$E$13,Policy!$C$13,IF(Solution!AH225&gt;=Policy!$E$14,Policy!$C$14,IF(Solution!AH225&gt;=Policy!$E$15,Policy!$C$15,IF(Solution!AH225&gt;=Policy!$E$16,Policy!$C$16,IF(Solution!AH225&gt;=Policy!$E$17,Policy!$C$17,IF(Solution!AH225&gt;=Policy!$E$18,Policy!$C$18,IF(AH225&gt;=Policy!$E$19,Policy!$C$19,Policy!$C$20)))))))</f>
        <v>8</v>
      </c>
    </row>
    <row r="226" spans="1:35" x14ac:dyDescent="0.3">
      <c r="A226" s="16" t="s">
        <v>276</v>
      </c>
      <c r="B226" s="14" t="s">
        <v>4</v>
      </c>
      <c r="C226" s="15">
        <v>0</v>
      </c>
      <c r="D226" s="15">
        <v>56.91</v>
      </c>
      <c r="E226" s="15">
        <v>28.47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38">
        <v>0</v>
      </c>
      <c r="O226" s="41">
        <f t="shared" si="60"/>
        <v>85.38</v>
      </c>
      <c r="P226" s="15">
        <f t="shared" si="61"/>
        <v>7.1149999999999993</v>
      </c>
      <c r="Q226" s="42">
        <f t="shared" si="62"/>
        <v>17.688749120685312</v>
      </c>
      <c r="R226" s="44">
        <f t="shared" si="63"/>
        <v>2.4861207478124125</v>
      </c>
      <c r="S226" s="49"/>
      <c r="T226" s="45">
        <f t="shared" ref="T226:T245" si="69">(O226/$Y$1)*U226</f>
        <v>8.2901722306305619</v>
      </c>
      <c r="U226" s="46">
        <f>VLOOKUP(B226,Policy!$B$5:$J$8,9,FALSE)</f>
        <v>35.440534834623506</v>
      </c>
      <c r="V226" s="15">
        <f t="shared" si="57"/>
        <v>8.2901722306305619</v>
      </c>
      <c r="W226" s="15">
        <f t="shared" si="58"/>
        <v>7.4851366671829753</v>
      </c>
      <c r="X226" s="46">
        <f>VLOOKUP(B226,Policy!$B$5:$F$8,5,FALSE)</f>
        <v>0.84162123357291474</v>
      </c>
      <c r="Y226" s="47">
        <f t="shared" si="64"/>
        <v>0.11163767369322539</v>
      </c>
      <c r="Z226" s="43">
        <f t="shared" si="65"/>
        <v>0.83562324480016958</v>
      </c>
      <c r="AA226" s="48">
        <f t="shared" si="54"/>
        <v>0.89920315024183628</v>
      </c>
      <c r="AB226" s="15"/>
      <c r="AC226" s="45">
        <f t="shared" si="55"/>
        <v>14.589822185926954</v>
      </c>
      <c r="AD226" s="15">
        <f t="shared" si="66"/>
        <v>6.2996499552963918</v>
      </c>
      <c r="AE226" s="50">
        <f t="shared" si="59"/>
        <v>4.1450861153152809</v>
      </c>
      <c r="AF226" s="52">
        <f t="shared" si="56"/>
        <v>35.440534834623513</v>
      </c>
      <c r="AG226" s="51">
        <f t="shared" si="67"/>
        <v>32</v>
      </c>
      <c r="AH226" s="43">
        <f t="shared" si="68"/>
        <v>0.12806999999999999</v>
      </c>
      <c r="AI226" s="53">
        <f>IF(AH226&gt;=Policy!$E$13,Policy!$C$13,IF(Solution!AH226&gt;=Policy!$E$14,Policy!$C$14,IF(Solution!AH226&gt;=Policy!$E$15,Policy!$C$15,IF(Solution!AH226&gt;=Policy!$E$16,Policy!$C$16,IF(Solution!AH226&gt;=Policy!$E$17,Policy!$C$17,IF(Solution!AH226&gt;=Policy!$E$18,Policy!$C$18,IF(AH226&gt;=Policy!$E$19,Policy!$C$19,Policy!$C$20)))))))</f>
        <v>8</v>
      </c>
    </row>
    <row r="227" spans="1:35" x14ac:dyDescent="0.3">
      <c r="A227" s="16" t="s">
        <v>277</v>
      </c>
      <c r="B227" s="14" t="s">
        <v>4</v>
      </c>
      <c r="C227" s="15">
        <v>0</v>
      </c>
      <c r="D227" s="15">
        <v>83.59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38">
        <v>0</v>
      </c>
      <c r="O227" s="41">
        <f t="shared" si="60"/>
        <v>83.59</v>
      </c>
      <c r="P227" s="15">
        <f t="shared" si="61"/>
        <v>6.9658333333333333</v>
      </c>
      <c r="Q227" s="42">
        <f t="shared" si="62"/>
        <v>24.13035450078041</v>
      </c>
      <c r="R227" s="44">
        <f t="shared" si="63"/>
        <v>3.4641016151377548</v>
      </c>
      <c r="S227" s="49"/>
      <c r="T227" s="45">
        <f t="shared" si="69"/>
        <v>8.1163679639073401</v>
      </c>
      <c r="U227" s="46">
        <f>VLOOKUP(B227,Policy!$B$5:$J$8,9,FALSE)</f>
        <v>35.440534834623506</v>
      </c>
      <c r="V227" s="15">
        <f t="shared" si="57"/>
        <v>8.1163679639073401</v>
      </c>
      <c r="W227" s="15">
        <f t="shared" si="58"/>
        <v>10.208245713091683</v>
      </c>
      <c r="X227" s="46">
        <f>VLOOKUP(B227,Policy!$B$5:$F$8,5,FALSE)</f>
        <v>0.84162123357291474</v>
      </c>
      <c r="Y227" s="47">
        <f t="shared" si="64"/>
        <v>0.11163767369322539</v>
      </c>
      <c r="Z227" s="43">
        <f t="shared" si="65"/>
        <v>1.1396248038983963</v>
      </c>
      <c r="AA227" s="48">
        <f t="shared" si="54"/>
        <v>0.85958931273616579</v>
      </c>
      <c r="AB227" s="15"/>
      <c r="AC227" s="45">
        <f t="shared" si="55"/>
        <v>16.707844313574981</v>
      </c>
      <c r="AD227" s="15">
        <f t="shared" si="66"/>
        <v>8.5914763496676407</v>
      </c>
      <c r="AE227" s="50">
        <f t="shared" si="59"/>
        <v>4.05818398195367</v>
      </c>
      <c r="AF227" s="52">
        <f t="shared" si="56"/>
        <v>35.440534834623506</v>
      </c>
      <c r="AG227" s="51">
        <f t="shared" si="67"/>
        <v>32</v>
      </c>
      <c r="AH227" s="43">
        <f t="shared" si="68"/>
        <v>0.125385</v>
      </c>
      <c r="AI227" s="53">
        <f>IF(AH227&gt;=Policy!$E$13,Policy!$C$13,IF(Solution!AH227&gt;=Policy!$E$14,Policy!$C$14,IF(Solution!AH227&gt;=Policy!$E$15,Policy!$C$15,IF(Solution!AH227&gt;=Policy!$E$16,Policy!$C$16,IF(Solution!AH227&gt;=Policy!$E$17,Policy!$C$17,IF(Solution!AH227&gt;=Policy!$E$18,Policy!$C$18,IF(AH227&gt;=Policy!$E$19,Policy!$C$19,Policy!$C$20)))))))</f>
        <v>8</v>
      </c>
    </row>
    <row r="228" spans="1:35" x14ac:dyDescent="0.3">
      <c r="A228" s="16" t="s">
        <v>278</v>
      </c>
      <c r="B228" s="14" t="s">
        <v>4</v>
      </c>
      <c r="C228" s="15">
        <v>0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76.83</v>
      </c>
      <c r="M228" s="15">
        <v>69.147000000000006</v>
      </c>
      <c r="N228" s="38">
        <v>84.513000000000005</v>
      </c>
      <c r="O228" s="41">
        <f t="shared" si="60"/>
        <v>230.49</v>
      </c>
      <c r="P228" s="15">
        <f t="shared" si="61"/>
        <v>19.2075</v>
      </c>
      <c r="Q228" s="42">
        <f t="shared" si="62"/>
        <v>34.901767346498239</v>
      </c>
      <c r="R228" s="44">
        <f t="shared" si="63"/>
        <v>1.8170905816216707</v>
      </c>
      <c r="S228" s="49"/>
      <c r="T228" s="45">
        <f t="shared" si="69"/>
        <v>22.379969517896907</v>
      </c>
      <c r="U228" s="46">
        <f>VLOOKUP(B228,Policy!$B$5:$J$8,9,FALSE)</f>
        <v>35.440534834623506</v>
      </c>
      <c r="V228" s="15">
        <f t="shared" si="57"/>
        <v>22.379969517896907</v>
      </c>
      <c r="W228" s="15">
        <f t="shared" si="58"/>
        <v>14.776004403652832</v>
      </c>
      <c r="X228" s="46">
        <f>VLOOKUP(B228,Policy!$B$5:$F$8,5,FALSE)</f>
        <v>0.84162123357291474</v>
      </c>
      <c r="Y228" s="47">
        <f t="shared" si="64"/>
        <v>0.11163767369322539</v>
      </c>
      <c r="Z228" s="43">
        <f t="shared" si="65"/>
        <v>1.6495587581046562</v>
      </c>
      <c r="AA228" s="48">
        <f t="shared" si="54"/>
        <v>0.92629307395680183</v>
      </c>
      <c r="AB228" s="15"/>
      <c r="AC228" s="45">
        <f t="shared" si="55"/>
        <v>34.815768571378023</v>
      </c>
      <c r="AD228" s="15">
        <f t="shared" si="66"/>
        <v>12.435799053481118</v>
      </c>
      <c r="AE228" s="50">
        <f t="shared" si="59"/>
        <v>11.189984758948453</v>
      </c>
      <c r="AF228" s="52">
        <f t="shared" si="56"/>
        <v>35.440534834623506</v>
      </c>
      <c r="AG228" s="51">
        <f t="shared" si="67"/>
        <v>32</v>
      </c>
      <c r="AH228" s="43">
        <f t="shared" si="68"/>
        <v>0.34573500000000001</v>
      </c>
      <c r="AI228" s="53">
        <f>IF(AH228&gt;=Policy!$E$13,Policy!$C$13,IF(Solution!AH228&gt;=Policy!$E$14,Policy!$C$14,IF(Solution!AH228&gt;=Policy!$E$15,Policy!$C$15,IF(Solution!AH228&gt;=Policy!$E$16,Policy!$C$16,IF(Solution!AH228&gt;=Policy!$E$17,Policy!$C$17,IF(Solution!AH228&gt;=Policy!$E$18,Policy!$C$18,IF(AH228&gt;=Policy!$E$19,Policy!$C$19,Policy!$C$20)))))))</f>
        <v>8</v>
      </c>
    </row>
    <row r="229" spans="1:35" x14ac:dyDescent="0.3">
      <c r="A229" s="16" t="s">
        <v>279</v>
      </c>
      <c r="B229" s="14" t="s">
        <v>4</v>
      </c>
      <c r="C229" s="15">
        <v>0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70.84</v>
      </c>
      <c r="J229" s="15">
        <v>0</v>
      </c>
      <c r="K229" s="15">
        <v>0</v>
      </c>
      <c r="L229" s="15">
        <v>0</v>
      </c>
      <c r="M229" s="15">
        <v>0</v>
      </c>
      <c r="N229" s="38">
        <v>0</v>
      </c>
      <c r="O229" s="41">
        <f t="shared" si="60"/>
        <v>70.84</v>
      </c>
      <c r="P229" s="15">
        <f t="shared" si="61"/>
        <v>5.9033333333333333</v>
      </c>
      <c r="Q229" s="42">
        <f t="shared" si="62"/>
        <v>20.449746534696548</v>
      </c>
      <c r="R229" s="44">
        <f t="shared" si="63"/>
        <v>3.4641016151377553</v>
      </c>
      <c r="S229" s="49"/>
      <c r="T229" s="45">
        <f t="shared" si="69"/>
        <v>6.8783766785882996</v>
      </c>
      <c r="U229" s="46">
        <f>VLOOKUP(B229,Policy!$B$5:$J$8,9,FALSE)</f>
        <v>35.440534834623506</v>
      </c>
      <c r="V229" s="15">
        <f t="shared" si="57"/>
        <v>6.8783766785882996</v>
      </c>
      <c r="W229" s="15">
        <f t="shared" si="58"/>
        <v>8.6511798817491936</v>
      </c>
      <c r="X229" s="46">
        <f>VLOOKUP(B229,Policy!$B$5:$F$8,5,FALSE)</f>
        <v>0.84162123357291474</v>
      </c>
      <c r="Y229" s="47">
        <f t="shared" si="64"/>
        <v>0.11163767369322539</v>
      </c>
      <c r="Z229" s="43">
        <f t="shared" si="65"/>
        <v>0.96579759670011267</v>
      </c>
      <c r="AA229" s="48">
        <f t="shared" si="54"/>
        <v>0.85958931273616579</v>
      </c>
      <c r="AB229" s="15"/>
      <c r="AC229" s="45">
        <f t="shared" si="55"/>
        <v>14.15939336252724</v>
      </c>
      <c r="AD229" s="15">
        <f t="shared" si="66"/>
        <v>7.2810166839389394</v>
      </c>
      <c r="AE229" s="50">
        <f t="shared" si="59"/>
        <v>3.4391883392941498</v>
      </c>
      <c r="AF229" s="52">
        <f t="shared" si="56"/>
        <v>35.440534834623506</v>
      </c>
      <c r="AG229" s="51">
        <f t="shared" si="67"/>
        <v>32</v>
      </c>
      <c r="AH229" s="43">
        <f t="shared" si="68"/>
        <v>0.10625999999999999</v>
      </c>
      <c r="AI229" s="53">
        <f>IF(AH229&gt;=Policy!$E$13,Policy!$C$13,IF(Solution!AH229&gt;=Policy!$E$14,Policy!$C$14,IF(Solution!AH229&gt;=Policy!$E$15,Policy!$C$15,IF(Solution!AH229&gt;=Policy!$E$16,Policy!$C$16,IF(Solution!AH229&gt;=Policy!$E$17,Policy!$C$17,IF(Solution!AH229&gt;=Policy!$E$18,Policy!$C$18,IF(AH229&gt;=Policy!$E$19,Policy!$C$19,Policy!$C$20)))))))</f>
        <v>8</v>
      </c>
    </row>
    <row r="230" spans="1:35" x14ac:dyDescent="0.3">
      <c r="A230" s="16" t="s">
        <v>280</v>
      </c>
      <c r="B230" s="14" t="s">
        <v>4</v>
      </c>
      <c r="C230" s="15">
        <v>0</v>
      </c>
      <c r="D230" s="15">
        <v>0</v>
      </c>
      <c r="E230" s="15">
        <v>0</v>
      </c>
      <c r="F230" s="15">
        <v>68.53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38">
        <v>0</v>
      </c>
      <c r="O230" s="41">
        <f t="shared" si="60"/>
        <v>68.53</v>
      </c>
      <c r="P230" s="15">
        <f t="shared" si="61"/>
        <v>5.7108333333333334</v>
      </c>
      <c r="Q230" s="42">
        <f t="shared" si="62"/>
        <v>19.782906973782527</v>
      </c>
      <c r="R230" s="44">
        <f t="shared" si="63"/>
        <v>3.4641016151377544</v>
      </c>
      <c r="S230" s="49"/>
      <c r="T230" s="45">
        <f t="shared" si="69"/>
        <v>6.6540817868952029</v>
      </c>
      <c r="U230" s="46">
        <f>VLOOKUP(B230,Policy!$B$5:$J$8,9,FALSE)</f>
        <v>35.440534834623506</v>
      </c>
      <c r="V230" s="15">
        <f t="shared" si="57"/>
        <v>6.6540817868952029</v>
      </c>
      <c r="W230" s="15">
        <f t="shared" si="58"/>
        <v>8.3690761899530219</v>
      </c>
      <c r="X230" s="46">
        <f>VLOOKUP(B230,Policy!$B$5:$F$8,5,FALSE)</f>
        <v>0.84162123357291474</v>
      </c>
      <c r="Y230" s="47">
        <f t="shared" si="64"/>
        <v>0.11163767369322539</v>
      </c>
      <c r="Z230" s="43">
        <f t="shared" si="65"/>
        <v>0.93430419680771748</v>
      </c>
      <c r="AA230" s="48">
        <f t="shared" si="54"/>
        <v>0.85958931273616579</v>
      </c>
      <c r="AB230" s="15"/>
      <c r="AC230" s="45">
        <f t="shared" si="55"/>
        <v>13.697674013749175</v>
      </c>
      <c r="AD230" s="15">
        <f t="shared" si="66"/>
        <v>7.0435922268539715</v>
      </c>
      <c r="AE230" s="50">
        <f t="shared" si="59"/>
        <v>3.3270408934476015</v>
      </c>
      <c r="AF230" s="52">
        <f t="shared" si="56"/>
        <v>35.440534834623506</v>
      </c>
      <c r="AG230" s="51">
        <f t="shared" si="67"/>
        <v>32</v>
      </c>
      <c r="AH230" s="43">
        <f t="shared" si="68"/>
        <v>0.102795</v>
      </c>
      <c r="AI230" s="53">
        <f>IF(AH230&gt;=Policy!$E$13,Policy!$C$13,IF(Solution!AH230&gt;=Policy!$E$14,Policy!$C$14,IF(Solution!AH230&gt;=Policy!$E$15,Policy!$C$15,IF(Solution!AH230&gt;=Policy!$E$16,Policy!$C$16,IF(Solution!AH230&gt;=Policy!$E$17,Policy!$C$17,IF(Solution!AH230&gt;=Policy!$E$18,Policy!$C$18,IF(AH230&gt;=Policy!$E$19,Policy!$C$19,Policy!$C$20)))))))</f>
        <v>8</v>
      </c>
    </row>
    <row r="231" spans="1:35" x14ac:dyDescent="0.3">
      <c r="A231" s="16" t="s">
        <v>281</v>
      </c>
      <c r="B231" s="14" t="s">
        <v>4</v>
      </c>
      <c r="C231" s="15">
        <v>0</v>
      </c>
      <c r="D231" s="15">
        <v>0</v>
      </c>
      <c r="E231" s="15">
        <v>0</v>
      </c>
      <c r="F231" s="15">
        <v>68.38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38">
        <v>0</v>
      </c>
      <c r="O231" s="41">
        <f t="shared" si="60"/>
        <v>68.38</v>
      </c>
      <c r="P231" s="15">
        <f t="shared" si="61"/>
        <v>5.6983333333333333</v>
      </c>
      <c r="Q231" s="42">
        <f t="shared" si="62"/>
        <v>19.739605703593302</v>
      </c>
      <c r="R231" s="44">
        <f t="shared" si="63"/>
        <v>3.4641016151377539</v>
      </c>
      <c r="S231" s="49"/>
      <c r="T231" s="45">
        <f t="shared" si="69"/>
        <v>6.6395171835385076</v>
      </c>
      <c r="U231" s="46">
        <f>VLOOKUP(B231,Policy!$B$5:$J$8,9,FALSE)</f>
        <v>35.440534834623506</v>
      </c>
      <c r="V231" s="15">
        <f t="shared" si="57"/>
        <v>6.6395171835385076</v>
      </c>
      <c r="W231" s="15">
        <f t="shared" si="58"/>
        <v>8.3507577684078154</v>
      </c>
      <c r="X231" s="46">
        <f>VLOOKUP(B231,Policy!$B$5:$F$8,5,FALSE)</f>
        <v>0.84162123357291474</v>
      </c>
      <c r="Y231" s="47">
        <f t="shared" si="64"/>
        <v>0.11163767369322539</v>
      </c>
      <c r="Z231" s="43">
        <f t="shared" si="65"/>
        <v>0.93225917084067866</v>
      </c>
      <c r="AA231" s="48">
        <f t="shared" si="54"/>
        <v>0.85958931273616579</v>
      </c>
      <c r="AB231" s="15"/>
      <c r="AC231" s="45">
        <f t="shared" si="55"/>
        <v>13.667692237854494</v>
      </c>
      <c r="AD231" s="15">
        <f t="shared" si="66"/>
        <v>7.0281750543159864</v>
      </c>
      <c r="AE231" s="50">
        <f t="shared" si="59"/>
        <v>3.3197585917692538</v>
      </c>
      <c r="AF231" s="52">
        <f t="shared" si="56"/>
        <v>35.440534834623506</v>
      </c>
      <c r="AG231" s="51">
        <f t="shared" si="67"/>
        <v>32</v>
      </c>
      <c r="AH231" s="43">
        <f t="shared" si="68"/>
        <v>0.10256999999999999</v>
      </c>
      <c r="AI231" s="53">
        <f>IF(AH231&gt;=Policy!$E$13,Policy!$C$13,IF(Solution!AH231&gt;=Policy!$E$14,Policy!$C$14,IF(Solution!AH231&gt;=Policy!$E$15,Policy!$C$15,IF(Solution!AH231&gt;=Policy!$E$16,Policy!$C$16,IF(Solution!AH231&gt;=Policy!$E$17,Policy!$C$17,IF(Solution!AH231&gt;=Policy!$E$18,Policy!$C$18,IF(AH231&gt;=Policy!$E$19,Policy!$C$19,Policy!$C$20)))))))</f>
        <v>8</v>
      </c>
    </row>
    <row r="232" spans="1:35" x14ac:dyDescent="0.3">
      <c r="A232" s="16" t="s">
        <v>282</v>
      </c>
      <c r="B232" s="14" t="s">
        <v>4</v>
      </c>
      <c r="C232" s="15">
        <v>0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67.89</v>
      </c>
      <c r="K232" s="15">
        <v>0</v>
      </c>
      <c r="L232" s="15">
        <v>0</v>
      </c>
      <c r="M232" s="15">
        <v>0</v>
      </c>
      <c r="N232" s="38">
        <v>0</v>
      </c>
      <c r="O232" s="41">
        <f t="shared" si="60"/>
        <v>67.89</v>
      </c>
      <c r="P232" s="15">
        <f t="shared" si="61"/>
        <v>5.6574999999999998</v>
      </c>
      <c r="Q232" s="42">
        <f t="shared" si="62"/>
        <v>19.598154887641847</v>
      </c>
      <c r="R232" s="44">
        <f t="shared" si="63"/>
        <v>3.4641016151377548</v>
      </c>
      <c r="S232" s="49"/>
      <c r="T232" s="45">
        <f t="shared" si="69"/>
        <v>6.5919394792399721</v>
      </c>
      <c r="U232" s="46">
        <f>VLOOKUP(B232,Policy!$B$5:$J$8,9,FALSE)</f>
        <v>35.440534834623506</v>
      </c>
      <c r="V232" s="15">
        <f t="shared" si="57"/>
        <v>6.5919394792399721</v>
      </c>
      <c r="W232" s="15">
        <f t="shared" si="58"/>
        <v>8.2909175913601434</v>
      </c>
      <c r="X232" s="46">
        <f>VLOOKUP(B232,Policy!$B$5:$F$8,5,FALSE)</f>
        <v>0.84162123357291474</v>
      </c>
      <c r="Y232" s="47">
        <f t="shared" si="64"/>
        <v>0.11163767369322539</v>
      </c>
      <c r="Z232" s="43">
        <f t="shared" si="65"/>
        <v>0.92557875268168588</v>
      </c>
      <c r="AA232" s="48">
        <f t="shared" si="54"/>
        <v>0.85958931273616579</v>
      </c>
      <c r="AB232" s="15"/>
      <c r="AC232" s="45">
        <f t="shared" si="55"/>
        <v>13.569751769931875</v>
      </c>
      <c r="AD232" s="15">
        <f t="shared" si="66"/>
        <v>6.9778122906919027</v>
      </c>
      <c r="AE232" s="50">
        <f t="shared" si="59"/>
        <v>3.2959697396199861</v>
      </c>
      <c r="AF232" s="52">
        <f t="shared" si="56"/>
        <v>35.440534834623506</v>
      </c>
      <c r="AG232" s="51">
        <f t="shared" si="67"/>
        <v>32</v>
      </c>
      <c r="AH232" s="43">
        <f t="shared" si="68"/>
        <v>0.10183499999999999</v>
      </c>
      <c r="AI232" s="53">
        <f>IF(AH232&gt;=Policy!$E$13,Policy!$C$13,IF(Solution!AH232&gt;=Policy!$E$14,Policy!$C$14,IF(Solution!AH232&gt;=Policy!$E$15,Policy!$C$15,IF(Solution!AH232&gt;=Policy!$E$16,Policy!$C$16,IF(Solution!AH232&gt;=Policy!$E$17,Policy!$C$17,IF(Solution!AH232&gt;=Policy!$E$18,Policy!$C$18,IF(AH232&gt;=Policy!$E$19,Policy!$C$19,Policy!$C$20)))))))</f>
        <v>8</v>
      </c>
    </row>
    <row r="233" spans="1:35" x14ac:dyDescent="0.3">
      <c r="A233" s="16" t="s">
        <v>283</v>
      </c>
      <c r="B233" s="14" t="s">
        <v>4</v>
      </c>
      <c r="C233" s="15">
        <v>0</v>
      </c>
      <c r="D233" s="15">
        <v>0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66.540000000000006</v>
      </c>
      <c r="M233" s="15">
        <v>59.88600000000001</v>
      </c>
      <c r="N233" s="38">
        <v>73.194000000000017</v>
      </c>
      <c r="O233" s="41">
        <f t="shared" si="60"/>
        <v>199.62000000000003</v>
      </c>
      <c r="P233" s="15">
        <f t="shared" si="61"/>
        <v>16.635000000000002</v>
      </c>
      <c r="Q233" s="42">
        <f t="shared" si="62"/>
        <v>30.227301825276502</v>
      </c>
      <c r="R233" s="44">
        <f t="shared" si="63"/>
        <v>1.8170905816216711</v>
      </c>
      <c r="S233" s="49"/>
      <c r="T233" s="45">
        <f t="shared" si="69"/>
        <v>19.382574147089166</v>
      </c>
      <c r="U233" s="46">
        <f>VLOOKUP(B233,Policy!$B$5:$J$8,9,FALSE)</f>
        <v>35.440534834623506</v>
      </c>
      <c r="V233" s="15">
        <f t="shared" si="57"/>
        <v>19.382574147089166</v>
      </c>
      <c r="W233" s="15">
        <f t="shared" si="58"/>
        <v>12.797023727958607</v>
      </c>
      <c r="X233" s="46">
        <f>VLOOKUP(B233,Policy!$B$5:$F$8,5,FALSE)</f>
        <v>0.84162123357291474</v>
      </c>
      <c r="Y233" s="47">
        <f t="shared" si="64"/>
        <v>0.11163767369322539</v>
      </c>
      <c r="Z233" s="43">
        <f t="shared" si="65"/>
        <v>1.4286299591863056</v>
      </c>
      <c r="AA233" s="48">
        <f t="shared" si="54"/>
        <v>0.92629307395680183</v>
      </c>
      <c r="AB233" s="15"/>
      <c r="AC233" s="45">
        <f t="shared" si="55"/>
        <v>30.152821043075548</v>
      </c>
      <c r="AD233" s="15">
        <f t="shared" si="66"/>
        <v>10.770246895986382</v>
      </c>
      <c r="AE233" s="50">
        <f t="shared" si="59"/>
        <v>9.6912870735445829</v>
      </c>
      <c r="AF233" s="52">
        <f t="shared" si="56"/>
        <v>35.440534834623506</v>
      </c>
      <c r="AG233" s="51">
        <f t="shared" si="67"/>
        <v>32</v>
      </c>
      <c r="AH233" s="43">
        <f t="shared" si="68"/>
        <v>0.29943000000000003</v>
      </c>
      <c r="AI233" s="53">
        <f>IF(AH233&gt;=Policy!$E$13,Policy!$C$13,IF(Solution!AH233&gt;=Policy!$E$14,Policy!$C$14,IF(Solution!AH233&gt;=Policy!$E$15,Policy!$C$15,IF(Solution!AH233&gt;=Policy!$E$16,Policy!$C$16,IF(Solution!AH233&gt;=Policy!$E$17,Policy!$C$17,IF(Solution!AH233&gt;=Policy!$E$18,Policy!$C$18,IF(AH233&gt;=Policy!$E$19,Policy!$C$19,Policy!$C$20)))))))</f>
        <v>8</v>
      </c>
    </row>
    <row r="234" spans="1:35" x14ac:dyDescent="0.3">
      <c r="A234" s="16" t="s">
        <v>284</v>
      </c>
      <c r="B234" s="14" t="s">
        <v>4</v>
      </c>
      <c r="C234" s="15">
        <v>0</v>
      </c>
      <c r="D234" s="15">
        <v>0</v>
      </c>
      <c r="E234" s="15">
        <v>0</v>
      </c>
      <c r="F234" s="15">
        <v>30.44</v>
      </c>
      <c r="G234" s="15">
        <v>0</v>
      </c>
      <c r="H234" s="15">
        <v>0</v>
      </c>
      <c r="I234" s="15">
        <v>30.41</v>
      </c>
      <c r="J234" s="15">
        <v>0</v>
      </c>
      <c r="K234" s="15">
        <v>0</v>
      </c>
      <c r="L234" s="15">
        <v>0</v>
      </c>
      <c r="M234" s="15">
        <v>0</v>
      </c>
      <c r="N234" s="38">
        <v>0</v>
      </c>
      <c r="O234" s="41">
        <f t="shared" si="60"/>
        <v>60.85</v>
      </c>
      <c r="P234" s="15">
        <f t="shared" si="61"/>
        <v>5.0708333333333337</v>
      </c>
      <c r="Q234" s="42">
        <f t="shared" si="62"/>
        <v>11.842916915211642</v>
      </c>
      <c r="R234" s="44">
        <f t="shared" si="63"/>
        <v>2.335497173090217</v>
      </c>
      <c r="S234" s="49"/>
      <c r="T234" s="45">
        <f t="shared" si="69"/>
        <v>5.9083740950324399</v>
      </c>
      <c r="U234" s="46">
        <f>VLOOKUP(B234,Policy!$B$5:$J$8,9,FALSE)</f>
        <v>35.440534834623506</v>
      </c>
      <c r="V234" s="15">
        <f t="shared" si="57"/>
        <v>5.9083740950324399</v>
      </c>
      <c r="W234" s="15">
        <f t="shared" si="58"/>
        <v>5.0117905547661623</v>
      </c>
      <c r="X234" s="46">
        <f>VLOOKUP(B234,Policy!$B$5:$F$8,5,FALSE)</f>
        <v>0.84162123357291474</v>
      </c>
      <c r="Y234" s="47">
        <f t="shared" si="64"/>
        <v>0.11163767369322539</v>
      </c>
      <c r="Z234" s="43">
        <f t="shared" si="65"/>
        <v>0.5595046385717739</v>
      </c>
      <c r="AA234" s="48">
        <f t="shared" si="54"/>
        <v>0.90530311223147053</v>
      </c>
      <c r="AB234" s="15"/>
      <c r="AC234" s="45">
        <f t="shared" si="55"/>
        <v>10.12640344414382</v>
      </c>
      <c r="AD234" s="15">
        <f t="shared" si="66"/>
        <v>4.2180293491113803</v>
      </c>
      <c r="AE234" s="50">
        <f t="shared" si="59"/>
        <v>2.95418704751622</v>
      </c>
      <c r="AF234" s="52">
        <f t="shared" si="56"/>
        <v>35.440534834623506</v>
      </c>
      <c r="AG234" s="51">
        <f t="shared" si="67"/>
        <v>32</v>
      </c>
      <c r="AH234" s="43">
        <f t="shared" si="68"/>
        <v>9.1274999999999995E-2</v>
      </c>
      <c r="AI234" s="53">
        <f>IF(AH234&gt;=Policy!$E$13,Policy!$C$13,IF(Solution!AH234&gt;=Policy!$E$14,Policy!$C$14,IF(Solution!AH234&gt;=Policy!$E$15,Policy!$C$15,IF(Solution!AH234&gt;=Policy!$E$16,Policy!$C$16,IF(Solution!AH234&gt;=Policy!$E$17,Policy!$C$17,IF(Solution!AH234&gt;=Policy!$E$18,Policy!$C$18,IF(AH234&gt;=Policy!$E$19,Policy!$C$19,Policy!$C$20)))))))</f>
        <v>8</v>
      </c>
    </row>
    <row r="235" spans="1:35" x14ac:dyDescent="0.3">
      <c r="A235" s="16" t="s">
        <v>285</v>
      </c>
      <c r="B235" s="14" t="s">
        <v>4</v>
      </c>
      <c r="C235" s="15">
        <v>0</v>
      </c>
      <c r="D235" s="15">
        <v>0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59.3</v>
      </c>
      <c r="L235" s="15">
        <v>0</v>
      </c>
      <c r="M235" s="15">
        <v>0</v>
      </c>
      <c r="N235" s="38">
        <v>0</v>
      </c>
      <c r="O235" s="41">
        <f t="shared" si="60"/>
        <v>59.3</v>
      </c>
      <c r="P235" s="15">
        <f t="shared" si="61"/>
        <v>4.9416666666666664</v>
      </c>
      <c r="Q235" s="42">
        <f t="shared" si="62"/>
        <v>17.118435481472403</v>
      </c>
      <c r="R235" s="44">
        <f t="shared" si="63"/>
        <v>3.4641016151377544</v>
      </c>
      <c r="S235" s="49"/>
      <c r="T235" s="45">
        <f t="shared" si="69"/>
        <v>5.7578731936799281</v>
      </c>
      <c r="U235" s="46">
        <f>VLOOKUP(B235,Policy!$B$5:$J$8,9,FALSE)</f>
        <v>35.440534834623506</v>
      </c>
      <c r="V235" s="15">
        <f t="shared" si="57"/>
        <v>5.7578731936799281</v>
      </c>
      <c r="W235" s="15">
        <f t="shared" si="58"/>
        <v>7.2418826508713581</v>
      </c>
      <c r="X235" s="46">
        <f>VLOOKUP(B235,Policy!$B$5:$F$8,5,FALSE)</f>
        <v>0.84162123357291474</v>
      </c>
      <c r="Y235" s="47">
        <f t="shared" si="64"/>
        <v>0.11163767369322539</v>
      </c>
      <c r="Z235" s="43">
        <f t="shared" si="65"/>
        <v>0.80846693230260669</v>
      </c>
      <c r="AA235" s="48">
        <f t="shared" si="54"/>
        <v>0.85958931273616579</v>
      </c>
      <c r="AB235" s="15"/>
      <c r="AC235" s="45">
        <f t="shared" si="55"/>
        <v>11.85279540369657</v>
      </c>
      <c r="AD235" s="15">
        <f t="shared" si="66"/>
        <v>6.0949222100166418</v>
      </c>
      <c r="AE235" s="50">
        <f t="shared" si="59"/>
        <v>2.8789365968399641</v>
      </c>
      <c r="AF235" s="52">
        <f t="shared" si="56"/>
        <v>35.440534834623506</v>
      </c>
      <c r="AG235" s="51">
        <f t="shared" si="67"/>
        <v>32</v>
      </c>
      <c r="AH235" s="43">
        <f t="shared" si="68"/>
        <v>8.8950000000000001E-2</v>
      </c>
      <c r="AI235" s="53">
        <f>IF(AH235&gt;=Policy!$E$13,Policy!$C$13,IF(Solution!AH235&gt;=Policy!$E$14,Policy!$C$14,IF(Solution!AH235&gt;=Policy!$E$15,Policy!$C$15,IF(Solution!AH235&gt;=Policy!$E$16,Policy!$C$16,IF(Solution!AH235&gt;=Policy!$E$17,Policy!$C$17,IF(Solution!AH235&gt;=Policy!$E$18,Policy!$C$18,IF(AH235&gt;=Policy!$E$19,Policy!$C$19,Policy!$C$20)))))))</f>
        <v>8</v>
      </c>
    </row>
    <row r="236" spans="1:35" x14ac:dyDescent="0.3">
      <c r="A236" s="16" t="s">
        <v>286</v>
      </c>
      <c r="B236" s="14" t="s">
        <v>4</v>
      </c>
      <c r="C236" s="15">
        <v>0</v>
      </c>
      <c r="D236" s="15">
        <v>54.98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38">
        <v>0</v>
      </c>
      <c r="O236" s="41">
        <f t="shared" si="60"/>
        <v>54.98</v>
      </c>
      <c r="P236" s="15">
        <f t="shared" si="61"/>
        <v>4.5816666666666661</v>
      </c>
      <c r="Q236" s="42">
        <f t="shared" si="62"/>
        <v>15.871358900022811</v>
      </c>
      <c r="R236" s="44">
        <f t="shared" si="63"/>
        <v>3.4641016151377548</v>
      </c>
      <c r="S236" s="49"/>
      <c r="T236" s="45">
        <f t="shared" si="69"/>
        <v>5.3384126170071244</v>
      </c>
      <c r="U236" s="46">
        <f>VLOOKUP(B236,Policy!$B$5:$J$8,9,FALSE)</f>
        <v>35.440534834623506</v>
      </c>
      <c r="V236" s="15">
        <f t="shared" si="57"/>
        <v>5.3384126170071244</v>
      </c>
      <c r="W236" s="15">
        <f t="shared" si="58"/>
        <v>6.7143121103694305</v>
      </c>
      <c r="X236" s="46">
        <f>VLOOKUP(B236,Policy!$B$5:$F$8,5,FALSE)</f>
        <v>0.84162123357291474</v>
      </c>
      <c r="Y236" s="47">
        <f t="shared" si="64"/>
        <v>0.11163767369322539</v>
      </c>
      <c r="Z236" s="43">
        <f t="shared" si="65"/>
        <v>0.74957018445189405</v>
      </c>
      <c r="AA236" s="48">
        <f t="shared" si="54"/>
        <v>0.85958931273616579</v>
      </c>
      <c r="AB236" s="15"/>
      <c r="AC236" s="45">
        <f t="shared" si="55"/>
        <v>10.989320257929805</v>
      </c>
      <c r="AD236" s="15">
        <f t="shared" si="66"/>
        <v>5.6509076409226804</v>
      </c>
      <c r="AE236" s="50">
        <f t="shared" si="59"/>
        <v>2.6692063085035622</v>
      </c>
      <c r="AF236" s="52">
        <f t="shared" si="56"/>
        <v>35.440534834623506</v>
      </c>
      <c r="AG236" s="51">
        <f t="shared" si="67"/>
        <v>32</v>
      </c>
      <c r="AH236" s="43">
        <f t="shared" si="68"/>
        <v>8.2470000000000002E-2</v>
      </c>
      <c r="AI236" s="53">
        <f>IF(AH236&gt;=Policy!$E$13,Policy!$C$13,IF(Solution!AH236&gt;=Policy!$E$14,Policy!$C$14,IF(Solution!AH236&gt;=Policy!$E$15,Policy!$C$15,IF(Solution!AH236&gt;=Policy!$E$16,Policy!$C$16,IF(Solution!AH236&gt;=Policy!$E$17,Policy!$C$17,IF(Solution!AH236&gt;=Policy!$E$18,Policy!$C$18,IF(AH236&gt;=Policy!$E$19,Policy!$C$19,Policy!$C$20)))))))</f>
        <v>8</v>
      </c>
    </row>
    <row r="237" spans="1:35" x14ac:dyDescent="0.3">
      <c r="A237" s="16" t="s">
        <v>287</v>
      </c>
      <c r="B237" s="14" t="s">
        <v>4</v>
      </c>
      <c r="C237" s="15">
        <v>0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54.76</v>
      </c>
      <c r="J237" s="15">
        <v>0</v>
      </c>
      <c r="K237" s="15">
        <v>0</v>
      </c>
      <c r="L237" s="15">
        <v>0</v>
      </c>
      <c r="M237" s="15">
        <v>0</v>
      </c>
      <c r="N237" s="38">
        <v>0</v>
      </c>
      <c r="O237" s="41">
        <f t="shared" si="60"/>
        <v>54.76</v>
      </c>
      <c r="P237" s="15">
        <f t="shared" si="61"/>
        <v>4.5633333333333335</v>
      </c>
      <c r="Q237" s="42">
        <f t="shared" si="62"/>
        <v>15.807850370411954</v>
      </c>
      <c r="R237" s="44">
        <f t="shared" si="63"/>
        <v>3.4641016151377544</v>
      </c>
      <c r="S237" s="49"/>
      <c r="T237" s="45">
        <f t="shared" si="69"/>
        <v>5.3170511987506393</v>
      </c>
      <c r="U237" s="46">
        <f>VLOOKUP(B237,Policy!$B$5:$J$8,9,FALSE)</f>
        <v>35.440534834623506</v>
      </c>
      <c r="V237" s="15">
        <f t="shared" si="57"/>
        <v>5.3170511987506393</v>
      </c>
      <c r="W237" s="15">
        <f t="shared" si="58"/>
        <v>6.6874450921031299</v>
      </c>
      <c r="X237" s="46">
        <f>VLOOKUP(B237,Policy!$B$5:$F$8,5,FALSE)</f>
        <v>0.84162123357291474</v>
      </c>
      <c r="Y237" s="47">
        <f t="shared" si="64"/>
        <v>0.11163767369322539</v>
      </c>
      <c r="Z237" s="43">
        <f t="shared" si="65"/>
        <v>0.74657081303357076</v>
      </c>
      <c r="AA237" s="48">
        <f t="shared" si="54"/>
        <v>0.85958931273616579</v>
      </c>
      <c r="AB237" s="15"/>
      <c r="AC237" s="45">
        <f t="shared" si="55"/>
        <v>10.94534698661761</v>
      </c>
      <c r="AD237" s="15">
        <f t="shared" si="66"/>
        <v>5.6282957878669704</v>
      </c>
      <c r="AE237" s="50">
        <f t="shared" si="59"/>
        <v>2.6585255993753196</v>
      </c>
      <c r="AF237" s="52">
        <f t="shared" si="56"/>
        <v>35.440534834623506</v>
      </c>
      <c r="AG237" s="51">
        <f t="shared" si="67"/>
        <v>32</v>
      </c>
      <c r="AH237" s="43">
        <f t="shared" si="68"/>
        <v>8.2140000000000005E-2</v>
      </c>
      <c r="AI237" s="53">
        <f>IF(AH237&gt;=Policy!$E$13,Policy!$C$13,IF(Solution!AH237&gt;=Policy!$E$14,Policy!$C$14,IF(Solution!AH237&gt;=Policy!$E$15,Policy!$C$15,IF(Solution!AH237&gt;=Policy!$E$16,Policy!$C$16,IF(Solution!AH237&gt;=Policy!$E$17,Policy!$C$17,IF(Solution!AH237&gt;=Policy!$E$18,Policy!$C$18,IF(AH237&gt;=Policy!$E$19,Policy!$C$19,Policy!$C$20)))))))</f>
        <v>8</v>
      </c>
    </row>
    <row r="238" spans="1:35" x14ac:dyDescent="0.3">
      <c r="A238" s="16" t="s">
        <v>288</v>
      </c>
      <c r="B238" s="14" t="s">
        <v>4</v>
      </c>
      <c r="C238" s="15">
        <v>0</v>
      </c>
      <c r="D238" s="15">
        <v>0</v>
      </c>
      <c r="E238" s="15">
        <v>0</v>
      </c>
      <c r="F238" s="15">
        <v>0</v>
      </c>
      <c r="G238" s="15">
        <v>0</v>
      </c>
      <c r="H238" s="15">
        <v>46.65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38">
        <v>0</v>
      </c>
      <c r="O238" s="41">
        <f t="shared" si="60"/>
        <v>46.65</v>
      </c>
      <c r="P238" s="15">
        <f t="shared" si="61"/>
        <v>3.8874999999999997</v>
      </c>
      <c r="Q238" s="42">
        <f t="shared" si="62"/>
        <v>13.46669502884802</v>
      </c>
      <c r="R238" s="44">
        <f t="shared" si="63"/>
        <v>3.4641016151377548</v>
      </c>
      <c r="S238" s="49"/>
      <c r="T238" s="45">
        <f t="shared" si="69"/>
        <v>4.5295916439320179</v>
      </c>
      <c r="U238" s="46">
        <f>VLOOKUP(B238,Policy!$B$5:$J$8,9,FALSE)</f>
        <v>35.440534834623506</v>
      </c>
      <c r="V238" s="15">
        <f t="shared" si="57"/>
        <v>4.5295916439320179</v>
      </c>
      <c r="W238" s="15">
        <f t="shared" si="58"/>
        <v>5.6970291005590026</v>
      </c>
      <c r="X238" s="46">
        <f>VLOOKUP(B238,Policy!$B$5:$F$8,5,FALSE)</f>
        <v>0.84162123357291474</v>
      </c>
      <c r="Y238" s="47">
        <f t="shared" si="64"/>
        <v>0.11163767369322539</v>
      </c>
      <c r="Z238" s="43">
        <f t="shared" si="65"/>
        <v>0.63600307574901527</v>
      </c>
      <c r="AA238" s="48">
        <f t="shared" si="54"/>
        <v>0.85958931273616579</v>
      </c>
      <c r="AB238" s="15"/>
      <c r="AC238" s="45">
        <f t="shared" si="55"/>
        <v>9.3243323032452778</v>
      </c>
      <c r="AD238" s="15">
        <f t="shared" si="66"/>
        <v>4.7947406593132609</v>
      </c>
      <c r="AE238" s="50">
        <f t="shared" si="59"/>
        <v>2.2647958219660089</v>
      </c>
      <c r="AF238" s="52">
        <f t="shared" si="56"/>
        <v>35.440534834623506</v>
      </c>
      <c r="AG238" s="51">
        <f t="shared" si="67"/>
        <v>32</v>
      </c>
      <c r="AH238" s="43">
        <f t="shared" si="68"/>
        <v>6.9974999999999996E-2</v>
      </c>
      <c r="AI238" s="53">
        <f>IF(AH238&gt;=Policy!$E$13,Policy!$C$13,IF(Solution!AH238&gt;=Policy!$E$14,Policy!$C$14,IF(Solution!AH238&gt;=Policy!$E$15,Policy!$C$15,IF(Solution!AH238&gt;=Policy!$E$16,Policy!$C$16,IF(Solution!AH238&gt;=Policy!$E$17,Policy!$C$17,IF(Solution!AH238&gt;=Policy!$E$18,Policy!$C$18,IF(AH238&gt;=Policy!$E$19,Policy!$C$19,Policy!$C$20)))))))</f>
        <v>8</v>
      </c>
    </row>
    <row r="239" spans="1:35" x14ac:dyDescent="0.3">
      <c r="A239" s="16" t="s">
        <v>289</v>
      </c>
      <c r="B239" s="14" t="s">
        <v>4</v>
      </c>
      <c r="C239" s="15">
        <v>0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37.53</v>
      </c>
      <c r="J239" s="15">
        <v>0</v>
      </c>
      <c r="K239" s="15">
        <v>0</v>
      </c>
      <c r="L239" s="15">
        <v>0</v>
      </c>
      <c r="M239" s="15">
        <v>0</v>
      </c>
      <c r="N239" s="38">
        <v>0</v>
      </c>
      <c r="O239" s="41">
        <f t="shared" si="60"/>
        <v>37.53</v>
      </c>
      <c r="P239" s="15">
        <f t="shared" si="61"/>
        <v>3.1274999999999999</v>
      </c>
      <c r="Q239" s="42">
        <f t="shared" si="62"/>
        <v>10.833977801343329</v>
      </c>
      <c r="R239" s="44">
        <f t="shared" si="63"/>
        <v>3.4641016151377548</v>
      </c>
      <c r="S239" s="49"/>
      <c r="T239" s="45">
        <f t="shared" si="69"/>
        <v>3.644063759844987</v>
      </c>
      <c r="U239" s="46">
        <f>VLOOKUP(B239,Policy!$B$5:$J$8,9,FALSE)</f>
        <v>35.440534834623506</v>
      </c>
      <c r="V239" s="15">
        <f t="shared" si="57"/>
        <v>3.644063759844987</v>
      </c>
      <c r="W239" s="15">
        <f t="shared" si="58"/>
        <v>4.5832690706104913</v>
      </c>
      <c r="X239" s="46">
        <f>VLOOKUP(B239,Policy!$B$5:$F$8,5,FALSE)</f>
        <v>0.84162123357291474</v>
      </c>
      <c r="Y239" s="47">
        <f t="shared" si="64"/>
        <v>0.11163767369322539</v>
      </c>
      <c r="Z239" s="43">
        <f t="shared" si="65"/>
        <v>0.5116654969530664</v>
      </c>
      <c r="AA239" s="48">
        <f t="shared" si="54"/>
        <v>0.85958931273616579</v>
      </c>
      <c r="AB239" s="15"/>
      <c r="AC239" s="45">
        <f t="shared" si="55"/>
        <v>7.5014403288487745</v>
      </c>
      <c r="AD239" s="15">
        <f t="shared" si="66"/>
        <v>3.857376569003788</v>
      </c>
      <c r="AE239" s="50">
        <f t="shared" si="59"/>
        <v>1.8220318799224935</v>
      </c>
      <c r="AF239" s="52">
        <f t="shared" si="56"/>
        <v>35.440534834623506</v>
      </c>
      <c r="AG239" s="51">
        <f t="shared" si="67"/>
        <v>32</v>
      </c>
      <c r="AH239" s="43">
        <f t="shared" si="68"/>
        <v>5.6294999999999998E-2</v>
      </c>
      <c r="AI239" s="53">
        <f>IF(AH239&gt;=Policy!$E$13,Policy!$C$13,IF(Solution!AH239&gt;=Policy!$E$14,Policy!$C$14,IF(Solution!AH239&gt;=Policy!$E$15,Policy!$C$15,IF(Solution!AH239&gt;=Policy!$E$16,Policy!$C$16,IF(Solution!AH239&gt;=Policy!$E$17,Policy!$C$17,IF(Solution!AH239&gt;=Policy!$E$18,Policy!$C$18,IF(AH239&gt;=Policy!$E$19,Policy!$C$19,Policy!$C$20)))))))</f>
        <v>8</v>
      </c>
    </row>
    <row r="240" spans="1:35" x14ac:dyDescent="0.3">
      <c r="A240" s="16" t="s">
        <v>290</v>
      </c>
      <c r="B240" s="14" t="s">
        <v>4</v>
      </c>
      <c r="C240" s="15">
        <v>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34.39</v>
      </c>
      <c r="M240" s="15">
        <v>30.951000000000001</v>
      </c>
      <c r="N240" s="38">
        <v>37.829000000000001</v>
      </c>
      <c r="O240" s="41">
        <f t="shared" si="60"/>
        <v>103.17000000000002</v>
      </c>
      <c r="P240" s="15">
        <f t="shared" si="61"/>
        <v>8.5975000000000019</v>
      </c>
      <c r="Q240" s="42">
        <f t="shared" si="62"/>
        <v>15.622436275492314</v>
      </c>
      <c r="R240" s="44">
        <f t="shared" si="63"/>
        <v>1.8170905816216703</v>
      </c>
      <c r="S240" s="49"/>
      <c r="T240" s="45">
        <f t="shared" si="69"/>
        <v>10.01753418873454</v>
      </c>
      <c r="U240" s="46">
        <f>VLOOKUP(B240,Policy!$B$5:$J$8,9,FALSE)</f>
        <v>35.440534834623506</v>
      </c>
      <c r="V240" s="15">
        <f t="shared" si="57"/>
        <v>10.01753418873454</v>
      </c>
      <c r="W240" s="15">
        <f t="shared" si="58"/>
        <v>6.6139111211977211</v>
      </c>
      <c r="X240" s="46">
        <f>VLOOKUP(B240,Policy!$B$5:$F$8,5,FALSE)</f>
        <v>0.84162123357291474</v>
      </c>
      <c r="Y240" s="47">
        <f t="shared" si="64"/>
        <v>0.11163767369322539</v>
      </c>
      <c r="Z240" s="43">
        <f t="shared" si="65"/>
        <v>0.7383616515842657</v>
      </c>
      <c r="AA240" s="48">
        <f t="shared" si="54"/>
        <v>0.92629307395680183</v>
      </c>
      <c r="AB240" s="15"/>
      <c r="AC240" s="45">
        <f t="shared" si="55"/>
        <v>15.583942225298586</v>
      </c>
      <c r="AD240" s="15">
        <f t="shared" si="66"/>
        <v>5.566408036564046</v>
      </c>
      <c r="AE240" s="50">
        <f t="shared" si="59"/>
        <v>5.0087670943672702</v>
      </c>
      <c r="AF240" s="52">
        <f t="shared" si="56"/>
        <v>35.440534834623506</v>
      </c>
      <c r="AG240" s="51">
        <f t="shared" si="67"/>
        <v>32</v>
      </c>
      <c r="AH240" s="43">
        <f t="shared" si="68"/>
        <v>0.15475500000000003</v>
      </c>
      <c r="AI240" s="53">
        <f>IF(AH240&gt;=Policy!$E$13,Policy!$C$13,IF(Solution!AH240&gt;=Policy!$E$14,Policy!$C$14,IF(Solution!AH240&gt;=Policy!$E$15,Policy!$C$15,IF(Solution!AH240&gt;=Policy!$E$16,Policy!$C$16,IF(Solution!AH240&gt;=Policy!$E$17,Policy!$C$17,IF(Solution!AH240&gt;=Policy!$E$18,Policy!$C$18,IF(AH240&gt;=Policy!$E$19,Policy!$C$19,Policy!$C$20)))))))</f>
        <v>8</v>
      </c>
    </row>
    <row r="241" spans="1:35" x14ac:dyDescent="0.3">
      <c r="A241" s="16" t="s">
        <v>291</v>
      </c>
      <c r="B241" s="14" t="s">
        <v>4</v>
      </c>
      <c r="C241" s="15">
        <v>0</v>
      </c>
      <c r="D241" s="15">
        <v>0</v>
      </c>
      <c r="E241" s="15">
        <v>0</v>
      </c>
      <c r="F241" s="15">
        <v>0</v>
      </c>
      <c r="G241" s="15">
        <v>32.619999999999997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38">
        <v>0</v>
      </c>
      <c r="O241" s="41">
        <f t="shared" si="60"/>
        <v>32.619999999999997</v>
      </c>
      <c r="P241" s="15">
        <f t="shared" si="61"/>
        <v>2.7183333333333333</v>
      </c>
      <c r="Q241" s="42">
        <f t="shared" si="62"/>
        <v>9.4165828904827951</v>
      </c>
      <c r="R241" s="44">
        <f t="shared" si="63"/>
        <v>3.4641016151377544</v>
      </c>
      <c r="S241" s="49"/>
      <c r="T241" s="45">
        <f t="shared" si="69"/>
        <v>3.1673157433025168</v>
      </c>
      <c r="U241" s="46">
        <f>VLOOKUP(B241,Policy!$B$5:$J$8,9,FALSE)</f>
        <v>35.440534834623506</v>
      </c>
      <c r="V241" s="15">
        <f t="shared" si="57"/>
        <v>3.1673157433025168</v>
      </c>
      <c r="W241" s="15">
        <f t="shared" si="58"/>
        <v>3.9836460720307536</v>
      </c>
      <c r="X241" s="46">
        <f>VLOOKUP(B241,Policy!$B$5:$F$8,5,FALSE)</f>
        <v>0.84162123357291474</v>
      </c>
      <c r="Y241" s="47">
        <f t="shared" si="64"/>
        <v>0.11163767369322539</v>
      </c>
      <c r="Z241" s="43">
        <f t="shared" si="65"/>
        <v>0.4447249802986683</v>
      </c>
      <c r="AA241" s="48">
        <f t="shared" si="54"/>
        <v>0.85958931273616579</v>
      </c>
      <c r="AB241" s="15"/>
      <c r="AC241" s="45">
        <f t="shared" si="55"/>
        <v>6.5200368645629361</v>
      </c>
      <c r="AD241" s="15">
        <f t="shared" si="66"/>
        <v>3.3527211212604193</v>
      </c>
      <c r="AE241" s="50">
        <f t="shared" si="59"/>
        <v>1.5836578716512584</v>
      </c>
      <c r="AF241" s="52">
        <f t="shared" si="56"/>
        <v>35.440534834623506</v>
      </c>
      <c r="AG241" s="51">
        <f t="shared" si="67"/>
        <v>32</v>
      </c>
      <c r="AH241" s="43">
        <f t="shared" si="68"/>
        <v>4.8930000000000001E-2</v>
      </c>
      <c r="AI241" s="53">
        <f>IF(AH241&gt;=Policy!$E$13,Policy!$C$13,IF(Solution!AH241&gt;=Policy!$E$14,Policy!$C$14,IF(Solution!AH241&gt;=Policy!$E$15,Policy!$C$15,IF(Solution!AH241&gt;=Policy!$E$16,Policy!$C$16,IF(Solution!AH241&gt;=Policy!$E$17,Policy!$C$17,IF(Solution!AH241&gt;=Policy!$E$18,Policy!$C$18,IF(AH241&gt;=Policy!$E$19,Policy!$C$19,Policy!$C$20)))))))</f>
        <v>8</v>
      </c>
    </row>
    <row r="242" spans="1:35" x14ac:dyDescent="0.3">
      <c r="A242" s="16" t="s">
        <v>292</v>
      </c>
      <c r="B242" s="14" t="s">
        <v>4</v>
      </c>
      <c r="C242" s="15">
        <v>0</v>
      </c>
      <c r="D242" s="15">
        <v>0</v>
      </c>
      <c r="E242" s="15">
        <v>0</v>
      </c>
      <c r="F242" s="15">
        <v>29.07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38">
        <v>0</v>
      </c>
      <c r="O242" s="41">
        <f t="shared" si="60"/>
        <v>29.07</v>
      </c>
      <c r="P242" s="15">
        <f t="shared" si="61"/>
        <v>2.4224999999999999</v>
      </c>
      <c r="Q242" s="42">
        <f t="shared" si="62"/>
        <v>8.3917861626712114</v>
      </c>
      <c r="R242" s="44">
        <f t="shared" si="63"/>
        <v>3.4641016151377553</v>
      </c>
      <c r="S242" s="49"/>
      <c r="T242" s="45">
        <f t="shared" si="69"/>
        <v>2.8226201305274117</v>
      </c>
      <c r="U242" s="46">
        <f>VLOOKUP(B242,Policy!$B$5:$J$8,9,FALSE)</f>
        <v>35.440534834623506</v>
      </c>
      <c r="V242" s="15">
        <f t="shared" si="57"/>
        <v>2.8226201305274117</v>
      </c>
      <c r="W242" s="15">
        <f t="shared" si="58"/>
        <v>3.5501100954608837</v>
      </c>
      <c r="X242" s="46">
        <f>VLOOKUP(B242,Policy!$B$5:$F$8,5,FALSE)</f>
        <v>0.84162123357291474</v>
      </c>
      <c r="Y242" s="47">
        <f t="shared" si="64"/>
        <v>0.11163767369322539</v>
      </c>
      <c r="Z242" s="43">
        <f t="shared" si="65"/>
        <v>0.39632603241208736</v>
      </c>
      <c r="AA242" s="48">
        <f t="shared" si="54"/>
        <v>0.85958931273616579</v>
      </c>
      <c r="AB242" s="15"/>
      <c r="AC242" s="45">
        <f t="shared" si="55"/>
        <v>5.8104681683888586</v>
      </c>
      <c r="AD242" s="15">
        <f t="shared" si="66"/>
        <v>2.9878480378614469</v>
      </c>
      <c r="AE242" s="50">
        <f t="shared" si="59"/>
        <v>1.4113100652637058</v>
      </c>
      <c r="AF242" s="52">
        <f t="shared" si="56"/>
        <v>35.440534834623506</v>
      </c>
      <c r="AG242" s="51">
        <f t="shared" si="67"/>
        <v>32</v>
      </c>
      <c r="AH242" s="43">
        <f t="shared" si="68"/>
        <v>4.3604999999999998E-2</v>
      </c>
      <c r="AI242" s="53">
        <f>IF(AH242&gt;=Policy!$E$13,Policy!$C$13,IF(Solution!AH242&gt;=Policy!$E$14,Policy!$C$14,IF(Solution!AH242&gt;=Policy!$E$15,Policy!$C$15,IF(Solution!AH242&gt;=Policy!$E$16,Policy!$C$16,IF(Solution!AH242&gt;=Policy!$E$17,Policy!$C$17,IF(Solution!AH242&gt;=Policy!$E$18,Policy!$C$18,IF(AH242&gt;=Policy!$E$19,Policy!$C$19,Policy!$C$20)))))))</f>
        <v>8</v>
      </c>
    </row>
    <row r="243" spans="1:35" x14ac:dyDescent="0.3">
      <c r="A243" s="16" t="s">
        <v>293</v>
      </c>
      <c r="B243" s="14" t="s">
        <v>4</v>
      </c>
      <c r="C243" s="15">
        <v>0</v>
      </c>
      <c r="D243" s="15">
        <v>0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28</v>
      </c>
      <c r="M243" s="15">
        <v>25.2</v>
      </c>
      <c r="N243" s="38">
        <v>30.800000000000004</v>
      </c>
      <c r="O243" s="41">
        <f t="shared" si="60"/>
        <v>84</v>
      </c>
      <c r="P243" s="15">
        <f t="shared" si="61"/>
        <v>7</v>
      </c>
      <c r="Q243" s="42">
        <f t="shared" si="62"/>
        <v>12.719634071351697</v>
      </c>
      <c r="R243" s="44">
        <f t="shared" si="63"/>
        <v>1.8170905816216709</v>
      </c>
      <c r="S243" s="49"/>
      <c r="T243" s="45">
        <f t="shared" si="69"/>
        <v>8.1561778797489719</v>
      </c>
      <c r="U243" s="46">
        <f>VLOOKUP(B243,Policy!$B$5:$J$8,9,FALSE)</f>
        <v>35.440534834623506</v>
      </c>
      <c r="V243" s="15">
        <f t="shared" si="57"/>
        <v>8.1561778797489719</v>
      </c>
      <c r="W243" s="15">
        <f t="shared" si="58"/>
        <v>5.3849814304604893</v>
      </c>
      <c r="X243" s="46">
        <f>VLOOKUP(B243,Policy!$B$5:$F$8,5,FALSE)</f>
        <v>0.84162123357291474</v>
      </c>
      <c r="Y243" s="47">
        <f t="shared" si="64"/>
        <v>0.11163767369322539</v>
      </c>
      <c r="Z243" s="43">
        <f t="shared" si="65"/>
        <v>0.60116679977782617</v>
      </c>
      <c r="AA243" s="48">
        <f t="shared" si="54"/>
        <v>0.92629307395680183</v>
      </c>
      <c r="AB243" s="15"/>
      <c r="AC243" s="45">
        <f t="shared" si="55"/>
        <v>12.688292594020368</v>
      </c>
      <c r="AD243" s="15">
        <f t="shared" si="66"/>
        <v>4.5321147142713958</v>
      </c>
      <c r="AE243" s="50">
        <f t="shared" si="59"/>
        <v>4.078088939874486</v>
      </c>
      <c r="AF243" s="52">
        <f t="shared" si="56"/>
        <v>35.440534834623506</v>
      </c>
      <c r="AG243" s="51">
        <f t="shared" si="67"/>
        <v>32</v>
      </c>
      <c r="AH243" s="43">
        <f t="shared" si="68"/>
        <v>0.126</v>
      </c>
      <c r="AI243" s="53">
        <f>IF(AH243&gt;=Policy!$E$13,Policy!$C$13,IF(Solution!AH243&gt;=Policy!$E$14,Policy!$C$14,IF(Solution!AH243&gt;=Policy!$E$15,Policy!$C$15,IF(Solution!AH243&gt;=Policy!$E$16,Policy!$C$16,IF(Solution!AH243&gt;=Policy!$E$17,Policy!$C$17,IF(Solution!AH243&gt;=Policy!$E$18,Policy!$C$18,IF(AH243&gt;=Policy!$E$19,Policy!$C$19,Policy!$C$20)))))))</f>
        <v>8</v>
      </c>
    </row>
    <row r="244" spans="1:35" x14ac:dyDescent="0.3">
      <c r="A244" s="16" t="s">
        <v>294</v>
      </c>
      <c r="B244" s="14" t="s">
        <v>4</v>
      </c>
      <c r="C244" s="15">
        <v>0</v>
      </c>
      <c r="D244" s="15">
        <v>0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15.4</v>
      </c>
      <c r="L244" s="15">
        <v>0</v>
      </c>
      <c r="M244" s="15">
        <v>0</v>
      </c>
      <c r="N244" s="38">
        <v>0</v>
      </c>
      <c r="O244" s="41">
        <f t="shared" si="60"/>
        <v>15.4</v>
      </c>
      <c r="P244" s="15">
        <f t="shared" si="61"/>
        <v>1.2833333333333334</v>
      </c>
      <c r="Q244" s="42">
        <f t="shared" si="62"/>
        <v>4.4455970727601191</v>
      </c>
      <c r="R244" s="44">
        <f t="shared" si="63"/>
        <v>3.4641016151377548</v>
      </c>
      <c r="S244" s="49"/>
      <c r="T244" s="45">
        <f t="shared" si="69"/>
        <v>1.4952992779539782</v>
      </c>
      <c r="U244" s="46">
        <f>VLOOKUP(B244,Policy!$B$5:$J$8,9,FALSE)</f>
        <v>35.440534834623506</v>
      </c>
      <c r="V244" s="15">
        <f t="shared" si="57"/>
        <v>1.4952992779539782</v>
      </c>
      <c r="W244" s="15">
        <f t="shared" si="58"/>
        <v>1.8806912786411287</v>
      </c>
      <c r="X244" s="46">
        <f>VLOOKUP(B244,Policy!$B$5:$F$8,5,FALSE)</f>
        <v>0.84162123357291474</v>
      </c>
      <c r="Y244" s="47">
        <f t="shared" si="64"/>
        <v>0.11163767369322539</v>
      </c>
      <c r="Z244" s="43">
        <f t="shared" si="65"/>
        <v>0.20995599928263314</v>
      </c>
      <c r="AA244" s="48">
        <f t="shared" si="54"/>
        <v>0.85958931273616579</v>
      </c>
      <c r="AB244" s="15"/>
      <c r="AC244" s="45">
        <f t="shared" si="55"/>
        <v>3.0781289918537471</v>
      </c>
      <c r="AD244" s="15">
        <f t="shared" si="66"/>
        <v>1.5828297138997691</v>
      </c>
      <c r="AE244" s="50">
        <f t="shared" si="59"/>
        <v>0.74764963897698911</v>
      </c>
      <c r="AF244" s="52">
        <f t="shared" si="56"/>
        <v>35.440534834623506</v>
      </c>
      <c r="AG244" s="51">
        <f t="shared" si="67"/>
        <v>32</v>
      </c>
      <c r="AH244" s="43">
        <f t="shared" si="68"/>
        <v>2.3099999999999999E-2</v>
      </c>
      <c r="AI244" s="53">
        <f>IF(AH244&gt;=Policy!$E$13,Policy!$C$13,IF(Solution!AH244&gt;=Policy!$E$14,Policy!$C$14,IF(Solution!AH244&gt;=Policy!$E$15,Policy!$C$15,IF(Solution!AH244&gt;=Policy!$E$16,Policy!$C$16,IF(Solution!AH244&gt;=Policy!$E$17,Policy!$C$17,IF(Solution!AH244&gt;=Policy!$E$18,Policy!$C$18,IF(AH244&gt;=Policy!$E$19,Policy!$C$19,Policy!$C$20)))))))</f>
        <v>8</v>
      </c>
    </row>
    <row r="245" spans="1:35" ht="15" thickBot="1" x14ac:dyDescent="0.35">
      <c r="A245" s="27" t="s">
        <v>295</v>
      </c>
      <c r="B245" s="28" t="s">
        <v>4</v>
      </c>
      <c r="C245" s="29">
        <v>0</v>
      </c>
      <c r="D245" s="29">
        <v>0</v>
      </c>
      <c r="E245" s="29">
        <v>0</v>
      </c>
      <c r="F245" s="29">
        <v>0</v>
      </c>
      <c r="G245" s="29">
        <v>0</v>
      </c>
      <c r="H245" s="29">
        <v>0</v>
      </c>
      <c r="I245" s="29">
        <v>0</v>
      </c>
      <c r="J245" s="29">
        <v>10.82</v>
      </c>
      <c r="K245" s="29">
        <v>0</v>
      </c>
      <c r="L245" s="29">
        <v>0</v>
      </c>
      <c r="M245" s="29">
        <v>0</v>
      </c>
      <c r="N245" s="39">
        <v>0</v>
      </c>
      <c r="O245" s="72">
        <f t="shared" si="60"/>
        <v>10.82</v>
      </c>
      <c r="P245" s="29">
        <f t="shared" si="61"/>
        <v>0.90166666666666673</v>
      </c>
      <c r="Q245" s="73">
        <f t="shared" si="62"/>
        <v>3.1234649563158752</v>
      </c>
      <c r="R245" s="74">
        <f t="shared" si="63"/>
        <v>3.4641016151377539</v>
      </c>
      <c r="S245" s="75"/>
      <c r="T245" s="76">
        <f t="shared" si="69"/>
        <v>1.0505933887962364</v>
      </c>
      <c r="U245" s="77">
        <f>VLOOKUP(B245,Policy!$B$5:$J$8,9,FALSE)</f>
        <v>35.440534834623506</v>
      </c>
      <c r="V245" s="29">
        <f t="shared" si="57"/>
        <v>1.0505933887962364</v>
      </c>
      <c r="W245" s="29">
        <f t="shared" si="58"/>
        <v>1.3213688074608447</v>
      </c>
      <c r="X245" s="77">
        <f>VLOOKUP(B245,Policy!$B$5:$F$8,5,FALSE)</f>
        <v>0.84162123357291474</v>
      </c>
      <c r="Y245" s="78">
        <f t="shared" si="64"/>
        <v>0.11163767369322539</v>
      </c>
      <c r="Z245" s="83">
        <f t="shared" si="65"/>
        <v>0.14751453975572015</v>
      </c>
      <c r="AA245" s="79">
        <f t="shared" si="54"/>
        <v>0.85958931273616579</v>
      </c>
      <c r="AB245" s="29"/>
      <c r="AC245" s="76">
        <f t="shared" si="55"/>
        <v>2.1626854345362041</v>
      </c>
      <c r="AD245" s="29">
        <f t="shared" si="66"/>
        <v>1.1120920457399674</v>
      </c>
      <c r="AE245" s="80">
        <f t="shared" si="59"/>
        <v>0.52529669439811821</v>
      </c>
      <c r="AF245" s="81">
        <f t="shared" si="56"/>
        <v>35.440534834623506</v>
      </c>
      <c r="AG245" s="82">
        <f t="shared" si="67"/>
        <v>32</v>
      </c>
      <c r="AH245" s="83">
        <f>O245*$T$3/10^5</f>
        <v>1.6230000000000001E-2</v>
      </c>
      <c r="AI245" s="84">
        <f>IF(AH245&gt;=Policy!$E$13,Policy!$C$13,IF(Solution!AH245&gt;=Policy!$E$14,Policy!$C$14,IF(Solution!AH245&gt;=Policy!$E$15,Policy!$C$15,IF(Solution!AH245&gt;=Policy!$E$16,Policy!$C$16,IF(Solution!AH245&gt;=Policy!$E$17,Policy!$C$17,IF(Solution!AH245&gt;=Policy!$E$18,Policy!$C$18,IF(AH245&gt;=Policy!$E$19,Policy!$C$19,Policy!$C$20)))))))</f>
        <v>8</v>
      </c>
    </row>
    <row r="246" spans="1:35" s="7" customFormat="1" ht="15" thickBot="1" x14ac:dyDescent="0.35">
      <c r="A246" s="31" t="s">
        <v>1</v>
      </c>
      <c r="B246" s="32"/>
      <c r="C246" s="33">
        <v>21044.680000000004</v>
      </c>
      <c r="D246" s="33">
        <v>32814.119999999995</v>
      </c>
      <c r="E246" s="33">
        <v>67769.140000000014</v>
      </c>
      <c r="F246" s="33">
        <v>82235.31</v>
      </c>
      <c r="G246" s="33">
        <v>49759.419999999991</v>
      </c>
      <c r="H246" s="33">
        <v>83058.539999999979</v>
      </c>
      <c r="I246" s="33">
        <v>36023.469999999987</v>
      </c>
      <c r="J246" s="33">
        <v>66462</v>
      </c>
      <c r="K246" s="33">
        <v>81723.680000000008</v>
      </c>
      <c r="L246" s="33">
        <v>58603.160000000018</v>
      </c>
      <c r="M246" s="33">
        <f>SUM(M6:M245)</f>
        <v>52941.746999999967</v>
      </c>
      <c r="N246" s="40">
        <f>SUM(N6:N245)</f>
        <v>64781.913000000008</v>
      </c>
      <c r="O246" s="85">
        <f>SUM(O6:O245)</f>
        <v>697217.17999999982</v>
      </c>
      <c r="P246" s="33">
        <f t="shared" ref="P246" si="70">AVERAGE(C246:L246)</f>
        <v>57949.351999999992</v>
      </c>
      <c r="Q246" s="40">
        <f t="shared" ref="Q246" si="71">STDEV(C246:L246)</f>
        <v>22351.665654687353</v>
      </c>
      <c r="R246" s="35">
        <f t="shared" si="63"/>
        <v>0.38571036402076342</v>
      </c>
      <c r="S246" s="86"/>
      <c r="T246" s="87"/>
      <c r="U246" s="88"/>
      <c r="V246" s="89">
        <f>SUM(V6:V245)</f>
        <v>13403.679055035514</v>
      </c>
      <c r="W246" s="89"/>
      <c r="X246" s="88"/>
      <c r="Y246" s="90"/>
      <c r="Z246" s="91"/>
      <c r="AA246" s="92"/>
      <c r="AB246" s="89"/>
      <c r="AC246" s="88"/>
      <c r="AD246" s="89">
        <f>SUM(AD6:AD245)</f>
        <v>26546.874572563986</v>
      </c>
      <c r="AE246" s="93">
        <f>SUM(AE6:AE245)</f>
        <v>17169.350239396739</v>
      </c>
      <c r="AF246" s="94">
        <f>S246/(O246/$Y$1)</f>
        <v>0</v>
      </c>
      <c r="AG246" s="95"/>
      <c r="AH246" s="96"/>
      <c r="AI246" s="9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 Study</vt:lpstr>
      <vt:lpstr>Policy</vt:lpstr>
      <vt:lpstr>Data</vt:lpstr>
      <vt:lpstr>Pivot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Gauba</dc:creator>
  <cp:lastModifiedBy>Mohit Gauba</cp:lastModifiedBy>
  <dcterms:created xsi:type="dcterms:W3CDTF">2020-04-21T09:16:29Z</dcterms:created>
  <dcterms:modified xsi:type="dcterms:W3CDTF">2026-03-02T02:07:39Z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026907a7-707d-4be6-92f2-e66dc7ee90f4</vt:lpwstr>
  </property>
</Properties>
</file>