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Inventory Design &amp; Simulation\"/>
    </mc:Choice>
  </mc:AlternateContent>
  <xr:revisionPtr revIDLastSave="0" documentId="13_ncr:1_{2FE26633-385D-4188-A9BC-D365E54B6658}" xr6:coauthVersionLast="47" xr6:coauthVersionMax="47" xr10:uidLastSave="{00000000-0000-0000-0000-000000000000}"/>
  <bookViews>
    <workbookView xWindow="-108" yWindow="-108" windowWidth="23256" windowHeight="12456" xr2:uid="{791B23EE-1F6C-4541-B0E3-88839C98A580}"/>
  </bookViews>
  <sheets>
    <sheet name="Case Study" sheetId="4" r:id="rId1"/>
    <sheet name="Data" sheetId="3" r:id="rId2"/>
    <sheet name="Design" sheetId="1" r:id="rId3"/>
    <sheet name="Simulation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14" i="2"/>
  <c r="G62" i="1"/>
  <c r="G60" i="1"/>
  <c r="G52" i="1"/>
  <c r="G46" i="1"/>
  <c r="G37" i="1"/>
  <c r="G36" i="1"/>
  <c r="G4" i="1"/>
  <c r="F4" i="1"/>
  <c r="M69" i="2"/>
  <c r="M70" i="2" s="1"/>
  <c r="L69" i="2"/>
  <c r="L70" i="2" s="1"/>
  <c r="K69" i="2"/>
  <c r="K70" i="2" s="1"/>
  <c r="J69" i="2"/>
  <c r="J70" i="2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5" i="1"/>
  <c r="G40" i="1"/>
  <c r="G59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I2" i="2"/>
  <c r="G48" i="1" l="1"/>
  <c r="C8" i="2"/>
  <c r="J71" i="2" s="1"/>
  <c r="K71" i="2" l="1"/>
  <c r="M71" i="2"/>
  <c r="L71" i="2"/>
  <c r="C7" i="2"/>
  <c r="J21" i="2" s="1"/>
  <c r="G49" i="1"/>
  <c r="J39" i="2"/>
  <c r="J46" i="2"/>
  <c r="J13" i="2"/>
  <c r="J16" i="2"/>
  <c r="J44" i="2"/>
  <c r="J33" i="2"/>
  <c r="J7" i="2"/>
  <c r="J20" i="2"/>
  <c r="J6" i="2"/>
  <c r="J32" i="2"/>
  <c r="J41" i="2"/>
  <c r="J50" i="2"/>
  <c r="J59" i="2"/>
  <c r="J10" i="2"/>
  <c r="J26" i="2"/>
  <c r="J36" i="2"/>
  <c r="G45" i="1"/>
  <c r="J45" i="2" l="1"/>
  <c r="J38" i="2"/>
  <c r="J3" i="2"/>
  <c r="J55" i="2"/>
  <c r="J48" i="2"/>
  <c r="J24" i="2"/>
  <c r="J15" i="2"/>
  <c r="J4" i="2"/>
  <c r="J5" i="2"/>
  <c r="J56" i="2"/>
  <c r="J8" i="2"/>
  <c r="J17" i="2"/>
  <c r="J49" i="2"/>
  <c r="J19" i="2"/>
  <c r="J35" i="2"/>
  <c r="J42" i="2"/>
  <c r="J31" i="2"/>
  <c r="J23" i="2"/>
  <c r="J2" i="2"/>
  <c r="K2" i="2" s="1"/>
  <c r="I3" i="2" s="1"/>
  <c r="J28" i="2"/>
  <c r="J14" i="2"/>
  <c r="J12" i="2"/>
  <c r="J53" i="2"/>
  <c r="J54" i="2"/>
  <c r="J25" i="2"/>
  <c r="J18" i="2"/>
  <c r="J11" i="2"/>
  <c r="J40" i="2"/>
  <c r="J58" i="2"/>
  <c r="J52" i="2"/>
  <c r="J27" i="2"/>
  <c r="J43" i="2"/>
  <c r="J9" i="2"/>
  <c r="J22" i="2"/>
  <c r="J57" i="2"/>
  <c r="J29" i="2"/>
  <c r="J51" i="2"/>
  <c r="J37" i="2"/>
  <c r="B11" i="2"/>
  <c r="J34" i="2"/>
  <c r="J47" i="2"/>
  <c r="J60" i="2"/>
  <c r="J30" i="2"/>
  <c r="N2" i="2" l="1"/>
  <c r="O2" i="2"/>
  <c r="L2" i="2"/>
  <c r="J61" i="2"/>
  <c r="M72" i="2"/>
  <c r="L72" i="2"/>
  <c r="K72" i="2"/>
  <c r="J72" i="2"/>
  <c r="M4" i="2" l="1"/>
  <c r="Q4" i="2"/>
  <c r="K3" i="2"/>
  <c r="L3" i="2" l="1"/>
  <c r="I4" i="2"/>
  <c r="N3" i="2"/>
  <c r="O3" i="2"/>
  <c r="M5" i="2" l="1"/>
  <c r="Q5" i="2"/>
  <c r="K4" i="2"/>
  <c r="O4" i="2" s="1"/>
  <c r="I5" i="2" l="1"/>
  <c r="L4" i="2"/>
  <c r="N4" i="2"/>
  <c r="M6" i="2" l="1"/>
  <c r="Q6" i="2"/>
  <c r="I69" i="2" l="1"/>
  <c r="I70" i="2" s="1"/>
  <c r="I71" i="2" s="1"/>
  <c r="I72" i="2" s="1"/>
  <c r="K5" i="2" l="1"/>
  <c r="L5" i="2" l="1"/>
  <c r="I6" i="2"/>
  <c r="O5" i="2"/>
  <c r="N5" i="2"/>
  <c r="K6" i="2" l="1"/>
  <c r="L6" i="2" s="1"/>
  <c r="M8" i="2" s="1"/>
  <c r="M7" i="2"/>
  <c r="Q7" i="2"/>
  <c r="I7" i="2" l="1"/>
  <c r="O6" i="2"/>
  <c r="N6" i="2"/>
  <c r="K7" i="2"/>
  <c r="N7" i="2" s="1"/>
  <c r="Q8" i="2"/>
  <c r="I8" i="2" l="1"/>
  <c r="L7" i="2"/>
  <c r="M9" i="2" s="1"/>
  <c r="O7" i="2"/>
  <c r="Q9" i="2" l="1"/>
  <c r="K8" i="2"/>
  <c r="I9" i="2" s="1"/>
  <c r="L8" i="2" l="1"/>
  <c r="K9" i="2"/>
  <c r="O8" i="2"/>
  <c r="N8" i="2"/>
  <c r="L9" i="2" l="1"/>
  <c r="M11" i="2" s="1"/>
  <c r="M10" i="2"/>
  <c r="I10" i="2" s="1"/>
  <c r="Q10" i="2"/>
  <c r="O9" i="2"/>
  <c r="N9" i="2"/>
  <c r="Q11" i="2" l="1"/>
  <c r="K10" i="2"/>
  <c r="L10" i="2" s="1"/>
  <c r="I11" i="2" l="1"/>
  <c r="M12" i="2"/>
  <c r="Q12" i="2"/>
  <c r="N10" i="2"/>
  <c r="O10" i="2"/>
  <c r="K11" i="2" l="1"/>
  <c r="L11" i="2" s="1"/>
  <c r="I12" i="2" l="1"/>
  <c r="M13" i="2"/>
  <c r="Q13" i="2"/>
  <c r="N11" i="2"/>
  <c r="O11" i="2"/>
  <c r="K12" i="2" l="1"/>
  <c r="L12" i="2" s="1"/>
  <c r="I13" i="2" l="1"/>
  <c r="M14" i="2"/>
  <c r="Q14" i="2"/>
  <c r="N12" i="2"/>
  <c r="O12" i="2"/>
  <c r="K13" i="2" l="1"/>
  <c r="L13" i="2" s="1"/>
  <c r="I14" i="2" l="1"/>
  <c r="M15" i="2"/>
  <c r="Q15" i="2"/>
  <c r="N13" i="2"/>
  <c r="O13" i="2"/>
  <c r="I15" i="2" l="1"/>
  <c r="K14" i="2"/>
  <c r="N14" i="2" l="1"/>
  <c r="L14" i="2"/>
  <c r="M16" i="2" s="1"/>
  <c r="O14" i="2"/>
  <c r="Q16" i="2"/>
  <c r="K15" i="2" l="1"/>
  <c r="L15" i="2" l="1"/>
  <c r="I16" i="2"/>
  <c r="K16" i="2"/>
  <c r="L16" i="2" s="1"/>
  <c r="O15" i="2"/>
  <c r="N15" i="2"/>
  <c r="M17" i="2"/>
  <c r="Q17" i="2"/>
  <c r="I17" i="2" l="1"/>
  <c r="M18" i="2"/>
  <c r="Q18" i="2"/>
  <c r="N16" i="2"/>
  <c r="O16" i="2"/>
  <c r="K17" i="2"/>
  <c r="I18" i="2" l="1"/>
  <c r="K18" i="2"/>
  <c r="L17" i="2"/>
  <c r="O17" i="2"/>
  <c r="N17" i="2"/>
  <c r="L18" i="2" l="1"/>
  <c r="M19" i="2"/>
  <c r="I19" i="2" s="1"/>
  <c r="Q19" i="2"/>
  <c r="N18" i="2"/>
  <c r="O18" i="2"/>
  <c r="M20" i="2" l="1"/>
  <c r="Q20" i="2"/>
  <c r="K19" i="2"/>
  <c r="L19" i="2" s="1"/>
  <c r="I20" i="2" l="1"/>
  <c r="O19" i="2"/>
  <c r="N19" i="2"/>
  <c r="I21" i="2" l="1"/>
  <c r="M21" i="2"/>
  <c r="Q21" i="2"/>
  <c r="K20" i="2"/>
  <c r="L20" i="2" s="1"/>
  <c r="N20" i="2" l="1"/>
  <c r="O20" i="2"/>
  <c r="K21" i="2" l="1"/>
  <c r="M22" i="2"/>
  <c r="Q22" i="2"/>
  <c r="I22" i="2" l="1"/>
  <c r="L21" i="2"/>
  <c r="M23" i="2" s="1"/>
  <c r="O21" i="2"/>
  <c r="N21" i="2"/>
  <c r="Q23" i="2" l="1"/>
  <c r="K22" i="2"/>
  <c r="I23" i="2" s="1"/>
  <c r="L22" i="2" l="1"/>
  <c r="Q24" i="2" s="1"/>
  <c r="O22" i="2"/>
  <c r="N22" i="2"/>
  <c r="K23" i="2"/>
  <c r="M24" i="2" l="1"/>
  <c r="I24" i="2" s="1"/>
  <c r="L23" i="2"/>
  <c r="N23" i="2"/>
  <c r="O23" i="2"/>
  <c r="M25" i="2" l="1"/>
  <c r="Q25" i="2"/>
  <c r="K24" i="2"/>
  <c r="L24" i="2" s="1"/>
  <c r="I25" i="2" l="1"/>
  <c r="N24" i="2"/>
  <c r="O24" i="2"/>
  <c r="K25" i="2" l="1"/>
  <c r="L25" i="2" s="1"/>
  <c r="M27" i="2" s="1"/>
  <c r="M26" i="2"/>
  <c r="Q26" i="2"/>
  <c r="I26" i="2" l="1"/>
  <c r="K26" i="2"/>
  <c r="O25" i="2"/>
  <c r="N25" i="2"/>
  <c r="Q27" i="2"/>
  <c r="I27" i="2" l="1"/>
  <c r="L26" i="2"/>
  <c r="M28" i="2" s="1"/>
  <c r="K27" i="2"/>
  <c r="L27" i="2" s="1"/>
  <c r="O26" i="2"/>
  <c r="N26" i="2"/>
  <c r="I28" i="2" l="1"/>
  <c r="Q28" i="2"/>
  <c r="M29" i="2"/>
  <c r="Q29" i="2"/>
  <c r="N27" i="2"/>
  <c r="O27" i="2"/>
  <c r="I29" i="2" l="1"/>
  <c r="K28" i="2"/>
  <c r="L28" i="2" l="1"/>
  <c r="O28" i="2"/>
  <c r="N28" i="2"/>
  <c r="M30" i="2" l="1"/>
  <c r="Q30" i="2"/>
  <c r="K29" i="2"/>
  <c r="I30" i="2" s="1"/>
  <c r="L29" i="2" l="1"/>
  <c r="N29" i="2"/>
  <c r="O29" i="2"/>
  <c r="K30" i="2" l="1"/>
  <c r="M31" i="2"/>
  <c r="Q31" i="2"/>
  <c r="L30" i="2" l="1"/>
  <c r="M32" i="2" s="1"/>
  <c r="I31" i="2"/>
  <c r="N30" i="2"/>
  <c r="O30" i="2"/>
  <c r="Q32" i="2"/>
  <c r="K31" i="2" l="1"/>
  <c r="N31" i="2" s="1"/>
  <c r="O31" i="2"/>
  <c r="I32" i="2" l="1"/>
  <c r="L31" i="2"/>
  <c r="M33" i="2" s="1"/>
  <c r="Q33" i="2"/>
  <c r="K32" i="2" l="1"/>
  <c r="I33" i="2" s="1"/>
  <c r="L32" i="2"/>
  <c r="M34" i="2" s="1"/>
  <c r="N32" i="2"/>
  <c r="O32" i="2"/>
  <c r="K33" i="2" l="1"/>
  <c r="I34" i="2" s="1"/>
  <c r="Q34" i="2"/>
  <c r="N33" i="2"/>
  <c r="O33" i="2" l="1"/>
  <c r="L33" i="2"/>
  <c r="K34" i="2"/>
  <c r="L34" i="2" s="1"/>
  <c r="M35" i="2" l="1"/>
  <c r="Q35" i="2"/>
  <c r="I35" i="2"/>
  <c r="N34" i="2"/>
  <c r="O34" i="2"/>
  <c r="Q36" i="2" l="1"/>
  <c r="M36" i="2"/>
  <c r="K35" i="2"/>
  <c r="L35" i="2" s="1"/>
  <c r="I36" i="2" l="1"/>
  <c r="N35" i="2"/>
  <c r="O35" i="2"/>
  <c r="K36" i="2" l="1"/>
  <c r="N36" i="2" s="1"/>
  <c r="M37" i="2"/>
  <c r="Q37" i="2"/>
  <c r="I37" i="2" l="1"/>
  <c r="O36" i="2"/>
  <c r="L36" i="2"/>
  <c r="Q38" i="2" s="1"/>
  <c r="K37" i="2"/>
  <c r="L37" i="2" s="1"/>
  <c r="M38" i="2"/>
  <c r="I38" i="2" l="1"/>
  <c r="N37" i="2"/>
  <c r="O37" i="2"/>
  <c r="K38" i="2" l="1"/>
  <c r="L38" i="2" s="1"/>
  <c r="Q39" i="2"/>
  <c r="M39" i="2"/>
  <c r="I39" i="2" l="1"/>
  <c r="O38" i="2"/>
  <c r="N38" i="2"/>
  <c r="K39" i="2" l="1"/>
  <c r="I40" i="2" s="1"/>
  <c r="M40" i="2"/>
  <c r="Q40" i="2"/>
  <c r="L39" i="2" l="1"/>
  <c r="M41" i="2" s="1"/>
  <c r="O39" i="2"/>
  <c r="N39" i="2"/>
  <c r="K40" i="2"/>
  <c r="I41" i="2" s="1"/>
  <c r="L40" i="2" l="1"/>
  <c r="Q41" i="2"/>
  <c r="N40" i="2"/>
  <c r="O40" i="2"/>
  <c r="K41" i="2" l="1"/>
  <c r="M42" i="2"/>
  <c r="Q42" i="2"/>
  <c r="L41" i="2" l="1"/>
  <c r="I42" i="2"/>
  <c r="N41" i="2"/>
  <c r="O41" i="2"/>
  <c r="K42" i="2" l="1"/>
  <c r="L42" i="2" s="1"/>
  <c r="M43" i="2"/>
  <c r="Q43" i="2"/>
  <c r="I43" i="2" l="1"/>
  <c r="Q44" i="2"/>
  <c r="M44" i="2"/>
  <c r="N42" i="2"/>
  <c r="O42" i="2"/>
  <c r="I44" i="2" l="1"/>
  <c r="K43" i="2"/>
  <c r="L43" i="2" l="1"/>
  <c r="M45" i="2" s="1"/>
  <c r="O43" i="2"/>
  <c r="K44" i="2"/>
  <c r="N44" i="2" s="1"/>
  <c r="N43" i="2"/>
  <c r="I45" i="2" l="1"/>
  <c r="O44" i="2"/>
  <c r="L44" i="2"/>
  <c r="Q45" i="2"/>
  <c r="Q46" i="2"/>
  <c r="M46" i="2"/>
  <c r="I46" i="2" l="1"/>
  <c r="K45" i="2"/>
  <c r="L45" i="2" s="1"/>
  <c r="M47" i="2" s="1"/>
  <c r="Q47" i="2" l="1"/>
  <c r="O45" i="2"/>
  <c r="N45" i="2"/>
  <c r="K46" i="2"/>
  <c r="I47" i="2" s="1"/>
  <c r="L46" i="2" l="1"/>
  <c r="K47" i="2"/>
  <c r="O46" i="2"/>
  <c r="N46" i="2"/>
  <c r="I48" i="2" l="1"/>
  <c r="L47" i="2"/>
  <c r="M48" i="2"/>
  <c r="Q48" i="2"/>
  <c r="O47" i="2"/>
  <c r="N47" i="2"/>
  <c r="K48" i="2" l="1"/>
  <c r="L48" i="2" s="1"/>
  <c r="M49" i="2"/>
  <c r="Q49" i="2"/>
  <c r="I49" i="2" l="1"/>
  <c r="O48" i="2"/>
  <c r="N48" i="2"/>
  <c r="K49" i="2" l="1"/>
  <c r="L49" i="2" s="1"/>
  <c r="M50" i="2"/>
  <c r="Q50" i="2"/>
  <c r="I50" i="2" l="1"/>
  <c r="M51" i="2"/>
  <c r="Q51" i="2"/>
  <c r="O49" i="2"/>
  <c r="N49" i="2"/>
  <c r="K50" i="2" l="1"/>
  <c r="I51" i="2" s="1"/>
  <c r="L50" i="2" l="1"/>
  <c r="N50" i="2"/>
  <c r="O50" i="2"/>
  <c r="K51" i="2" l="1"/>
  <c r="M52" i="2"/>
  <c r="Q52" i="2"/>
  <c r="L51" i="2" l="1"/>
  <c r="I52" i="2"/>
  <c r="O51" i="2"/>
  <c r="N51" i="2"/>
  <c r="K52" i="2" l="1"/>
  <c r="L52" i="2" s="1"/>
  <c r="M53" i="2"/>
  <c r="Q53" i="2"/>
  <c r="I53" i="2" l="1"/>
  <c r="O52" i="2"/>
  <c r="N52" i="2"/>
  <c r="M54" i="2" l="1"/>
  <c r="Q54" i="2"/>
  <c r="K53" i="2"/>
  <c r="L53" i="2" s="1"/>
  <c r="I54" i="2" l="1"/>
  <c r="M55" i="2"/>
  <c r="Q55" i="2"/>
  <c r="O53" i="2"/>
  <c r="N53" i="2"/>
  <c r="K54" i="2" l="1"/>
  <c r="I55" i="2" s="1"/>
  <c r="L54" i="2" l="1"/>
  <c r="N54" i="2"/>
  <c r="O54" i="2"/>
  <c r="K55" i="2" l="1"/>
  <c r="M56" i="2"/>
  <c r="Q56" i="2"/>
  <c r="L55" i="2" l="1"/>
  <c r="I56" i="2"/>
  <c r="M57" i="2"/>
  <c r="Q57" i="2"/>
  <c r="O55" i="2"/>
  <c r="N55" i="2"/>
  <c r="K56" i="2" l="1"/>
  <c r="L56" i="2" s="1"/>
  <c r="I57" i="2" l="1"/>
  <c r="M58" i="2"/>
  <c r="Q58" i="2"/>
  <c r="O56" i="2"/>
  <c r="N56" i="2"/>
  <c r="K57" i="2" l="1"/>
  <c r="L57" i="2" s="1"/>
  <c r="I58" i="2" l="1"/>
  <c r="N57" i="2"/>
  <c r="O57" i="2"/>
  <c r="K58" i="2" l="1"/>
  <c r="L58" i="2" s="1"/>
  <c r="M59" i="2"/>
  <c r="Q59" i="2"/>
  <c r="I59" i="2" l="1"/>
  <c r="N58" i="2"/>
  <c r="O58" i="2"/>
  <c r="K59" i="2" l="1"/>
  <c r="L59" i="2" s="1"/>
  <c r="M60" i="2"/>
  <c r="Q60" i="2"/>
  <c r="I60" i="2" l="1"/>
  <c r="N59" i="2"/>
  <c r="O59" i="2"/>
  <c r="K60" i="2" l="1"/>
  <c r="L60" i="2" s="1"/>
  <c r="L63" i="2" s="1"/>
  <c r="O60" i="2" l="1"/>
  <c r="N60" i="2"/>
  <c r="N61" i="2" s="1"/>
  <c r="L64" i="2" s="1"/>
  <c r="L65" i="2" s="1"/>
  <c r="K61" i="2"/>
  <c r="O61" i="2" s="1"/>
  <c r="L61" i="2" l="1"/>
</calcChain>
</file>

<file path=xl/sharedStrings.xml><?xml version="1.0" encoding="utf-8"?>
<sst xmlns="http://schemas.openxmlformats.org/spreadsheetml/2006/main" count="1022" uniqueCount="78">
  <si>
    <t>Large</t>
  </si>
  <si>
    <t>Medium</t>
  </si>
  <si>
    <t>Small</t>
  </si>
  <si>
    <t>Average</t>
  </si>
  <si>
    <t>Std Dev</t>
  </si>
  <si>
    <t>CSL</t>
  </si>
  <si>
    <t>k</t>
  </si>
  <si>
    <t>LT (Days)</t>
  </si>
  <si>
    <t>Demand</t>
  </si>
  <si>
    <t>s</t>
  </si>
  <si>
    <t>Q</t>
  </si>
  <si>
    <t>Ct</t>
  </si>
  <si>
    <t>D</t>
  </si>
  <si>
    <t>C</t>
  </si>
  <si>
    <t>h</t>
  </si>
  <si>
    <t>Ce</t>
  </si>
  <si>
    <t>Inventory</t>
  </si>
  <si>
    <t>Random Demand</t>
  </si>
  <si>
    <t>Sales</t>
  </si>
  <si>
    <t>Lost Sales</t>
  </si>
  <si>
    <t>Date</t>
  </si>
  <si>
    <t xml:space="preserve">G(k)
=𝑁𝑂𝑅𝑀𝐷𝐼𝑆𝑇(𝑘,0,1,0)−𝑘∗(1−𝑁𝑂𝑅𝑀𝑆𝐷𝐼𝑆𝑇(𝑘))	</t>
  </si>
  <si>
    <t>G(k)</t>
  </si>
  <si>
    <t>E(US)</t>
  </si>
  <si>
    <t>Demand Over Lead Time</t>
  </si>
  <si>
    <t>IFR</t>
  </si>
  <si>
    <t>Initial Stock</t>
  </si>
  <si>
    <t>Random</t>
  </si>
  <si>
    <t>Min</t>
  </si>
  <si>
    <t>Max</t>
  </si>
  <si>
    <t>Mean</t>
  </si>
  <si>
    <t>StDev</t>
  </si>
  <si>
    <t>Service Level</t>
  </si>
  <si>
    <t>Units Short</t>
  </si>
  <si>
    <t>Size (ml)</t>
  </si>
  <si>
    <t>Total</t>
  </si>
  <si>
    <t>Order Count</t>
  </si>
  <si>
    <t>Wt Avg 
Coffee Size</t>
  </si>
  <si>
    <t>Coffee Beans
(Demand-Kg)</t>
  </si>
  <si>
    <t>Demand Data</t>
  </si>
  <si>
    <t>SKU</t>
  </si>
  <si>
    <t>Location</t>
  </si>
  <si>
    <t>Store1</t>
  </si>
  <si>
    <t>Store2</t>
  </si>
  <si>
    <t>Store3</t>
  </si>
  <si>
    <t>Store4</t>
  </si>
  <si>
    <t>Store5</t>
  </si>
  <si>
    <t>Mug Life, is a coffee chain with 5 stores located in Delhi</t>
  </si>
  <si>
    <t>Apart from various food and beverages on their menu, they are famous for their brewed coffee</t>
  </si>
  <si>
    <t>They offer coffee to their customers in 3 cup sizes : Large, Medium and Small</t>
  </si>
  <si>
    <t>Mug Life has a POS System in place which captures Demand accurately for all SKUs</t>
  </si>
  <si>
    <t>As a Supply Chain Head, you want to assess the following</t>
  </si>
  <si>
    <t>Case Study: Inventory Design and Simulation</t>
  </si>
  <si>
    <t>One of the key ingredients of Coffee is the Coffee Beans</t>
  </si>
  <si>
    <t>Of late, Mug Life's Store 4 has been running out of stock for coffee beans on some occassions resulting in both loss of sales</t>
  </si>
  <si>
    <t>as well as its reputation</t>
  </si>
  <si>
    <t>Mug Life's Supply Chain department wants to Design an Inventory Strategy for Coffee beans for Store 4</t>
  </si>
  <si>
    <t>a. Design the Inventory Strategy for Coffee Beans for Store 4</t>
  </si>
  <si>
    <t>b. Test the impact of this strategy through Simulation before implementation</t>
  </si>
  <si>
    <t>Their Supply Chain team has collated the Sales data for the month of Jan 2026 across all Stores</t>
  </si>
  <si>
    <t>Apart from the Sales data, they have also collated other details related to Coffee Beans</t>
  </si>
  <si>
    <t>Cost of Coffee Beans</t>
  </si>
  <si>
    <t>INR 1000/Kg</t>
  </si>
  <si>
    <t>Ordering Cost</t>
  </si>
  <si>
    <t>INR 500 per Order</t>
  </si>
  <si>
    <t>Inventory Holding Cost</t>
  </si>
  <si>
    <t>20% p.a.</t>
  </si>
  <si>
    <t>They want to test this strategy over next 2 months before replicating the same across all its stores</t>
  </si>
  <si>
    <t>Coffee Cup Size</t>
  </si>
  <si>
    <t>Volume (ml)</t>
  </si>
  <si>
    <t>Mug Life follows a 1:16 Coffee to Water ratio</t>
  </si>
  <si>
    <t>This translates into</t>
  </si>
  <si>
    <t>1gm of Coffee bean required for 16ml of Coffee</t>
  </si>
  <si>
    <t>Inventory Strategy</t>
  </si>
  <si>
    <t>Order 160 Kg of Coffee Beans when Inventory Level reaches 40 Kg</t>
  </si>
  <si>
    <t>Or For every 1ml of Coffee, Coffee beans required = 0.0625 gms</t>
  </si>
  <si>
    <t>Order Received</t>
  </si>
  <si>
    <t>Re-Order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</si>
</sst>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"/>
    <numFmt numFmtId="166" formatCode="_ * #,##0_ ;_ * \-#,##0_ ;_ * &quot;-&quot;??_ ;_ @_ "/>
    <numFmt numFmtId="167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6" fontId="0" fillId="0" borderId="0" xfId="1" applyNumberFormat="1" applyFont="1" applyAlignment="1">
      <alignment vertical="center"/>
    </xf>
    <xf numFmtId="1" fontId="0" fillId="0" borderId="9" xfId="0" applyNumberFormat="1" applyBorder="1" applyAlignment="1">
      <alignment vertical="center"/>
    </xf>
    <xf numFmtId="1" fontId="0" fillId="0" borderId="12" xfId="0" applyNumberFormat="1" applyBorder="1" applyAlignment="1">
      <alignment vertical="center"/>
    </xf>
    <xf numFmtId="0" fontId="0" fillId="0" borderId="13" xfId="0" applyBorder="1"/>
    <xf numFmtId="10" fontId="0" fillId="0" borderId="0" xfId="2" applyNumberFormat="1" applyFont="1" applyAlignment="1">
      <alignment vertical="center"/>
    </xf>
    <xf numFmtId="0" fontId="2" fillId="0" borderId="14" xfId="0" applyFont="1" applyBorder="1" applyAlignment="1">
      <alignment vertical="center"/>
    </xf>
    <xf numFmtId="9" fontId="2" fillId="0" borderId="15" xfId="0" applyNumberFormat="1" applyFont="1" applyBorder="1" applyAlignment="1">
      <alignment vertical="center"/>
    </xf>
    <xf numFmtId="9" fontId="2" fillId="0" borderId="16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0" borderId="18" xfId="0" applyNumberFormat="1" applyBorder="1" applyAlignment="1">
      <alignment vertical="center"/>
    </xf>
    <xf numFmtId="0" fontId="2" fillId="0" borderId="19" xfId="0" applyFont="1" applyBorder="1" applyAlignment="1">
      <alignment vertical="center"/>
    </xf>
    <xf numFmtId="10" fontId="2" fillId="0" borderId="20" xfId="2" applyNumberFormat="1" applyFont="1" applyBorder="1" applyAlignment="1">
      <alignment vertical="center"/>
    </xf>
    <xf numFmtId="10" fontId="2" fillId="0" borderId="21" xfId="2" applyNumberFormat="1" applyFont="1" applyBorder="1" applyAlignment="1">
      <alignment vertical="center"/>
    </xf>
    <xf numFmtId="9" fontId="2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0" fontId="2" fillId="0" borderId="0" xfId="2" applyNumberFormat="1" applyFont="1" applyBorder="1" applyAlignment="1">
      <alignment vertical="center"/>
    </xf>
    <xf numFmtId="0" fontId="0" fillId="0" borderId="13" xfId="0" applyBorder="1" applyAlignment="1">
      <alignment vertical="center"/>
    </xf>
    <xf numFmtId="166" fontId="0" fillId="0" borderId="13" xfId="1" applyNumberFormat="1" applyFont="1" applyBorder="1" applyAlignment="1">
      <alignment vertical="center"/>
    </xf>
    <xf numFmtId="9" fontId="0" fillId="0" borderId="13" xfId="2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 wrapText="1"/>
    </xf>
    <xf numFmtId="9" fontId="2" fillId="3" borderId="13" xfId="2" applyFont="1" applyFill="1" applyBorder="1" applyAlignment="1">
      <alignment vertical="center" wrapText="1"/>
    </xf>
    <xf numFmtId="15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2" fillId="0" borderId="13" xfId="0" applyFont="1" applyBorder="1"/>
    <xf numFmtId="10" fontId="2" fillId="0" borderId="13" xfId="2" applyNumberFormat="1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0" fontId="0" fillId="0" borderId="21" xfId="2" applyNumberFormat="1" applyFont="1" applyBorder="1"/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67" fontId="0" fillId="0" borderId="0" xfId="1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2" fillId="4" borderId="14" xfId="0" applyFont="1" applyFill="1" applyBorder="1"/>
    <xf numFmtId="166" fontId="2" fillId="4" borderId="16" xfId="1" applyNumberFormat="1" applyFont="1" applyFill="1" applyBorder="1"/>
    <xf numFmtId="0" fontId="2" fillId="4" borderId="19" xfId="0" applyFont="1" applyFill="1" applyBorder="1"/>
    <xf numFmtId="166" fontId="2" fillId="4" borderId="21" xfId="1" applyNumberFormat="1" applyFont="1" applyFill="1" applyBorder="1"/>
    <xf numFmtId="0" fontId="4" fillId="0" borderId="1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1" fontId="0" fillId="4" borderId="0" xfId="0" applyNumberFormat="1" applyFill="1" applyAlignment="1">
      <alignment vertical="center"/>
    </xf>
    <xf numFmtId="166" fontId="0" fillId="4" borderId="0" xfId="1" applyNumberFormat="1" applyFont="1" applyFill="1" applyAlignment="1">
      <alignment vertical="center"/>
    </xf>
    <xf numFmtId="0" fontId="2" fillId="3" borderId="25" xfId="0" applyFont="1" applyFill="1" applyBorder="1" applyAlignment="1">
      <alignment vertical="center"/>
    </xf>
    <xf numFmtId="166" fontId="0" fillId="0" borderId="13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10" fontId="0" fillId="0" borderId="0" xfId="2" applyNumberFormat="1" applyFont="1" applyBorder="1"/>
    <xf numFmtId="0" fontId="0" fillId="0" borderId="0" xfId="0" applyBorder="1" applyAlignment="1">
      <alignment vertical="center"/>
    </xf>
    <xf numFmtId="0" fontId="2" fillId="4" borderId="2" xfId="0" applyFont="1" applyFill="1" applyBorder="1"/>
    <xf numFmtId="0" fontId="2" fillId="4" borderId="24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1</xdr:col>
      <xdr:colOff>250885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9EB5D-339E-4CD5-838A-8F8C2A43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17170"/>
          <a:ext cx="1995864" cy="360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468A-3AE7-4240-9518-EC5F7DA42B84}">
  <dimension ref="A6:B43"/>
  <sheetViews>
    <sheetView tabSelected="1" zoomScale="130" zoomScaleNormal="130" workbookViewId="0">
      <selection activeCell="A39" sqref="A39"/>
    </sheetView>
  </sheetViews>
  <sheetFormatPr defaultRowHeight="15.6" x14ac:dyDescent="0.3"/>
  <cols>
    <col min="1" max="1" width="26.21875" style="59" customWidth="1"/>
    <col min="2" max="2" width="17.6640625" style="59" customWidth="1"/>
    <col min="3" max="3" width="13.5546875" style="59" customWidth="1"/>
    <col min="4" max="9" width="11.5546875" style="59" customWidth="1"/>
    <col min="10" max="10" width="8.88671875" style="59"/>
    <col min="11" max="11" width="10" style="59" bestFit="1" customWidth="1"/>
    <col min="12" max="16384" width="8.88671875" style="59"/>
  </cols>
  <sheetData>
    <row r="6" spans="1:2" x14ac:dyDescent="0.3">
      <c r="A6" s="2" t="s">
        <v>52</v>
      </c>
    </row>
    <row r="7" spans="1:2" x14ac:dyDescent="0.3">
      <c r="A7" s="2"/>
    </row>
    <row r="8" spans="1:2" x14ac:dyDescent="0.3">
      <c r="A8" s="59" t="s">
        <v>47</v>
      </c>
    </row>
    <row r="9" spans="1:2" x14ac:dyDescent="0.3">
      <c r="A9" s="59" t="s">
        <v>48</v>
      </c>
    </row>
    <row r="10" spans="1:2" x14ac:dyDescent="0.3">
      <c r="A10" s="59" t="s">
        <v>49</v>
      </c>
    </row>
    <row r="11" spans="1:2" ht="16.2" thickBot="1" x14ac:dyDescent="0.35"/>
    <row r="12" spans="1:2" ht="16.2" thickBot="1" x14ac:dyDescent="0.35">
      <c r="A12" s="69" t="s">
        <v>68</v>
      </c>
      <c r="B12" s="70" t="s">
        <v>69</v>
      </c>
    </row>
    <row r="13" spans="1:2" x14ac:dyDescent="0.3">
      <c r="A13" s="68" t="s">
        <v>0</v>
      </c>
      <c r="B13" s="71">
        <v>400</v>
      </c>
    </row>
    <row r="14" spans="1:2" x14ac:dyDescent="0.3">
      <c r="A14" s="66" t="s">
        <v>1</v>
      </c>
      <c r="B14" s="72">
        <v>300</v>
      </c>
    </row>
    <row r="15" spans="1:2" ht="16.2" thickBot="1" x14ac:dyDescent="0.35">
      <c r="A15" s="67" t="s">
        <v>2</v>
      </c>
      <c r="B15" s="73">
        <v>200</v>
      </c>
    </row>
    <row r="18" spans="1:1" x14ac:dyDescent="0.3">
      <c r="A18" s="59" t="s">
        <v>53</v>
      </c>
    </row>
    <row r="19" spans="1:1" x14ac:dyDescent="0.3">
      <c r="A19" s="59" t="s">
        <v>70</v>
      </c>
    </row>
    <row r="20" spans="1:1" x14ac:dyDescent="0.3">
      <c r="A20" s="59" t="s">
        <v>71</v>
      </c>
    </row>
    <row r="21" spans="1:1" x14ac:dyDescent="0.3">
      <c r="A21" s="59" t="s">
        <v>72</v>
      </c>
    </row>
    <row r="22" spans="1:1" x14ac:dyDescent="0.3">
      <c r="A22" s="59" t="s">
        <v>75</v>
      </c>
    </row>
    <row r="24" spans="1:1" x14ac:dyDescent="0.3">
      <c r="A24" s="59" t="s">
        <v>54</v>
      </c>
    </row>
    <row r="25" spans="1:1" x14ac:dyDescent="0.3">
      <c r="A25" s="59" t="s">
        <v>55</v>
      </c>
    </row>
    <row r="26" spans="1:1" x14ac:dyDescent="0.3">
      <c r="A26" s="59" t="s">
        <v>56</v>
      </c>
    </row>
    <row r="27" spans="1:1" x14ac:dyDescent="0.3">
      <c r="A27" s="59" t="s">
        <v>67</v>
      </c>
    </row>
    <row r="29" spans="1:1" x14ac:dyDescent="0.3">
      <c r="A29" s="59" t="s">
        <v>50</v>
      </c>
    </row>
    <row r="30" spans="1:1" x14ac:dyDescent="0.3">
      <c r="A30" s="59" t="s">
        <v>59</v>
      </c>
    </row>
    <row r="32" spans="1:1" x14ac:dyDescent="0.3">
      <c r="A32" s="59" t="s">
        <v>60</v>
      </c>
    </row>
    <row r="34" spans="1:2" x14ac:dyDescent="0.3">
      <c r="A34" s="61" t="s">
        <v>61</v>
      </c>
      <c r="B34" s="61" t="s">
        <v>62</v>
      </c>
    </row>
    <row r="35" spans="1:2" x14ac:dyDescent="0.3">
      <c r="A35" s="61" t="s">
        <v>63</v>
      </c>
      <c r="B35" s="61" t="s">
        <v>64</v>
      </c>
    </row>
    <row r="36" spans="1:2" x14ac:dyDescent="0.3">
      <c r="A36" s="61" t="s">
        <v>65</v>
      </c>
      <c r="B36" s="61" t="s">
        <v>66</v>
      </c>
    </row>
    <row r="39" spans="1:2" x14ac:dyDescent="0.3">
      <c r="A39" s="59" t="s">
        <v>51</v>
      </c>
    </row>
    <row r="40" spans="1:2" x14ac:dyDescent="0.3">
      <c r="A40" s="60" t="s">
        <v>57</v>
      </c>
    </row>
    <row r="41" spans="1:2" x14ac:dyDescent="0.3">
      <c r="A41" s="2" t="s">
        <v>58</v>
      </c>
    </row>
    <row r="42" spans="1:2" x14ac:dyDescent="0.3">
      <c r="A42" s="2"/>
    </row>
    <row r="43" spans="1:2" x14ac:dyDescent="0.3">
      <c r="A43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F90F-53FA-4C2F-B88B-03B236CDDC34}">
  <dimension ref="A2:M468"/>
  <sheetViews>
    <sheetView zoomScale="130" zoomScaleNormal="130" workbookViewId="0">
      <selection activeCell="C4" sqref="C4"/>
    </sheetView>
  </sheetViews>
  <sheetFormatPr defaultRowHeight="14.4" x14ac:dyDescent="0.3"/>
  <cols>
    <col min="1" max="1" width="10.33203125" bestFit="1" customWidth="1"/>
  </cols>
  <sheetData>
    <row r="2" spans="1:13" x14ac:dyDescent="0.3">
      <c r="A2" s="3" t="s">
        <v>39</v>
      </c>
    </row>
    <row r="3" spans="1:13" x14ac:dyDescent="0.3">
      <c r="A3" s="3" t="s">
        <v>20</v>
      </c>
      <c r="B3" s="3" t="s">
        <v>40</v>
      </c>
      <c r="C3" s="3" t="s">
        <v>41</v>
      </c>
      <c r="D3" s="3" t="s">
        <v>8</v>
      </c>
      <c r="G3" s="1"/>
      <c r="H3" s="1"/>
      <c r="I3" s="1"/>
      <c r="J3" s="1"/>
      <c r="K3" s="1"/>
      <c r="L3" s="1"/>
      <c r="M3" s="1"/>
    </row>
    <row r="4" spans="1:13" x14ac:dyDescent="0.3">
      <c r="A4" s="58">
        <v>46023</v>
      </c>
      <c r="B4" t="s">
        <v>0</v>
      </c>
      <c r="C4" t="s">
        <v>42</v>
      </c>
      <c r="D4">
        <v>83</v>
      </c>
      <c r="G4" s="1"/>
      <c r="H4" s="10"/>
      <c r="I4" s="10"/>
      <c r="J4" s="10"/>
      <c r="K4" s="10"/>
      <c r="L4" s="1"/>
      <c r="M4" s="10"/>
    </row>
    <row r="5" spans="1:13" x14ac:dyDescent="0.3">
      <c r="A5" s="58">
        <v>46024</v>
      </c>
      <c r="B5" t="s">
        <v>0</v>
      </c>
      <c r="C5" t="s">
        <v>42</v>
      </c>
      <c r="D5">
        <v>63</v>
      </c>
      <c r="G5" s="1"/>
      <c r="H5" s="1"/>
      <c r="I5" s="1"/>
      <c r="J5" s="1"/>
      <c r="K5" s="1"/>
      <c r="L5" s="1"/>
      <c r="M5" s="10"/>
    </row>
    <row r="6" spans="1:13" x14ac:dyDescent="0.3">
      <c r="A6" s="58">
        <v>46025</v>
      </c>
      <c r="B6" t="s">
        <v>0</v>
      </c>
      <c r="C6" t="s">
        <v>42</v>
      </c>
      <c r="D6">
        <v>54</v>
      </c>
      <c r="G6" s="1"/>
      <c r="H6" s="56"/>
      <c r="I6" s="56"/>
      <c r="J6" s="56"/>
      <c r="K6" s="56"/>
      <c r="L6" s="1"/>
      <c r="M6" s="56"/>
    </row>
    <row r="7" spans="1:13" x14ac:dyDescent="0.3">
      <c r="A7" s="58">
        <v>46026</v>
      </c>
      <c r="B7" t="s">
        <v>0</v>
      </c>
      <c r="C7" t="s">
        <v>42</v>
      </c>
      <c r="D7">
        <v>99</v>
      </c>
      <c r="G7" s="1"/>
      <c r="H7" s="1"/>
      <c r="I7" s="1"/>
      <c r="J7" s="1"/>
      <c r="K7" s="1"/>
      <c r="L7" s="1"/>
      <c r="M7" s="10"/>
    </row>
    <row r="8" spans="1:13" x14ac:dyDescent="0.3">
      <c r="A8" s="58">
        <v>46027</v>
      </c>
      <c r="B8" t="s">
        <v>0</v>
      </c>
      <c r="C8" t="s">
        <v>42</v>
      </c>
      <c r="D8">
        <v>52</v>
      </c>
    </row>
    <row r="9" spans="1:13" x14ac:dyDescent="0.3">
      <c r="A9" s="58">
        <v>46028</v>
      </c>
      <c r="B9" t="s">
        <v>0</v>
      </c>
      <c r="C9" t="s">
        <v>42</v>
      </c>
      <c r="D9">
        <v>101</v>
      </c>
    </row>
    <row r="10" spans="1:13" x14ac:dyDescent="0.3">
      <c r="A10" s="58">
        <v>46029</v>
      </c>
      <c r="B10" t="s">
        <v>0</v>
      </c>
      <c r="C10" t="s">
        <v>42</v>
      </c>
      <c r="D10">
        <v>85</v>
      </c>
    </row>
    <row r="11" spans="1:13" x14ac:dyDescent="0.3">
      <c r="A11" s="58">
        <v>46030</v>
      </c>
      <c r="B11" t="s">
        <v>0</v>
      </c>
      <c r="C11" t="s">
        <v>42</v>
      </c>
      <c r="D11">
        <v>75</v>
      </c>
    </row>
    <row r="12" spans="1:13" x14ac:dyDescent="0.3">
      <c r="A12" s="58">
        <v>46031</v>
      </c>
      <c r="B12" t="s">
        <v>0</v>
      </c>
      <c r="C12" t="s">
        <v>42</v>
      </c>
      <c r="D12">
        <v>94</v>
      </c>
    </row>
    <row r="13" spans="1:13" x14ac:dyDescent="0.3">
      <c r="A13" s="58">
        <v>46032</v>
      </c>
      <c r="B13" t="s">
        <v>0</v>
      </c>
      <c r="C13" t="s">
        <v>42</v>
      </c>
      <c r="D13">
        <v>28</v>
      </c>
    </row>
    <row r="14" spans="1:13" x14ac:dyDescent="0.3">
      <c r="A14" s="58">
        <v>46033</v>
      </c>
      <c r="B14" t="s">
        <v>0</v>
      </c>
      <c r="C14" t="s">
        <v>42</v>
      </c>
      <c r="D14">
        <v>72</v>
      </c>
    </row>
    <row r="15" spans="1:13" x14ac:dyDescent="0.3">
      <c r="A15" s="58">
        <v>46034</v>
      </c>
      <c r="B15" t="s">
        <v>0</v>
      </c>
      <c r="C15" t="s">
        <v>42</v>
      </c>
      <c r="D15">
        <v>63</v>
      </c>
    </row>
    <row r="16" spans="1:13" x14ac:dyDescent="0.3">
      <c r="A16" s="58">
        <v>46035</v>
      </c>
      <c r="B16" t="s">
        <v>0</v>
      </c>
      <c r="C16" t="s">
        <v>42</v>
      </c>
      <c r="D16">
        <v>106</v>
      </c>
    </row>
    <row r="17" spans="1:4" x14ac:dyDescent="0.3">
      <c r="A17" s="58">
        <v>46036</v>
      </c>
      <c r="B17" t="s">
        <v>0</v>
      </c>
      <c r="C17" t="s">
        <v>42</v>
      </c>
      <c r="D17">
        <v>92</v>
      </c>
    </row>
    <row r="18" spans="1:4" x14ac:dyDescent="0.3">
      <c r="A18" s="58">
        <v>46037</v>
      </c>
      <c r="B18" t="s">
        <v>0</v>
      </c>
      <c r="C18" t="s">
        <v>42</v>
      </c>
      <c r="D18">
        <v>113</v>
      </c>
    </row>
    <row r="19" spans="1:4" x14ac:dyDescent="0.3">
      <c r="A19" s="58">
        <v>46038</v>
      </c>
      <c r="B19" t="s">
        <v>0</v>
      </c>
      <c r="C19" t="s">
        <v>42</v>
      </c>
      <c r="D19">
        <v>120</v>
      </c>
    </row>
    <row r="20" spans="1:4" x14ac:dyDescent="0.3">
      <c r="A20" s="58">
        <v>46039</v>
      </c>
      <c r="B20" t="s">
        <v>0</v>
      </c>
      <c r="C20" t="s">
        <v>42</v>
      </c>
      <c r="D20">
        <v>58</v>
      </c>
    </row>
    <row r="21" spans="1:4" x14ac:dyDescent="0.3">
      <c r="A21" s="58">
        <v>46040</v>
      </c>
      <c r="B21" t="s">
        <v>0</v>
      </c>
      <c r="C21" t="s">
        <v>42</v>
      </c>
      <c r="D21">
        <v>47</v>
      </c>
    </row>
    <row r="22" spans="1:4" x14ac:dyDescent="0.3">
      <c r="A22" s="58">
        <v>46041</v>
      </c>
      <c r="B22" t="s">
        <v>0</v>
      </c>
      <c r="C22" t="s">
        <v>42</v>
      </c>
      <c r="D22">
        <v>61</v>
      </c>
    </row>
    <row r="23" spans="1:4" x14ac:dyDescent="0.3">
      <c r="A23" s="58">
        <v>46042</v>
      </c>
      <c r="B23" t="s">
        <v>0</v>
      </c>
      <c r="C23" t="s">
        <v>42</v>
      </c>
      <c r="D23">
        <v>105</v>
      </c>
    </row>
    <row r="24" spans="1:4" x14ac:dyDescent="0.3">
      <c r="A24" s="58">
        <v>46043</v>
      </c>
      <c r="B24" t="s">
        <v>0</v>
      </c>
      <c r="C24" t="s">
        <v>42</v>
      </c>
      <c r="D24">
        <v>78</v>
      </c>
    </row>
    <row r="25" spans="1:4" x14ac:dyDescent="0.3">
      <c r="A25" s="58">
        <v>46044</v>
      </c>
      <c r="B25" t="s">
        <v>0</v>
      </c>
      <c r="C25" t="s">
        <v>42</v>
      </c>
      <c r="D25">
        <v>39</v>
      </c>
    </row>
    <row r="26" spans="1:4" x14ac:dyDescent="0.3">
      <c r="A26" s="58">
        <v>46045</v>
      </c>
      <c r="B26" t="s">
        <v>0</v>
      </c>
      <c r="C26" t="s">
        <v>42</v>
      </c>
      <c r="D26">
        <v>79</v>
      </c>
    </row>
    <row r="27" spans="1:4" x14ac:dyDescent="0.3">
      <c r="A27" s="58">
        <v>46046</v>
      </c>
      <c r="B27" t="s">
        <v>0</v>
      </c>
      <c r="C27" t="s">
        <v>42</v>
      </c>
      <c r="D27">
        <v>79</v>
      </c>
    </row>
    <row r="28" spans="1:4" x14ac:dyDescent="0.3">
      <c r="A28" s="58">
        <v>46047</v>
      </c>
      <c r="B28" t="s">
        <v>0</v>
      </c>
      <c r="C28" t="s">
        <v>42</v>
      </c>
      <c r="D28">
        <v>91</v>
      </c>
    </row>
    <row r="29" spans="1:4" x14ac:dyDescent="0.3">
      <c r="A29" s="58">
        <v>46048</v>
      </c>
      <c r="B29" t="s">
        <v>0</v>
      </c>
      <c r="C29" t="s">
        <v>42</v>
      </c>
      <c r="D29">
        <v>35</v>
      </c>
    </row>
    <row r="30" spans="1:4" x14ac:dyDescent="0.3">
      <c r="A30" s="58">
        <v>46049</v>
      </c>
      <c r="B30" t="s">
        <v>0</v>
      </c>
      <c r="C30" t="s">
        <v>42</v>
      </c>
      <c r="D30">
        <v>25</v>
      </c>
    </row>
    <row r="31" spans="1:4" x14ac:dyDescent="0.3">
      <c r="A31" s="58">
        <v>46050</v>
      </c>
      <c r="B31" t="s">
        <v>0</v>
      </c>
      <c r="C31" t="s">
        <v>42</v>
      </c>
      <c r="D31">
        <v>52</v>
      </c>
    </row>
    <row r="32" spans="1:4" x14ac:dyDescent="0.3">
      <c r="A32" s="58">
        <v>46051</v>
      </c>
      <c r="B32" t="s">
        <v>0</v>
      </c>
      <c r="C32" t="s">
        <v>42</v>
      </c>
      <c r="D32">
        <v>87</v>
      </c>
    </row>
    <row r="33" spans="1:4" x14ac:dyDescent="0.3">
      <c r="A33" s="58">
        <v>46052</v>
      </c>
      <c r="B33" t="s">
        <v>0</v>
      </c>
      <c r="C33" t="s">
        <v>42</v>
      </c>
      <c r="D33">
        <v>95</v>
      </c>
    </row>
    <row r="34" spans="1:4" x14ac:dyDescent="0.3">
      <c r="A34" s="58">
        <v>46053</v>
      </c>
      <c r="B34" t="s">
        <v>0</v>
      </c>
      <c r="C34" t="s">
        <v>42</v>
      </c>
      <c r="D34">
        <v>108</v>
      </c>
    </row>
    <row r="35" spans="1:4" x14ac:dyDescent="0.3">
      <c r="A35" s="58">
        <v>46023</v>
      </c>
      <c r="B35" t="s">
        <v>1</v>
      </c>
      <c r="C35" t="s">
        <v>42</v>
      </c>
      <c r="D35">
        <v>289</v>
      </c>
    </row>
    <row r="36" spans="1:4" x14ac:dyDescent="0.3">
      <c r="A36" s="58">
        <v>46024</v>
      </c>
      <c r="B36" t="s">
        <v>1</v>
      </c>
      <c r="C36" t="s">
        <v>42</v>
      </c>
      <c r="D36">
        <v>520</v>
      </c>
    </row>
    <row r="37" spans="1:4" x14ac:dyDescent="0.3">
      <c r="A37" s="58">
        <v>46025</v>
      </c>
      <c r="B37" t="s">
        <v>1</v>
      </c>
      <c r="C37" t="s">
        <v>42</v>
      </c>
      <c r="D37">
        <v>323</v>
      </c>
    </row>
    <row r="38" spans="1:4" x14ac:dyDescent="0.3">
      <c r="A38" s="58">
        <v>46026</v>
      </c>
      <c r="B38" t="s">
        <v>1</v>
      </c>
      <c r="C38" t="s">
        <v>42</v>
      </c>
      <c r="D38">
        <v>502</v>
      </c>
    </row>
    <row r="39" spans="1:4" x14ac:dyDescent="0.3">
      <c r="A39" s="58">
        <v>46027</v>
      </c>
      <c r="B39" t="s">
        <v>1</v>
      </c>
      <c r="C39" t="s">
        <v>42</v>
      </c>
      <c r="D39">
        <v>631</v>
      </c>
    </row>
    <row r="40" spans="1:4" x14ac:dyDescent="0.3">
      <c r="A40" s="58">
        <v>46028</v>
      </c>
      <c r="B40" t="s">
        <v>1</v>
      </c>
      <c r="C40" t="s">
        <v>42</v>
      </c>
      <c r="D40">
        <v>706</v>
      </c>
    </row>
    <row r="41" spans="1:4" x14ac:dyDescent="0.3">
      <c r="A41" s="58">
        <v>46029</v>
      </c>
      <c r="B41" t="s">
        <v>1</v>
      </c>
      <c r="C41" t="s">
        <v>42</v>
      </c>
      <c r="D41">
        <v>276</v>
      </c>
    </row>
    <row r="42" spans="1:4" x14ac:dyDescent="0.3">
      <c r="A42" s="58">
        <v>46030</v>
      </c>
      <c r="B42" t="s">
        <v>1</v>
      </c>
      <c r="C42" t="s">
        <v>42</v>
      </c>
      <c r="D42">
        <v>550</v>
      </c>
    </row>
    <row r="43" spans="1:4" x14ac:dyDescent="0.3">
      <c r="A43" s="58">
        <v>46031</v>
      </c>
      <c r="B43" t="s">
        <v>1</v>
      </c>
      <c r="C43" t="s">
        <v>42</v>
      </c>
      <c r="D43">
        <v>312</v>
      </c>
    </row>
    <row r="44" spans="1:4" x14ac:dyDescent="0.3">
      <c r="A44" s="58">
        <v>46032</v>
      </c>
      <c r="B44" t="s">
        <v>1</v>
      </c>
      <c r="C44" t="s">
        <v>42</v>
      </c>
      <c r="D44">
        <v>413</v>
      </c>
    </row>
    <row r="45" spans="1:4" x14ac:dyDescent="0.3">
      <c r="A45" s="58">
        <v>46033</v>
      </c>
      <c r="B45" t="s">
        <v>1</v>
      </c>
      <c r="C45" t="s">
        <v>42</v>
      </c>
      <c r="D45">
        <v>794</v>
      </c>
    </row>
    <row r="46" spans="1:4" x14ac:dyDescent="0.3">
      <c r="A46" s="58">
        <v>46034</v>
      </c>
      <c r="B46" t="s">
        <v>1</v>
      </c>
      <c r="C46" t="s">
        <v>42</v>
      </c>
      <c r="D46">
        <v>593</v>
      </c>
    </row>
    <row r="47" spans="1:4" x14ac:dyDescent="0.3">
      <c r="A47" s="58">
        <v>46035</v>
      </c>
      <c r="B47" t="s">
        <v>1</v>
      </c>
      <c r="C47" t="s">
        <v>42</v>
      </c>
      <c r="D47">
        <v>389</v>
      </c>
    </row>
    <row r="48" spans="1:4" x14ac:dyDescent="0.3">
      <c r="A48" s="58">
        <v>46036</v>
      </c>
      <c r="B48" t="s">
        <v>1</v>
      </c>
      <c r="C48" t="s">
        <v>42</v>
      </c>
      <c r="D48">
        <v>254</v>
      </c>
    </row>
    <row r="49" spans="1:4" x14ac:dyDescent="0.3">
      <c r="A49" s="58">
        <v>46037</v>
      </c>
      <c r="B49" t="s">
        <v>1</v>
      </c>
      <c r="C49" t="s">
        <v>42</v>
      </c>
      <c r="D49">
        <v>757</v>
      </c>
    </row>
    <row r="50" spans="1:4" x14ac:dyDescent="0.3">
      <c r="A50" s="58">
        <v>46038</v>
      </c>
      <c r="B50" t="s">
        <v>1</v>
      </c>
      <c r="C50" t="s">
        <v>42</v>
      </c>
      <c r="D50">
        <v>492</v>
      </c>
    </row>
    <row r="51" spans="1:4" x14ac:dyDescent="0.3">
      <c r="A51" s="58">
        <v>46039</v>
      </c>
      <c r="B51" t="s">
        <v>1</v>
      </c>
      <c r="C51" t="s">
        <v>42</v>
      </c>
      <c r="D51">
        <v>709</v>
      </c>
    </row>
    <row r="52" spans="1:4" x14ac:dyDescent="0.3">
      <c r="A52" s="58">
        <v>46040</v>
      </c>
      <c r="B52" t="s">
        <v>1</v>
      </c>
      <c r="C52" t="s">
        <v>42</v>
      </c>
      <c r="D52">
        <v>353</v>
      </c>
    </row>
    <row r="53" spans="1:4" x14ac:dyDescent="0.3">
      <c r="A53" s="58">
        <v>46041</v>
      </c>
      <c r="B53" t="s">
        <v>1</v>
      </c>
      <c r="C53" t="s">
        <v>42</v>
      </c>
      <c r="D53">
        <v>724</v>
      </c>
    </row>
    <row r="54" spans="1:4" x14ac:dyDescent="0.3">
      <c r="A54" s="58">
        <v>46042</v>
      </c>
      <c r="B54" t="s">
        <v>1</v>
      </c>
      <c r="C54" t="s">
        <v>42</v>
      </c>
      <c r="D54">
        <v>331</v>
      </c>
    </row>
    <row r="55" spans="1:4" x14ac:dyDescent="0.3">
      <c r="A55" s="58">
        <v>46043</v>
      </c>
      <c r="B55" t="s">
        <v>1</v>
      </c>
      <c r="C55" t="s">
        <v>42</v>
      </c>
      <c r="D55">
        <v>439</v>
      </c>
    </row>
    <row r="56" spans="1:4" x14ac:dyDescent="0.3">
      <c r="A56" s="58">
        <v>46044</v>
      </c>
      <c r="B56" t="s">
        <v>1</v>
      </c>
      <c r="C56" t="s">
        <v>42</v>
      </c>
      <c r="D56">
        <v>262</v>
      </c>
    </row>
    <row r="57" spans="1:4" x14ac:dyDescent="0.3">
      <c r="A57" s="58">
        <v>46045</v>
      </c>
      <c r="B57" t="s">
        <v>1</v>
      </c>
      <c r="C57" t="s">
        <v>42</v>
      </c>
      <c r="D57">
        <v>267</v>
      </c>
    </row>
    <row r="58" spans="1:4" x14ac:dyDescent="0.3">
      <c r="A58" s="58">
        <v>46046</v>
      </c>
      <c r="B58" t="s">
        <v>1</v>
      </c>
      <c r="C58" t="s">
        <v>42</v>
      </c>
      <c r="D58">
        <v>494</v>
      </c>
    </row>
    <row r="59" spans="1:4" x14ac:dyDescent="0.3">
      <c r="A59" s="58">
        <v>46047</v>
      </c>
      <c r="B59" t="s">
        <v>1</v>
      </c>
      <c r="C59" t="s">
        <v>42</v>
      </c>
      <c r="D59">
        <v>435</v>
      </c>
    </row>
    <row r="60" spans="1:4" x14ac:dyDescent="0.3">
      <c r="A60" s="58">
        <v>46048</v>
      </c>
      <c r="B60" t="s">
        <v>1</v>
      </c>
      <c r="C60" t="s">
        <v>42</v>
      </c>
      <c r="D60">
        <v>460</v>
      </c>
    </row>
    <row r="61" spans="1:4" x14ac:dyDescent="0.3">
      <c r="A61" s="58">
        <v>46049</v>
      </c>
      <c r="B61" t="s">
        <v>1</v>
      </c>
      <c r="C61" t="s">
        <v>42</v>
      </c>
      <c r="D61">
        <v>366</v>
      </c>
    </row>
    <row r="62" spans="1:4" x14ac:dyDescent="0.3">
      <c r="A62" s="58">
        <v>46050</v>
      </c>
      <c r="B62" t="s">
        <v>1</v>
      </c>
      <c r="C62" t="s">
        <v>42</v>
      </c>
      <c r="D62">
        <v>581</v>
      </c>
    </row>
    <row r="63" spans="1:4" x14ac:dyDescent="0.3">
      <c r="A63" s="58">
        <v>46051</v>
      </c>
      <c r="B63" t="s">
        <v>1</v>
      </c>
      <c r="C63" t="s">
        <v>42</v>
      </c>
      <c r="D63">
        <v>458</v>
      </c>
    </row>
    <row r="64" spans="1:4" x14ac:dyDescent="0.3">
      <c r="A64" s="58">
        <v>46052</v>
      </c>
      <c r="B64" t="s">
        <v>1</v>
      </c>
      <c r="C64" t="s">
        <v>42</v>
      </c>
      <c r="D64">
        <v>279</v>
      </c>
    </row>
    <row r="65" spans="1:4" x14ac:dyDescent="0.3">
      <c r="A65" s="58">
        <v>46053</v>
      </c>
      <c r="B65" t="s">
        <v>1</v>
      </c>
      <c r="C65" t="s">
        <v>42</v>
      </c>
      <c r="D65">
        <v>734</v>
      </c>
    </row>
    <row r="66" spans="1:4" x14ac:dyDescent="0.3">
      <c r="A66" s="58">
        <v>46023</v>
      </c>
      <c r="B66" t="s">
        <v>2</v>
      </c>
      <c r="C66" t="s">
        <v>42</v>
      </c>
      <c r="D66">
        <v>188</v>
      </c>
    </row>
    <row r="67" spans="1:4" x14ac:dyDescent="0.3">
      <c r="A67" s="58">
        <v>46024</v>
      </c>
      <c r="B67" t="s">
        <v>2</v>
      </c>
      <c r="C67" t="s">
        <v>42</v>
      </c>
      <c r="D67">
        <v>262</v>
      </c>
    </row>
    <row r="68" spans="1:4" x14ac:dyDescent="0.3">
      <c r="A68" s="58">
        <v>46025</v>
      </c>
      <c r="B68" t="s">
        <v>2</v>
      </c>
      <c r="C68" t="s">
        <v>42</v>
      </c>
      <c r="D68">
        <v>191</v>
      </c>
    </row>
    <row r="69" spans="1:4" x14ac:dyDescent="0.3">
      <c r="A69" s="58">
        <v>46026</v>
      </c>
      <c r="B69" t="s">
        <v>2</v>
      </c>
      <c r="C69" t="s">
        <v>42</v>
      </c>
      <c r="D69">
        <v>256</v>
      </c>
    </row>
    <row r="70" spans="1:4" x14ac:dyDescent="0.3">
      <c r="A70" s="58">
        <v>46027</v>
      </c>
      <c r="B70" t="s">
        <v>2</v>
      </c>
      <c r="C70" t="s">
        <v>42</v>
      </c>
      <c r="D70">
        <v>263</v>
      </c>
    </row>
    <row r="71" spans="1:4" x14ac:dyDescent="0.3">
      <c r="A71" s="58">
        <v>46028</v>
      </c>
      <c r="B71" t="s">
        <v>2</v>
      </c>
      <c r="C71" t="s">
        <v>42</v>
      </c>
      <c r="D71">
        <v>204</v>
      </c>
    </row>
    <row r="72" spans="1:4" x14ac:dyDescent="0.3">
      <c r="A72" s="58">
        <v>46029</v>
      </c>
      <c r="B72" t="s">
        <v>2</v>
      </c>
      <c r="C72" t="s">
        <v>42</v>
      </c>
      <c r="D72">
        <v>255</v>
      </c>
    </row>
    <row r="73" spans="1:4" x14ac:dyDescent="0.3">
      <c r="A73" s="58">
        <v>46030</v>
      </c>
      <c r="B73" t="s">
        <v>2</v>
      </c>
      <c r="C73" t="s">
        <v>42</v>
      </c>
      <c r="D73">
        <v>244</v>
      </c>
    </row>
    <row r="74" spans="1:4" x14ac:dyDescent="0.3">
      <c r="A74" s="58">
        <v>46031</v>
      </c>
      <c r="B74" t="s">
        <v>2</v>
      </c>
      <c r="C74" t="s">
        <v>42</v>
      </c>
      <c r="D74">
        <v>157</v>
      </c>
    </row>
    <row r="75" spans="1:4" x14ac:dyDescent="0.3">
      <c r="A75" s="58">
        <v>46032</v>
      </c>
      <c r="B75" t="s">
        <v>2</v>
      </c>
      <c r="C75" t="s">
        <v>42</v>
      </c>
      <c r="D75">
        <v>169</v>
      </c>
    </row>
    <row r="76" spans="1:4" x14ac:dyDescent="0.3">
      <c r="A76" s="58">
        <v>46033</v>
      </c>
      <c r="B76" t="s">
        <v>2</v>
      </c>
      <c r="C76" t="s">
        <v>42</v>
      </c>
      <c r="D76">
        <v>227</v>
      </c>
    </row>
    <row r="77" spans="1:4" x14ac:dyDescent="0.3">
      <c r="A77" s="58">
        <v>46034</v>
      </c>
      <c r="B77" t="s">
        <v>2</v>
      </c>
      <c r="C77" t="s">
        <v>42</v>
      </c>
      <c r="D77">
        <v>174</v>
      </c>
    </row>
    <row r="78" spans="1:4" x14ac:dyDescent="0.3">
      <c r="A78" s="58">
        <v>46035</v>
      </c>
      <c r="B78" t="s">
        <v>2</v>
      </c>
      <c r="C78" t="s">
        <v>42</v>
      </c>
      <c r="D78">
        <v>250</v>
      </c>
    </row>
    <row r="79" spans="1:4" x14ac:dyDescent="0.3">
      <c r="A79" s="58">
        <v>46036</v>
      </c>
      <c r="B79" t="s">
        <v>2</v>
      </c>
      <c r="C79" t="s">
        <v>42</v>
      </c>
      <c r="D79">
        <v>117</v>
      </c>
    </row>
    <row r="80" spans="1:4" x14ac:dyDescent="0.3">
      <c r="A80" s="58">
        <v>46037</v>
      </c>
      <c r="B80" t="s">
        <v>2</v>
      </c>
      <c r="C80" t="s">
        <v>42</v>
      </c>
      <c r="D80">
        <v>161</v>
      </c>
    </row>
    <row r="81" spans="1:4" x14ac:dyDescent="0.3">
      <c r="A81" s="58">
        <v>46038</v>
      </c>
      <c r="B81" t="s">
        <v>2</v>
      </c>
      <c r="C81" t="s">
        <v>42</v>
      </c>
      <c r="D81">
        <v>277</v>
      </c>
    </row>
    <row r="82" spans="1:4" x14ac:dyDescent="0.3">
      <c r="A82" s="58">
        <v>46039</v>
      </c>
      <c r="B82" t="s">
        <v>2</v>
      </c>
      <c r="C82" t="s">
        <v>42</v>
      </c>
      <c r="D82">
        <v>274</v>
      </c>
    </row>
    <row r="83" spans="1:4" x14ac:dyDescent="0.3">
      <c r="A83" s="58">
        <v>46040</v>
      </c>
      <c r="B83" t="s">
        <v>2</v>
      </c>
      <c r="C83" t="s">
        <v>42</v>
      </c>
      <c r="D83">
        <v>262</v>
      </c>
    </row>
    <row r="84" spans="1:4" x14ac:dyDescent="0.3">
      <c r="A84" s="58">
        <v>46041</v>
      </c>
      <c r="B84" t="s">
        <v>2</v>
      </c>
      <c r="C84" t="s">
        <v>42</v>
      </c>
      <c r="D84">
        <v>202</v>
      </c>
    </row>
    <row r="85" spans="1:4" x14ac:dyDescent="0.3">
      <c r="A85" s="58">
        <v>46042</v>
      </c>
      <c r="B85" t="s">
        <v>2</v>
      </c>
      <c r="C85" t="s">
        <v>42</v>
      </c>
      <c r="D85">
        <v>245</v>
      </c>
    </row>
    <row r="86" spans="1:4" x14ac:dyDescent="0.3">
      <c r="A86" s="58">
        <v>46043</v>
      </c>
      <c r="B86" t="s">
        <v>2</v>
      </c>
      <c r="C86" t="s">
        <v>42</v>
      </c>
      <c r="D86">
        <v>191</v>
      </c>
    </row>
    <row r="87" spans="1:4" x14ac:dyDescent="0.3">
      <c r="A87" s="58">
        <v>46044</v>
      </c>
      <c r="B87" t="s">
        <v>2</v>
      </c>
      <c r="C87" t="s">
        <v>42</v>
      </c>
      <c r="D87">
        <v>125</v>
      </c>
    </row>
    <row r="88" spans="1:4" x14ac:dyDescent="0.3">
      <c r="A88" s="58">
        <v>46045</v>
      </c>
      <c r="B88" t="s">
        <v>2</v>
      </c>
      <c r="C88" t="s">
        <v>42</v>
      </c>
      <c r="D88">
        <v>203</v>
      </c>
    </row>
    <row r="89" spans="1:4" x14ac:dyDescent="0.3">
      <c r="A89" s="58">
        <v>46046</v>
      </c>
      <c r="B89" t="s">
        <v>2</v>
      </c>
      <c r="C89" t="s">
        <v>42</v>
      </c>
      <c r="D89">
        <v>243</v>
      </c>
    </row>
    <row r="90" spans="1:4" x14ac:dyDescent="0.3">
      <c r="A90" s="58">
        <v>46047</v>
      </c>
      <c r="B90" t="s">
        <v>2</v>
      </c>
      <c r="C90" t="s">
        <v>42</v>
      </c>
      <c r="D90">
        <v>234</v>
      </c>
    </row>
    <row r="91" spans="1:4" x14ac:dyDescent="0.3">
      <c r="A91" s="58">
        <v>46048</v>
      </c>
      <c r="B91" t="s">
        <v>2</v>
      </c>
      <c r="C91" t="s">
        <v>42</v>
      </c>
      <c r="D91">
        <v>200</v>
      </c>
    </row>
    <row r="92" spans="1:4" x14ac:dyDescent="0.3">
      <c r="A92" s="58">
        <v>46049</v>
      </c>
      <c r="B92" t="s">
        <v>2</v>
      </c>
      <c r="C92" t="s">
        <v>42</v>
      </c>
      <c r="D92">
        <v>275</v>
      </c>
    </row>
    <row r="93" spans="1:4" x14ac:dyDescent="0.3">
      <c r="A93" s="58">
        <v>46050</v>
      </c>
      <c r="B93" t="s">
        <v>2</v>
      </c>
      <c r="C93" t="s">
        <v>42</v>
      </c>
      <c r="D93">
        <v>285</v>
      </c>
    </row>
    <row r="94" spans="1:4" x14ac:dyDescent="0.3">
      <c r="A94" s="58">
        <v>46051</v>
      </c>
      <c r="B94" t="s">
        <v>2</v>
      </c>
      <c r="C94" t="s">
        <v>42</v>
      </c>
      <c r="D94">
        <v>258</v>
      </c>
    </row>
    <row r="95" spans="1:4" x14ac:dyDescent="0.3">
      <c r="A95" s="58">
        <v>46052</v>
      </c>
      <c r="B95" t="s">
        <v>2</v>
      </c>
      <c r="C95" t="s">
        <v>42</v>
      </c>
      <c r="D95">
        <v>166</v>
      </c>
    </row>
    <row r="96" spans="1:4" x14ac:dyDescent="0.3">
      <c r="A96" s="58">
        <v>46053</v>
      </c>
      <c r="B96" t="s">
        <v>2</v>
      </c>
      <c r="C96" t="s">
        <v>42</v>
      </c>
      <c r="D96">
        <v>130</v>
      </c>
    </row>
    <row r="97" spans="1:4" x14ac:dyDescent="0.3">
      <c r="A97" s="58">
        <v>46023</v>
      </c>
      <c r="B97" t="s">
        <v>0</v>
      </c>
      <c r="C97" t="s">
        <v>43</v>
      </c>
      <c r="D97">
        <v>56</v>
      </c>
    </row>
    <row r="98" spans="1:4" x14ac:dyDescent="0.3">
      <c r="A98" s="58">
        <v>46024</v>
      </c>
      <c r="B98" t="s">
        <v>0</v>
      </c>
      <c r="C98" t="s">
        <v>43</v>
      </c>
      <c r="D98">
        <v>37</v>
      </c>
    </row>
    <row r="99" spans="1:4" x14ac:dyDescent="0.3">
      <c r="A99" s="58">
        <v>46025</v>
      </c>
      <c r="B99" t="s">
        <v>0</v>
      </c>
      <c r="C99" t="s">
        <v>43</v>
      </c>
      <c r="D99">
        <v>39</v>
      </c>
    </row>
    <row r="100" spans="1:4" x14ac:dyDescent="0.3">
      <c r="A100" s="58">
        <v>46026</v>
      </c>
      <c r="B100" t="s">
        <v>0</v>
      </c>
      <c r="C100" t="s">
        <v>43</v>
      </c>
      <c r="D100">
        <v>114</v>
      </c>
    </row>
    <row r="101" spans="1:4" x14ac:dyDescent="0.3">
      <c r="A101" s="58">
        <v>46027</v>
      </c>
      <c r="B101" t="s">
        <v>0</v>
      </c>
      <c r="C101" t="s">
        <v>43</v>
      </c>
      <c r="D101">
        <v>105</v>
      </c>
    </row>
    <row r="102" spans="1:4" x14ac:dyDescent="0.3">
      <c r="A102" s="58">
        <v>46028</v>
      </c>
      <c r="B102" t="s">
        <v>0</v>
      </c>
      <c r="C102" t="s">
        <v>43</v>
      </c>
      <c r="D102">
        <v>67</v>
      </c>
    </row>
    <row r="103" spans="1:4" x14ac:dyDescent="0.3">
      <c r="A103" s="58">
        <v>46029</v>
      </c>
      <c r="B103" t="s">
        <v>0</v>
      </c>
      <c r="C103" t="s">
        <v>43</v>
      </c>
      <c r="D103">
        <v>71</v>
      </c>
    </row>
    <row r="104" spans="1:4" x14ac:dyDescent="0.3">
      <c r="A104" s="58">
        <v>46030</v>
      </c>
      <c r="B104" t="s">
        <v>0</v>
      </c>
      <c r="C104" t="s">
        <v>43</v>
      </c>
      <c r="D104">
        <v>104</v>
      </c>
    </row>
    <row r="105" spans="1:4" x14ac:dyDescent="0.3">
      <c r="A105" s="58">
        <v>46031</v>
      </c>
      <c r="B105" t="s">
        <v>0</v>
      </c>
      <c r="C105" t="s">
        <v>43</v>
      </c>
      <c r="D105">
        <v>99</v>
      </c>
    </row>
    <row r="106" spans="1:4" x14ac:dyDescent="0.3">
      <c r="A106" s="58">
        <v>46032</v>
      </c>
      <c r="B106" t="s">
        <v>0</v>
      </c>
      <c r="C106" t="s">
        <v>43</v>
      </c>
      <c r="D106">
        <v>42</v>
      </c>
    </row>
    <row r="107" spans="1:4" x14ac:dyDescent="0.3">
      <c r="A107" s="58">
        <v>46033</v>
      </c>
      <c r="B107" t="s">
        <v>0</v>
      </c>
      <c r="C107" t="s">
        <v>43</v>
      </c>
      <c r="D107">
        <v>119</v>
      </c>
    </row>
    <row r="108" spans="1:4" x14ac:dyDescent="0.3">
      <c r="A108" s="58">
        <v>46034</v>
      </c>
      <c r="B108" t="s">
        <v>0</v>
      </c>
      <c r="C108" t="s">
        <v>43</v>
      </c>
      <c r="D108">
        <v>85</v>
      </c>
    </row>
    <row r="109" spans="1:4" x14ac:dyDescent="0.3">
      <c r="A109" s="58">
        <v>46035</v>
      </c>
      <c r="B109" t="s">
        <v>0</v>
      </c>
      <c r="C109" t="s">
        <v>43</v>
      </c>
      <c r="D109">
        <v>61</v>
      </c>
    </row>
    <row r="110" spans="1:4" x14ac:dyDescent="0.3">
      <c r="A110" s="58">
        <v>46036</v>
      </c>
      <c r="B110" t="s">
        <v>0</v>
      </c>
      <c r="C110" t="s">
        <v>43</v>
      </c>
      <c r="D110">
        <v>70</v>
      </c>
    </row>
    <row r="111" spans="1:4" x14ac:dyDescent="0.3">
      <c r="A111" s="58">
        <v>46037</v>
      </c>
      <c r="B111" t="s">
        <v>0</v>
      </c>
      <c r="C111" t="s">
        <v>43</v>
      </c>
      <c r="D111">
        <v>101</v>
      </c>
    </row>
    <row r="112" spans="1:4" x14ac:dyDescent="0.3">
      <c r="A112" s="58">
        <v>46038</v>
      </c>
      <c r="B112" t="s">
        <v>0</v>
      </c>
      <c r="C112" t="s">
        <v>43</v>
      </c>
      <c r="D112">
        <v>111</v>
      </c>
    </row>
    <row r="113" spans="1:4" x14ac:dyDescent="0.3">
      <c r="A113" s="58">
        <v>46039</v>
      </c>
      <c r="B113" t="s">
        <v>0</v>
      </c>
      <c r="C113" t="s">
        <v>43</v>
      </c>
      <c r="D113">
        <v>30</v>
      </c>
    </row>
    <row r="114" spans="1:4" x14ac:dyDescent="0.3">
      <c r="A114" s="58">
        <v>46040</v>
      </c>
      <c r="B114" t="s">
        <v>0</v>
      </c>
      <c r="C114" t="s">
        <v>43</v>
      </c>
      <c r="D114">
        <v>32</v>
      </c>
    </row>
    <row r="115" spans="1:4" x14ac:dyDescent="0.3">
      <c r="A115" s="58">
        <v>46041</v>
      </c>
      <c r="B115" t="s">
        <v>0</v>
      </c>
      <c r="C115" t="s">
        <v>43</v>
      </c>
      <c r="D115">
        <v>99</v>
      </c>
    </row>
    <row r="116" spans="1:4" x14ac:dyDescent="0.3">
      <c r="A116" s="58">
        <v>46042</v>
      </c>
      <c r="B116" t="s">
        <v>0</v>
      </c>
      <c r="C116" t="s">
        <v>43</v>
      </c>
      <c r="D116">
        <v>99</v>
      </c>
    </row>
    <row r="117" spans="1:4" x14ac:dyDescent="0.3">
      <c r="A117" s="58">
        <v>46043</v>
      </c>
      <c r="B117" t="s">
        <v>0</v>
      </c>
      <c r="C117" t="s">
        <v>43</v>
      </c>
      <c r="D117">
        <v>112</v>
      </c>
    </row>
    <row r="118" spans="1:4" x14ac:dyDescent="0.3">
      <c r="A118" s="58">
        <v>46044</v>
      </c>
      <c r="B118" t="s">
        <v>0</v>
      </c>
      <c r="C118" t="s">
        <v>43</v>
      </c>
      <c r="D118">
        <v>86</v>
      </c>
    </row>
    <row r="119" spans="1:4" x14ac:dyDescent="0.3">
      <c r="A119" s="58">
        <v>46045</v>
      </c>
      <c r="B119" t="s">
        <v>0</v>
      </c>
      <c r="C119" t="s">
        <v>43</v>
      </c>
      <c r="D119">
        <v>119</v>
      </c>
    </row>
    <row r="120" spans="1:4" x14ac:dyDescent="0.3">
      <c r="A120" s="58">
        <v>46046</v>
      </c>
      <c r="B120" t="s">
        <v>0</v>
      </c>
      <c r="C120" t="s">
        <v>43</v>
      </c>
      <c r="D120">
        <v>71</v>
      </c>
    </row>
    <row r="121" spans="1:4" x14ac:dyDescent="0.3">
      <c r="A121" s="58">
        <v>46047</v>
      </c>
      <c r="B121" t="s">
        <v>0</v>
      </c>
      <c r="C121" t="s">
        <v>43</v>
      </c>
      <c r="D121">
        <v>69</v>
      </c>
    </row>
    <row r="122" spans="1:4" x14ac:dyDescent="0.3">
      <c r="A122" s="58">
        <v>46048</v>
      </c>
      <c r="B122" t="s">
        <v>0</v>
      </c>
      <c r="C122" t="s">
        <v>43</v>
      </c>
      <c r="D122">
        <v>83</v>
      </c>
    </row>
    <row r="123" spans="1:4" x14ac:dyDescent="0.3">
      <c r="A123" s="58">
        <v>46049</v>
      </c>
      <c r="B123" t="s">
        <v>0</v>
      </c>
      <c r="C123" t="s">
        <v>43</v>
      </c>
      <c r="D123">
        <v>75</v>
      </c>
    </row>
    <row r="124" spans="1:4" x14ac:dyDescent="0.3">
      <c r="A124" s="58">
        <v>46050</v>
      </c>
      <c r="B124" t="s">
        <v>0</v>
      </c>
      <c r="C124" t="s">
        <v>43</v>
      </c>
      <c r="D124">
        <v>88</v>
      </c>
    </row>
    <row r="125" spans="1:4" x14ac:dyDescent="0.3">
      <c r="A125" s="58">
        <v>46051</v>
      </c>
      <c r="B125" t="s">
        <v>0</v>
      </c>
      <c r="C125" t="s">
        <v>43</v>
      </c>
      <c r="D125">
        <v>105</v>
      </c>
    </row>
    <row r="126" spans="1:4" x14ac:dyDescent="0.3">
      <c r="A126" s="58">
        <v>46052</v>
      </c>
      <c r="B126" t="s">
        <v>0</v>
      </c>
      <c r="C126" t="s">
        <v>43</v>
      </c>
      <c r="D126">
        <v>75</v>
      </c>
    </row>
    <row r="127" spans="1:4" x14ac:dyDescent="0.3">
      <c r="A127" s="58">
        <v>46053</v>
      </c>
      <c r="B127" t="s">
        <v>0</v>
      </c>
      <c r="C127" t="s">
        <v>43</v>
      </c>
      <c r="D127">
        <v>110</v>
      </c>
    </row>
    <row r="128" spans="1:4" x14ac:dyDescent="0.3">
      <c r="A128" s="58">
        <v>46023</v>
      </c>
      <c r="B128" t="s">
        <v>1</v>
      </c>
      <c r="C128" t="s">
        <v>43</v>
      </c>
      <c r="D128">
        <v>440</v>
      </c>
    </row>
    <row r="129" spans="1:4" x14ac:dyDescent="0.3">
      <c r="A129" s="58">
        <v>46024</v>
      </c>
      <c r="B129" t="s">
        <v>1</v>
      </c>
      <c r="C129" t="s">
        <v>43</v>
      </c>
      <c r="D129">
        <v>642</v>
      </c>
    </row>
    <row r="130" spans="1:4" x14ac:dyDescent="0.3">
      <c r="A130" s="58">
        <v>46025</v>
      </c>
      <c r="B130" t="s">
        <v>1</v>
      </c>
      <c r="C130" t="s">
        <v>43</v>
      </c>
      <c r="D130">
        <v>368</v>
      </c>
    </row>
    <row r="131" spans="1:4" x14ac:dyDescent="0.3">
      <c r="A131" s="58">
        <v>46026</v>
      </c>
      <c r="B131" t="s">
        <v>1</v>
      </c>
      <c r="C131" t="s">
        <v>43</v>
      </c>
      <c r="D131">
        <v>649</v>
      </c>
    </row>
    <row r="132" spans="1:4" x14ac:dyDescent="0.3">
      <c r="A132" s="58">
        <v>46027</v>
      </c>
      <c r="B132" t="s">
        <v>1</v>
      </c>
      <c r="C132" t="s">
        <v>43</v>
      </c>
      <c r="D132">
        <v>331</v>
      </c>
    </row>
    <row r="133" spans="1:4" x14ac:dyDescent="0.3">
      <c r="A133" s="58">
        <v>46028</v>
      </c>
      <c r="B133" t="s">
        <v>1</v>
      </c>
      <c r="C133" t="s">
        <v>43</v>
      </c>
      <c r="D133">
        <v>361</v>
      </c>
    </row>
    <row r="134" spans="1:4" x14ac:dyDescent="0.3">
      <c r="A134" s="58">
        <v>46029</v>
      </c>
      <c r="B134" t="s">
        <v>1</v>
      </c>
      <c r="C134" t="s">
        <v>43</v>
      </c>
      <c r="D134">
        <v>531</v>
      </c>
    </row>
    <row r="135" spans="1:4" x14ac:dyDescent="0.3">
      <c r="A135" s="58">
        <v>46030</v>
      </c>
      <c r="B135" t="s">
        <v>1</v>
      </c>
      <c r="C135" t="s">
        <v>43</v>
      </c>
      <c r="D135">
        <v>704</v>
      </c>
    </row>
    <row r="136" spans="1:4" x14ac:dyDescent="0.3">
      <c r="A136" s="58">
        <v>46031</v>
      </c>
      <c r="B136" t="s">
        <v>1</v>
      </c>
      <c r="C136" t="s">
        <v>43</v>
      </c>
      <c r="D136">
        <v>679</v>
      </c>
    </row>
    <row r="137" spans="1:4" x14ac:dyDescent="0.3">
      <c r="A137" s="58">
        <v>46032</v>
      </c>
      <c r="B137" t="s">
        <v>1</v>
      </c>
      <c r="C137" t="s">
        <v>43</v>
      </c>
      <c r="D137">
        <v>482</v>
      </c>
    </row>
    <row r="138" spans="1:4" x14ac:dyDescent="0.3">
      <c r="A138" s="58">
        <v>46033</v>
      </c>
      <c r="B138" t="s">
        <v>1</v>
      </c>
      <c r="C138" t="s">
        <v>43</v>
      </c>
      <c r="D138">
        <v>636</v>
      </c>
    </row>
    <row r="139" spans="1:4" x14ac:dyDescent="0.3">
      <c r="A139" s="58">
        <v>46034</v>
      </c>
      <c r="B139" t="s">
        <v>1</v>
      </c>
      <c r="C139" t="s">
        <v>43</v>
      </c>
      <c r="D139">
        <v>711</v>
      </c>
    </row>
    <row r="140" spans="1:4" x14ac:dyDescent="0.3">
      <c r="A140" s="58">
        <v>46035</v>
      </c>
      <c r="B140" t="s">
        <v>1</v>
      </c>
      <c r="C140" t="s">
        <v>43</v>
      </c>
      <c r="D140">
        <v>713</v>
      </c>
    </row>
    <row r="141" spans="1:4" x14ac:dyDescent="0.3">
      <c r="A141" s="58">
        <v>46036</v>
      </c>
      <c r="B141" t="s">
        <v>1</v>
      </c>
      <c r="C141" t="s">
        <v>43</v>
      </c>
      <c r="D141">
        <v>389</v>
      </c>
    </row>
    <row r="142" spans="1:4" x14ac:dyDescent="0.3">
      <c r="A142" s="58">
        <v>46037</v>
      </c>
      <c r="B142" t="s">
        <v>1</v>
      </c>
      <c r="C142" t="s">
        <v>43</v>
      </c>
      <c r="D142">
        <v>444</v>
      </c>
    </row>
    <row r="143" spans="1:4" x14ac:dyDescent="0.3">
      <c r="A143" s="58">
        <v>46038</v>
      </c>
      <c r="B143" t="s">
        <v>1</v>
      </c>
      <c r="C143" t="s">
        <v>43</v>
      </c>
      <c r="D143">
        <v>655</v>
      </c>
    </row>
    <row r="144" spans="1:4" x14ac:dyDescent="0.3">
      <c r="A144" s="58">
        <v>46039</v>
      </c>
      <c r="B144" t="s">
        <v>1</v>
      </c>
      <c r="C144" t="s">
        <v>43</v>
      </c>
      <c r="D144">
        <v>711</v>
      </c>
    </row>
    <row r="145" spans="1:4" x14ac:dyDescent="0.3">
      <c r="A145" s="58">
        <v>46040</v>
      </c>
      <c r="B145" t="s">
        <v>1</v>
      </c>
      <c r="C145" t="s">
        <v>43</v>
      </c>
      <c r="D145">
        <v>448</v>
      </c>
    </row>
    <row r="146" spans="1:4" x14ac:dyDescent="0.3">
      <c r="A146" s="58">
        <v>46041</v>
      </c>
      <c r="B146" t="s">
        <v>1</v>
      </c>
      <c r="C146" t="s">
        <v>43</v>
      </c>
      <c r="D146">
        <v>717</v>
      </c>
    </row>
    <row r="147" spans="1:4" x14ac:dyDescent="0.3">
      <c r="A147" s="58">
        <v>46042</v>
      </c>
      <c r="B147" t="s">
        <v>1</v>
      </c>
      <c r="C147" t="s">
        <v>43</v>
      </c>
      <c r="D147">
        <v>608</v>
      </c>
    </row>
    <row r="148" spans="1:4" x14ac:dyDescent="0.3">
      <c r="A148" s="58">
        <v>46043</v>
      </c>
      <c r="B148" t="s">
        <v>1</v>
      </c>
      <c r="C148" t="s">
        <v>43</v>
      </c>
      <c r="D148">
        <v>447</v>
      </c>
    </row>
    <row r="149" spans="1:4" x14ac:dyDescent="0.3">
      <c r="A149" s="58">
        <v>46044</v>
      </c>
      <c r="B149" t="s">
        <v>1</v>
      </c>
      <c r="C149" t="s">
        <v>43</v>
      </c>
      <c r="D149">
        <v>546</v>
      </c>
    </row>
    <row r="150" spans="1:4" x14ac:dyDescent="0.3">
      <c r="A150" s="58">
        <v>46045</v>
      </c>
      <c r="B150" t="s">
        <v>1</v>
      </c>
      <c r="C150" t="s">
        <v>43</v>
      </c>
      <c r="D150">
        <v>342</v>
      </c>
    </row>
    <row r="151" spans="1:4" x14ac:dyDescent="0.3">
      <c r="A151" s="58">
        <v>46046</v>
      </c>
      <c r="B151" t="s">
        <v>1</v>
      </c>
      <c r="C151" t="s">
        <v>43</v>
      </c>
      <c r="D151">
        <v>640</v>
      </c>
    </row>
    <row r="152" spans="1:4" x14ac:dyDescent="0.3">
      <c r="A152" s="58">
        <v>46047</v>
      </c>
      <c r="B152" t="s">
        <v>1</v>
      </c>
      <c r="C152" t="s">
        <v>43</v>
      </c>
      <c r="D152">
        <v>698</v>
      </c>
    </row>
    <row r="153" spans="1:4" x14ac:dyDescent="0.3">
      <c r="A153" s="58">
        <v>46048</v>
      </c>
      <c r="B153" t="s">
        <v>1</v>
      </c>
      <c r="C153" t="s">
        <v>43</v>
      </c>
      <c r="D153">
        <v>691</v>
      </c>
    </row>
    <row r="154" spans="1:4" x14ac:dyDescent="0.3">
      <c r="A154" s="58">
        <v>46049</v>
      </c>
      <c r="B154" t="s">
        <v>1</v>
      </c>
      <c r="C154" t="s">
        <v>43</v>
      </c>
      <c r="D154">
        <v>553</v>
      </c>
    </row>
    <row r="155" spans="1:4" x14ac:dyDescent="0.3">
      <c r="A155" s="58">
        <v>46050</v>
      </c>
      <c r="B155" t="s">
        <v>1</v>
      </c>
      <c r="C155" t="s">
        <v>43</v>
      </c>
      <c r="D155">
        <v>435</v>
      </c>
    </row>
    <row r="156" spans="1:4" x14ac:dyDescent="0.3">
      <c r="A156" s="58">
        <v>46051</v>
      </c>
      <c r="B156" t="s">
        <v>1</v>
      </c>
      <c r="C156" t="s">
        <v>43</v>
      </c>
      <c r="D156">
        <v>602</v>
      </c>
    </row>
    <row r="157" spans="1:4" x14ac:dyDescent="0.3">
      <c r="A157" s="58">
        <v>46052</v>
      </c>
      <c r="B157" t="s">
        <v>1</v>
      </c>
      <c r="C157" t="s">
        <v>43</v>
      </c>
      <c r="D157">
        <v>473</v>
      </c>
    </row>
    <row r="158" spans="1:4" x14ac:dyDescent="0.3">
      <c r="A158" s="58">
        <v>46053</v>
      </c>
      <c r="B158" t="s">
        <v>1</v>
      </c>
      <c r="C158" t="s">
        <v>43</v>
      </c>
      <c r="D158">
        <v>522</v>
      </c>
    </row>
    <row r="159" spans="1:4" x14ac:dyDescent="0.3">
      <c r="A159" s="58">
        <v>46023</v>
      </c>
      <c r="B159" t="s">
        <v>2</v>
      </c>
      <c r="C159" t="s">
        <v>43</v>
      </c>
      <c r="D159">
        <v>126</v>
      </c>
    </row>
    <row r="160" spans="1:4" x14ac:dyDescent="0.3">
      <c r="A160" s="58">
        <v>46024</v>
      </c>
      <c r="B160" t="s">
        <v>2</v>
      </c>
      <c r="C160" t="s">
        <v>43</v>
      </c>
      <c r="D160">
        <v>140</v>
      </c>
    </row>
    <row r="161" spans="1:4" x14ac:dyDescent="0.3">
      <c r="A161" s="58">
        <v>46025</v>
      </c>
      <c r="B161" t="s">
        <v>2</v>
      </c>
      <c r="C161" t="s">
        <v>43</v>
      </c>
      <c r="D161">
        <v>137</v>
      </c>
    </row>
    <row r="162" spans="1:4" x14ac:dyDescent="0.3">
      <c r="A162" s="58">
        <v>46026</v>
      </c>
      <c r="B162" t="s">
        <v>2</v>
      </c>
      <c r="C162" t="s">
        <v>43</v>
      </c>
      <c r="D162">
        <v>112</v>
      </c>
    </row>
    <row r="163" spans="1:4" x14ac:dyDescent="0.3">
      <c r="A163" s="58">
        <v>46027</v>
      </c>
      <c r="B163" t="s">
        <v>2</v>
      </c>
      <c r="C163" t="s">
        <v>43</v>
      </c>
      <c r="D163">
        <v>202</v>
      </c>
    </row>
    <row r="164" spans="1:4" x14ac:dyDescent="0.3">
      <c r="A164" s="58">
        <v>46028</v>
      </c>
      <c r="B164" t="s">
        <v>2</v>
      </c>
      <c r="C164" t="s">
        <v>43</v>
      </c>
      <c r="D164">
        <v>272</v>
      </c>
    </row>
    <row r="165" spans="1:4" x14ac:dyDescent="0.3">
      <c r="A165" s="58">
        <v>46029</v>
      </c>
      <c r="B165" t="s">
        <v>2</v>
      </c>
      <c r="C165" t="s">
        <v>43</v>
      </c>
      <c r="D165">
        <v>218</v>
      </c>
    </row>
    <row r="166" spans="1:4" x14ac:dyDescent="0.3">
      <c r="A166" s="58">
        <v>46030</v>
      </c>
      <c r="B166" t="s">
        <v>2</v>
      </c>
      <c r="C166" t="s">
        <v>43</v>
      </c>
      <c r="D166">
        <v>139</v>
      </c>
    </row>
    <row r="167" spans="1:4" x14ac:dyDescent="0.3">
      <c r="A167" s="58">
        <v>46031</v>
      </c>
      <c r="B167" t="s">
        <v>2</v>
      </c>
      <c r="C167" t="s">
        <v>43</v>
      </c>
      <c r="D167">
        <v>248</v>
      </c>
    </row>
    <row r="168" spans="1:4" x14ac:dyDescent="0.3">
      <c r="A168" s="58">
        <v>46032</v>
      </c>
      <c r="B168" t="s">
        <v>2</v>
      </c>
      <c r="C168" t="s">
        <v>43</v>
      </c>
      <c r="D168">
        <v>200</v>
      </c>
    </row>
    <row r="169" spans="1:4" x14ac:dyDescent="0.3">
      <c r="A169" s="58">
        <v>46033</v>
      </c>
      <c r="B169" t="s">
        <v>2</v>
      </c>
      <c r="C169" t="s">
        <v>43</v>
      </c>
      <c r="D169">
        <v>256</v>
      </c>
    </row>
    <row r="170" spans="1:4" x14ac:dyDescent="0.3">
      <c r="A170" s="58">
        <v>46034</v>
      </c>
      <c r="B170" t="s">
        <v>2</v>
      </c>
      <c r="C170" t="s">
        <v>43</v>
      </c>
      <c r="D170">
        <v>181</v>
      </c>
    </row>
    <row r="171" spans="1:4" x14ac:dyDescent="0.3">
      <c r="A171" s="58">
        <v>46035</v>
      </c>
      <c r="B171" t="s">
        <v>2</v>
      </c>
      <c r="C171" t="s">
        <v>43</v>
      </c>
      <c r="D171">
        <v>161</v>
      </c>
    </row>
    <row r="172" spans="1:4" x14ac:dyDescent="0.3">
      <c r="A172" s="58">
        <v>46036</v>
      </c>
      <c r="B172" t="s">
        <v>2</v>
      </c>
      <c r="C172" t="s">
        <v>43</v>
      </c>
      <c r="D172">
        <v>119</v>
      </c>
    </row>
    <row r="173" spans="1:4" x14ac:dyDescent="0.3">
      <c r="A173" s="58">
        <v>46037</v>
      </c>
      <c r="B173" t="s">
        <v>2</v>
      </c>
      <c r="C173" t="s">
        <v>43</v>
      </c>
      <c r="D173">
        <v>144</v>
      </c>
    </row>
    <row r="174" spans="1:4" x14ac:dyDescent="0.3">
      <c r="A174" s="58">
        <v>46038</v>
      </c>
      <c r="B174" t="s">
        <v>2</v>
      </c>
      <c r="C174" t="s">
        <v>43</v>
      </c>
      <c r="D174">
        <v>211</v>
      </c>
    </row>
    <row r="175" spans="1:4" x14ac:dyDescent="0.3">
      <c r="A175" s="58">
        <v>46039</v>
      </c>
      <c r="B175" t="s">
        <v>2</v>
      </c>
      <c r="C175" t="s">
        <v>43</v>
      </c>
      <c r="D175">
        <v>292</v>
      </c>
    </row>
    <row r="176" spans="1:4" x14ac:dyDescent="0.3">
      <c r="A176" s="58">
        <v>46040</v>
      </c>
      <c r="B176" t="s">
        <v>2</v>
      </c>
      <c r="C176" t="s">
        <v>43</v>
      </c>
      <c r="D176">
        <v>260</v>
      </c>
    </row>
    <row r="177" spans="1:4" x14ac:dyDescent="0.3">
      <c r="A177" s="58">
        <v>46041</v>
      </c>
      <c r="B177" t="s">
        <v>2</v>
      </c>
      <c r="C177" t="s">
        <v>43</v>
      </c>
      <c r="D177">
        <v>271</v>
      </c>
    </row>
    <row r="178" spans="1:4" x14ac:dyDescent="0.3">
      <c r="A178" s="58">
        <v>46042</v>
      </c>
      <c r="B178" t="s">
        <v>2</v>
      </c>
      <c r="C178" t="s">
        <v>43</v>
      </c>
      <c r="D178">
        <v>262</v>
      </c>
    </row>
    <row r="179" spans="1:4" x14ac:dyDescent="0.3">
      <c r="A179" s="58">
        <v>46043</v>
      </c>
      <c r="B179" t="s">
        <v>2</v>
      </c>
      <c r="C179" t="s">
        <v>43</v>
      </c>
      <c r="D179">
        <v>157</v>
      </c>
    </row>
    <row r="180" spans="1:4" x14ac:dyDescent="0.3">
      <c r="A180" s="58">
        <v>46044</v>
      </c>
      <c r="B180" t="s">
        <v>2</v>
      </c>
      <c r="C180" t="s">
        <v>43</v>
      </c>
      <c r="D180">
        <v>251</v>
      </c>
    </row>
    <row r="181" spans="1:4" x14ac:dyDescent="0.3">
      <c r="A181" s="58">
        <v>46045</v>
      </c>
      <c r="B181" t="s">
        <v>2</v>
      </c>
      <c r="C181" t="s">
        <v>43</v>
      </c>
      <c r="D181">
        <v>148</v>
      </c>
    </row>
    <row r="182" spans="1:4" x14ac:dyDescent="0.3">
      <c r="A182" s="58">
        <v>46046</v>
      </c>
      <c r="B182" t="s">
        <v>2</v>
      </c>
      <c r="C182" t="s">
        <v>43</v>
      </c>
      <c r="D182">
        <v>167</v>
      </c>
    </row>
    <row r="183" spans="1:4" x14ac:dyDescent="0.3">
      <c r="A183" s="58">
        <v>46047</v>
      </c>
      <c r="B183" t="s">
        <v>2</v>
      </c>
      <c r="C183" t="s">
        <v>43</v>
      </c>
      <c r="D183">
        <v>169</v>
      </c>
    </row>
    <row r="184" spans="1:4" x14ac:dyDescent="0.3">
      <c r="A184" s="58">
        <v>46048</v>
      </c>
      <c r="B184" t="s">
        <v>2</v>
      </c>
      <c r="C184" t="s">
        <v>43</v>
      </c>
      <c r="D184">
        <v>120</v>
      </c>
    </row>
    <row r="185" spans="1:4" x14ac:dyDescent="0.3">
      <c r="A185" s="58">
        <v>46049</v>
      </c>
      <c r="B185" t="s">
        <v>2</v>
      </c>
      <c r="C185" t="s">
        <v>43</v>
      </c>
      <c r="D185">
        <v>150</v>
      </c>
    </row>
    <row r="186" spans="1:4" x14ac:dyDescent="0.3">
      <c r="A186" s="58">
        <v>46050</v>
      </c>
      <c r="B186" t="s">
        <v>2</v>
      </c>
      <c r="C186" t="s">
        <v>43</v>
      </c>
      <c r="D186">
        <v>285</v>
      </c>
    </row>
    <row r="187" spans="1:4" x14ac:dyDescent="0.3">
      <c r="A187" s="58">
        <v>46051</v>
      </c>
      <c r="B187" t="s">
        <v>2</v>
      </c>
      <c r="C187" t="s">
        <v>43</v>
      </c>
      <c r="D187">
        <v>229</v>
      </c>
    </row>
    <row r="188" spans="1:4" x14ac:dyDescent="0.3">
      <c r="A188" s="58">
        <v>46052</v>
      </c>
      <c r="B188" t="s">
        <v>2</v>
      </c>
      <c r="C188" t="s">
        <v>43</v>
      </c>
      <c r="D188">
        <v>173</v>
      </c>
    </row>
    <row r="189" spans="1:4" x14ac:dyDescent="0.3">
      <c r="A189" s="58">
        <v>46053</v>
      </c>
      <c r="B189" t="s">
        <v>2</v>
      </c>
      <c r="C189" t="s">
        <v>43</v>
      </c>
      <c r="D189">
        <v>210</v>
      </c>
    </row>
    <row r="190" spans="1:4" x14ac:dyDescent="0.3">
      <c r="A190" s="58">
        <v>46023</v>
      </c>
      <c r="B190" t="s">
        <v>0</v>
      </c>
      <c r="C190" t="s">
        <v>44</v>
      </c>
      <c r="D190">
        <v>49</v>
      </c>
    </row>
    <row r="191" spans="1:4" x14ac:dyDescent="0.3">
      <c r="A191" s="58">
        <v>46024</v>
      </c>
      <c r="B191" t="s">
        <v>0</v>
      </c>
      <c r="C191" t="s">
        <v>44</v>
      </c>
      <c r="D191">
        <v>25</v>
      </c>
    </row>
    <row r="192" spans="1:4" x14ac:dyDescent="0.3">
      <c r="A192" s="58">
        <v>46025</v>
      </c>
      <c r="B192" t="s">
        <v>0</v>
      </c>
      <c r="C192" t="s">
        <v>44</v>
      </c>
      <c r="D192">
        <v>74</v>
      </c>
    </row>
    <row r="193" spans="1:4" x14ac:dyDescent="0.3">
      <c r="A193" s="58">
        <v>46026</v>
      </c>
      <c r="B193" t="s">
        <v>0</v>
      </c>
      <c r="C193" t="s">
        <v>44</v>
      </c>
      <c r="D193">
        <v>25</v>
      </c>
    </row>
    <row r="194" spans="1:4" x14ac:dyDescent="0.3">
      <c r="A194" s="58">
        <v>46027</v>
      </c>
      <c r="B194" t="s">
        <v>0</v>
      </c>
      <c r="C194" t="s">
        <v>44</v>
      </c>
      <c r="D194">
        <v>94</v>
      </c>
    </row>
    <row r="195" spans="1:4" x14ac:dyDescent="0.3">
      <c r="A195" s="58">
        <v>46028</v>
      </c>
      <c r="B195" t="s">
        <v>0</v>
      </c>
      <c r="C195" t="s">
        <v>44</v>
      </c>
      <c r="D195">
        <v>108</v>
      </c>
    </row>
    <row r="196" spans="1:4" x14ac:dyDescent="0.3">
      <c r="A196" s="58">
        <v>46029</v>
      </c>
      <c r="B196" t="s">
        <v>0</v>
      </c>
      <c r="C196" t="s">
        <v>44</v>
      </c>
      <c r="D196">
        <v>66</v>
      </c>
    </row>
    <row r="197" spans="1:4" x14ac:dyDescent="0.3">
      <c r="A197" s="58">
        <v>46030</v>
      </c>
      <c r="B197" t="s">
        <v>0</v>
      </c>
      <c r="C197" t="s">
        <v>44</v>
      </c>
      <c r="D197">
        <v>42</v>
      </c>
    </row>
    <row r="198" spans="1:4" x14ac:dyDescent="0.3">
      <c r="A198" s="58">
        <v>46031</v>
      </c>
      <c r="B198" t="s">
        <v>0</v>
      </c>
      <c r="C198" t="s">
        <v>44</v>
      </c>
      <c r="D198">
        <v>87</v>
      </c>
    </row>
    <row r="199" spans="1:4" x14ac:dyDescent="0.3">
      <c r="A199" s="58">
        <v>46032</v>
      </c>
      <c r="B199" t="s">
        <v>0</v>
      </c>
      <c r="C199" t="s">
        <v>44</v>
      </c>
      <c r="D199">
        <v>90</v>
      </c>
    </row>
    <row r="200" spans="1:4" x14ac:dyDescent="0.3">
      <c r="A200" s="58">
        <v>46033</v>
      </c>
      <c r="B200" t="s">
        <v>0</v>
      </c>
      <c r="C200" t="s">
        <v>44</v>
      </c>
      <c r="D200">
        <v>57</v>
      </c>
    </row>
    <row r="201" spans="1:4" x14ac:dyDescent="0.3">
      <c r="A201" s="58">
        <v>46034</v>
      </c>
      <c r="B201" t="s">
        <v>0</v>
      </c>
      <c r="C201" t="s">
        <v>44</v>
      </c>
      <c r="D201">
        <v>63</v>
      </c>
    </row>
    <row r="202" spans="1:4" x14ac:dyDescent="0.3">
      <c r="A202" s="58">
        <v>46035</v>
      </c>
      <c r="B202" t="s">
        <v>0</v>
      </c>
      <c r="C202" t="s">
        <v>44</v>
      </c>
      <c r="D202">
        <v>70</v>
      </c>
    </row>
    <row r="203" spans="1:4" x14ac:dyDescent="0.3">
      <c r="A203" s="58">
        <v>46036</v>
      </c>
      <c r="B203" t="s">
        <v>0</v>
      </c>
      <c r="C203" t="s">
        <v>44</v>
      </c>
      <c r="D203">
        <v>33</v>
      </c>
    </row>
    <row r="204" spans="1:4" x14ac:dyDescent="0.3">
      <c r="A204" s="58">
        <v>46037</v>
      </c>
      <c r="B204" t="s">
        <v>0</v>
      </c>
      <c r="C204" t="s">
        <v>44</v>
      </c>
      <c r="D204">
        <v>45</v>
      </c>
    </row>
    <row r="205" spans="1:4" x14ac:dyDescent="0.3">
      <c r="A205" s="58">
        <v>46038</v>
      </c>
      <c r="B205" t="s">
        <v>0</v>
      </c>
      <c r="C205" t="s">
        <v>44</v>
      </c>
      <c r="D205">
        <v>109</v>
      </c>
    </row>
    <row r="206" spans="1:4" x14ac:dyDescent="0.3">
      <c r="A206" s="58">
        <v>46039</v>
      </c>
      <c r="B206" t="s">
        <v>0</v>
      </c>
      <c r="C206" t="s">
        <v>44</v>
      </c>
      <c r="D206">
        <v>64</v>
      </c>
    </row>
    <row r="207" spans="1:4" x14ac:dyDescent="0.3">
      <c r="A207" s="58">
        <v>46040</v>
      </c>
      <c r="B207" t="s">
        <v>0</v>
      </c>
      <c r="C207" t="s">
        <v>44</v>
      </c>
      <c r="D207">
        <v>58</v>
      </c>
    </row>
    <row r="208" spans="1:4" x14ac:dyDescent="0.3">
      <c r="A208" s="58">
        <v>46041</v>
      </c>
      <c r="B208" t="s">
        <v>0</v>
      </c>
      <c r="C208" t="s">
        <v>44</v>
      </c>
      <c r="D208">
        <v>100</v>
      </c>
    </row>
    <row r="209" spans="1:4" x14ac:dyDescent="0.3">
      <c r="A209" s="58">
        <v>46042</v>
      </c>
      <c r="B209" t="s">
        <v>0</v>
      </c>
      <c r="C209" t="s">
        <v>44</v>
      </c>
      <c r="D209">
        <v>90</v>
      </c>
    </row>
    <row r="210" spans="1:4" x14ac:dyDescent="0.3">
      <c r="A210" s="58">
        <v>46043</v>
      </c>
      <c r="B210" t="s">
        <v>0</v>
      </c>
      <c r="C210" t="s">
        <v>44</v>
      </c>
      <c r="D210">
        <v>67</v>
      </c>
    </row>
    <row r="211" spans="1:4" x14ac:dyDescent="0.3">
      <c r="A211" s="58">
        <v>46044</v>
      </c>
      <c r="B211" t="s">
        <v>0</v>
      </c>
      <c r="C211" t="s">
        <v>44</v>
      </c>
      <c r="D211">
        <v>57</v>
      </c>
    </row>
    <row r="212" spans="1:4" x14ac:dyDescent="0.3">
      <c r="A212" s="58">
        <v>46045</v>
      </c>
      <c r="B212" t="s">
        <v>0</v>
      </c>
      <c r="C212" t="s">
        <v>44</v>
      </c>
      <c r="D212">
        <v>116</v>
      </c>
    </row>
    <row r="213" spans="1:4" x14ac:dyDescent="0.3">
      <c r="A213" s="58">
        <v>46046</v>
      </c>
      <c r="B213" t="s">
        <v>0</v>
      </c>
      <c r="C213" t="s">
        <v>44</v>
      </c>
      <c r="D213">
        <v>34</v>
      </c>
    </row>
    <row r="214" spans="1:4" x14ac:dyDescent="0.3">
      <c r="A214" s="58">
        <v>46047</v>
      </c>
      <c r="B214" t="s">
        <v>0</v>
      </c>
      <c r="C214" t="s">
        <v>44</v>
      </c>
      <c r="D214">
        <v>31</v>
      </c>
    </row>
    <row r="215" spans="1:4" x14ac:dyDescent="0.3">
      <c r="A215" s="58">
        <v>46048</v>
      </c>
      <c r="B215" t="s">
        <v>0</v>
      </c>
      <c r="C215" t="s">
        <v>44</v>
      </c>
      <c r="D215">
        <v>81</v>
      </c>
    </row>
    <row r="216" spans="1:4" x14ac:dyDescent="0.3">
      <c r="A216" s="58">
        <v>46049</v>
      </c>
      <c r="B216" t="s">
        <v>0</v>
      </c>
      <c r="C216" t="s">
        <v>44</v>
      </c>
      <c r="D216">
        <v>28</v>
      </c>
    </row>
    <row r="217" spans="1:4" x14ac:dyDescent="0.3">
      <c r="A217" s="58">
        <v>46050</v>
      </c>
      <c r="B217" t="s">
        <v>0</v>
      </c>
      <c r="C217" t="s">
        <v>44</v>
      </c>
      <c r="D217">
        <v>101</v>
      </c>
    </row>
    <row r="218" spans="1:4" x14ac:dyDescent="0.3">
      <c r="A218" s="58">
        <v>46051</v>
      </c>
      <c r="B218" t="s">
        <v>0</v>
      </c>
      <c r="C218" t="s">
        <v>44</v>
      </c>
      <c r="D218">
        <v>82</v>
      </c>
    </row>
    <row r="219" spans="1:4" x14ac:dyDescent="0.3">
      <c r="A219" s="58">
        <v>46052</v>
      </c>
      <c r="B219" t="s">
        <v>0</v>
      </c>
      <c r="C219" t="s">
        <v>44</v>
      </c>
      <c r="D219">
        <v>64</v>
      </c>
    </row>
    <row r="220" spans="1:4" x14ac:dyDescent="0.3">
      <c r="A220" s="58">
        <v>46053</v>
      </c>
      <c r="B220" t="s">
        <v>0</v>
      </c>
      <c r="C220" t="s">
        <v>44</v>
      </c>
      <c r="D220">
        <v>117</v>
      </c>
    </row>
    <row r="221" spans="1:4" x14ac:dyDescent="0.3">
      <c r="A221" s="58">
        <v>46023</v>
      </c>
      <c r="B221" t="s">
        <v>1</v>
      </c>
      <c r="C221" t="s">
        <v>44</v>
      </c>
      <c r="D221">
        <v>763</v>
      </c>
    </row>
    <row r="222" spans="1:4" x14ac:dyDescent="0.3">
      <c r="A222" s="58">
        <v>46024</v>
      </c>
      <c r="B222" t="s">
        <v>1</v>
      </c>
      <c r="C222" t="s">
        <v>44</v>
      </c>
      <c r="D222">
        <v>300</v>
      </c>
    </row>
    <row r="223" spans="1:4" x14ac:dyDescent="0.3">
      <c r="A223" s="58">
        <v>46025</v>
      </c>
      <c r="B223" t="s">
        <v>1</v>
      </c>
      <c r="C223" t="s">
        <v>44</v>
      </c>
      <c r="D223">
        <v>386</v>
      </c>
    </row>
    <row r="224" spans="1:4" x14ac:dyDescent="0.3">
      <c r="A224" s="58">
        <v>46026</v>
      </c>
      <c r="B224" t="s">
        <v>1</v>
      </c>
      <c r="C224" t="s">
        <v>44</v>
      </c>
      <c r="D224">
        <v>668</v>
      </c>
    </row>
    <row r="225" spans="1:4" x14ac:dyDescent="0.3">
      <c r="A225" s="58">
        <v>46027</v>
      </c>
      <c r="B225" t="s">
        <v>1</v>
      </c>
      <c r="C225" t="s">
        <v>44</v>
      </c>
      <c r="D225">
        <v>252</v>
      </c>
    </row>
    <row r="226" spans="1:4" x14ac:dyDescent="0.3">
      <c r="A226" s="58">
        <v>46028</v>
      </c>
      <c r="B226" t="s">
        <v>1</v>
      </c>
      <c r="C226" t="s">
        <v>44</v>
      </c>
      <c r="D226">
        <v>402</v>
      </c>
    </row>
    <row r="227" spans="1:4" x14ac:dyDescent="0.3">
      <c r="A227" s="58">
        <v>46029</v>
      </c>
      <c r="B227" t="s">
        <v>1</v>
      </c>
      <c r="C227" t="s">
        <v>44</v>
      </c>
      <c r="D227">
        <v>529</v>
      </c>
    </row>
    <row r="228" spans="1:4" x14ac:dyDescent="0.3">
      <c r="A228" s="58">
        <v>46030</v>
      </c>
      <c r="B228" t="s">
        <v>1</v>
      </c>
      <c r="C228" t="s">
        <v>44</v>
      </c>
      <c r="D228">
        <v>353</v>
      </c>
    </row>
    <row r="229" spans="1:4" x14ac:dyDescent="0.3">
      <c r="A229" s="58">
        <v>46031</v>
      </c>
      <c r="B229" t="s">
        <v>1</v>
      </c>
      <c r="C229" t="s">
        <v>44</v>
      </c>
      <c r="D229">
        <v>391</v>
      </c>
    </row>
    <row r="230" spans="1:4" x14ac:dyDescent="0.3">
      <c r="A230" s="58">
        <v>46032</v>
      </c>
      <c r="B230" t="s">
        <v>1</v>
      </c>
      <c r="C230" t="s">
        <v>44</v>
      </c>
      <c r="D230">
        <v>499</v>
      </c>
    </row>
    <row r="231" spans="1:4" x14ac:dyDescent="0.3">
      <c r="A231" s="58">
        <v>46033</v>
      </c>
      <c r="B231" t="s">
        <v>1</v>
      </c>
      <c r="C231" t="s">
        <v>44</v>
      </c>
      <c r="D231">
        <v>531</v>
      </c>
    </row>
    <row r="232" spans="1:4" x14ac:dyDescent="0.3">
      <c r="A232" s="58">
        <v>46034</v>
      </c>
      <c r="B232" t="s">
        <v>1</v>
      </c>
      <c r="C232" t="s">
        <v>44</v>
      </c>
      <c r="D232">
        <v>747</v>
      </c>
    </row>
    <row r="233" spans="1:4" x14ac:dyDescent="0.3">
      <c r="A233" s="58">
        <v>46035</v>
      </c>
      <c r="B233" t="s">
        <v>1</v>
      </c>
      <c r="C233" t="s">
        <v>44</v>
      </c>
      <c r="D233">
        <v>753</v>
      </c>
    </row>
    <row r="234" spans="1:4" x14ac:dyDescent="0.3">
      <c r="A234" s="58">
        <v>46036</v>
      </c>
      <c r="B234" t="s">
        <v>1</v>
      </c>
      <c r="C234" t="s">
        <v>44</v>
      </c>
      <c r="D234">
        <v>631</v>
      </c>
    </row>
    <row r="235" spans="1:4" x14ac:dyDescent="0.3">
      <c r="A235" s="58">
        <v>46037</v>
      </c>
      <c r="B235" t="s">
        <v>1</v>
      </c>
      <c r="C235" t="s">
        <v>44</v>
      </c>
      <c r="D235">
        <v>628</v>
      </c>
    </row>
    <row r="236" spans="1:4" x14ac:dyDescent="0.3">
      <c r="A236" s="58">
        <v>46038</v>
      </c>
      <c r="B236" t="s">
        <v>1</v>
      </c>
      <c r="C236" t="s">
        <v>44</v>
      </c>
      <c r="D236">
        <v>668</v>
      </c>
    </row>
    <row r="237" spans="1:4" x14ac:dyDescent="0.3">
      <c r="A237" s="58">
        <v>46039</v>
      </c>
      <c r="B237" t="s">
        <v>1</v>
      </c>
      <c r="C237" t="s">
        <v>44</v>
      </c>
      <c r="D237">
        <v>540</v>
      </c>
    </row>
    <row r="238" spans="1:4" x14ac:dyDescent="0.3">
      <c r="A238" s="58">
        <v>46040</v>
      </c>
      <c r="B238" t="s">
        <v>1</v>
      </c>
      <c r="C238" t="s">
        <v>44</v>
      </c>
      <c r="D238">
        <v>261</v>
      </c>
    </row>
    <row r="239" spans="1:4" x14ac:dyDescent="0.3">
      <c r="A239" s="58">
        <v>46041</v>
      </c>
      <c r="B239" t="s">
        <v>1</v>
      </c>
      <c r="C239" t="s">
        <v>44</v>
      </c>
      <c r="D239">
        <v>512</v>
      </c>
    </row>
    <row r="240" spans="1:4" x14ac:dyDescent="0.3">
      <c r="A240" s="58">
        <v>46042</v>
      </c>
      <c r="B240" t="s">
        <v>1</v>
      </c>
      <c r="C240" t="s">
        <v>44</v>
      </c>
      <c r="D240">
        <v>637</v>
      </c>
    </row>
    <row r="241" spans="1:4" x14ac:dyDescent="0.3">
      <c r="A241" s="58">
        <v>46043</v>
      </c>
      <c r="B241" t="s">
        <v>1</v>
      </c>
      <c r="C241" t="s">
        <v>44</v>
      </c>
      <c r="D241">
        <v>573</v>
      </c>
    </row>
    <row r="242" spans="1:4" x14ac:dyDescent="0.3">
      <c r="A242" s="58">
        <v>46044</v>
      </c>
      <c r="B242" t="s">
        <v>1</v>
      </c>
      <c r="C242" t="s">
        <v>44</v>
      </c>
      <c r="D242">
        <v>377</v>
      </c>
    </row>
    <row r="243" spans="1:4" x14ac:dyDescent="0.3">
      <c r="A243" s="58">
        <v>46045</v>
      </c>
      <c r="B243" t="s">
        <v>1</v>
      </c>
      <c r="C243" t="s">
        <v>44</v>
      </c>
      <c r="D243">
        <v>708</v>
      </c>
    </row>
    <row r="244" spans="1:4" x14ac:dyDescent="0.3">
      <c r="A244" s="58">
        <v>46046</v>
      </c>
      <c r="B244" t="s">
        <v>1</v>
      </c>
      <c r="C244" t="s">
        <v>44</v>
      </c>
      <c r="D244">
        <v>767</v>
      </c>
    </row>
    <row r="245" spans="1:4" x14ac:dyDescent="0.3">
      <c r="A245" s="58">
        <v>46047</v>
      </c>
      <c r="B245" t="s">
        <v>1</v>
      </c>
      <c r="C245" t="s">
        <v>44</v>
      </c>
      <c r="D245">
        <v>268</v>
      </c>
    </row>
    <row r="246" spans="1:4" x14ac:dyDescent="0.3">
      <c r="A246" s="58">
        <v>46048</v>
      </c>
      <c r="B246" t="s">
        <v>1</v>
      </c>
      <c r="C246" t="s">
        <v>44</v>
      </c>
      <c r="D246">
        <v>794</v>
      </c>
    </row>
    <row r="247" spans="1:4" x14ac:dyDescent="0.3">
      <c r="A247" s="58">
        <v>46049</v>
      </c>
      <c r="B247" t="s">
        <v>1</v>
      </c>
      <c r="C247" t="s">
        <v>44</v>
      </c>
      <c r="D247">
        <v>588</v>
      </c>
    </row>
    <row r="248" spans="1:4" x14ac:dyDescent="0.3">
      <c r="A248" s="58">
        <v>46050</v>
      </c>
      <c r="B248" t="s">
        <v>1</v>
      </c>
      <c r="C248" t="s">
        <v>44</v>
      </c>
      <c r="D248">
        <v>376</v>
      </c>
    </row>
    <row r="249" spans="1:4" x14ac:dyDescent="0.3">
      <c r="A249" s="58">
        <v>46051</v>
      </c>
      <c r="B249" t="s">
        <v>1</v>
      </c>
      <c r="C249" t="s">
        <v>44</v>
      </c>
      <c r="D249">
        <v>799</v>
      </c>
    </row>
    <row r="250" spans="1:4" x14ac:dyDescent="0.3">
      <c r="A250" s="58">
        <v>46052</v>
      </c>
      <c r="B250" t="s">
        <v>1</v>
      </c>
      <c r="C250" t="s">
        <v>44</v>
      </c>
      <c r="D250">
        <v>593</v>
      </c>
    </row>
    <row r="251" spans="1:4" x14ac:dyDescent="0.3">
      <c r="A251" s="58">
        <v>46053</v>
      </c>
      <c r="B251" t="s">
        <v>1</v>
      </c>
      <c r="C251" t="s">
        <v>44</v>
      </c>
      <c r="D251">
        <v>472</v>
      </c>
    </row>
    <row r="252" spans="1:4" x14ac:dyDescent="0.3">
      <c r="A252" s="58">
        <v>46023</v>
      </c>
      <c r="B252" t="s">
        <v>2</v>
      </c>
      <c r="C252" t="s">
        <v>44</v>
      </c>
      <c r="D252">
        <v>151</v>
      </c>
    </row>
    <row r="253" spans="1:4" x14ac:dyDescent="0.3">
      <c r="A253" s="58">
        <v>46024</v>
      </c>
      <c r="B253" t="s">
        <v>2</v>
      </c>
      <c r="C253" t="s">
        <v>44</v>
      </c>
      <c r="D253">
        <v>289</v>
      </c>
    </row>
    <row r="254" spans="1:4" x14ac:dyDescent="0.3">
      <c r="A254" s="58">
        <v>46025</v>
      </c>
      <c r="B254" t="s">
        <v>2</v>
      </c>
      <c r="C254" t="s">
        <v>44</v>
      </c>
      <c r="D254">
        <v>102</v>
      </c>
    </row>
    <row r="255" spans="1:4" x14ac:dyDescent="0.3">
      <c r="A255" s="58">
        <v>46026</v>
      </c>
      <c r="B255" t="s">
        <v>2</v>
      </c>
      <c r="C255" t="s">
        <v>44</v>
      </c>
      <c r="D255">
        <v>260</v>
      </c>
    </row>
    <row r="256" spans="1:4" x14ac:dyDescent="0.3">
      <c r="A256" s="58">
        <v>46027</v>
      </c>
      <c r="B256" t="s">
        <v>2</v>
      </c>
      <c r="C256" t="s">
        <v>44</v>
      </c>
      <c r="D256">
        <v>202</v>
      </c>
    </row>
    <row r="257" spans="1:4" x14ac:dyDescent="0.3">
      <c r="A257" s="58">
        <v>46028</v>
      </c>
      <c r="B257" t="s">
        <v>2</v>
      </c>
      <c r="C257" t="s">
        <v>44</v>
      </c>
      <c r="D257">
        <v>171</v>
      </c>
    </row>
    <row r="258" spans="1:4" x14ac:dyDescent="0.3">
      <c r="A258" s="58">
        <v>46029</v>
      </c>
      <c r="B258" t="s">
        <v>2</v>
      </c>
      <c r="C258" t="s">
        <v>44</v>
      </c>
      <c r="D258">
        <v>112</v>
      </c>
    </row>
    <row r="259" spans="1:4" x14ac:dyDescent="0.3">
      <c r="A259" s="58">
        <v>46030</v>
      </c>
      <c r="B259" t="s">
        <v>2</v>
      </c>
      <c r="C259" t="s">
        <v>44</v>
      </c>
      <c r="D259">
        <v>107</v>
      </c>
    </row>
    <row r="260" spans="1:4" x14ac:dyDescent="0.3">
      <c r="A260" s="58">
        <v>46031</v>
      </c>
      <c r="B260" t="s">
        <v>2</v>
      </c>
      <c r="C260" t="s">
        <v>44</v>
      </c>
      <c r="D260">
        <v>262</v>
      </c>
    </row>
    <row r="261" spans="1:4" x14ac:dyDescent="0.3">
      <c r="A261" s="58">
        <v>46032</v>
      </c>
      <c r="B261" t="s">
        <v>2</v>
      </c>
      <c r="C261" t="s">
        <v>44</v>
      </c>
      <c r="D261">
        <v>264</v>
      </c>
    </row>
    <row r="262" spans="1:4" x14ac:dyDescent="0.3">
      <c r="A262" s="58">
        <v>46033</v>
      </c>
      <c r="B262" t="s">
        <v>2</v>
      </c>
      <c r="C262" t="s">
        <v>44</v>
      </c>
      <c r="D262">
        <v>293</v>
      </c>
    </row>
    <row r="263" spans="1:4" x14ac:dyDescent="0.3">
      <c r="A263" s="58">
        <v>46034</v>
      </c>
      <c r="B263" t="s">
        <v>2</v>
      </c>
      <c r="C263" t="s">
        <v>44</v>
      </c>
      <c r="D263">
        <v>191</v>
      </c>
    </row>
    <row r="264" spans="1:4" x14ac:dyDescent="0.3">
      <c r="A264" s="58">
        <v>46035</v>
      </c>
      <c r="B264" t="s">
        <v>2</v>
      </c>
      <c r="C264" t="s">
        <v>44</v>
      </c>
      <c r="D264">
        <v>284</v>
      </c>
    </row>
    <row r="265" spans="1:4" x14ac:dyDescent="0.3">
      <c r="A265" s="58">
        <v>46036</v>
      </c>
      <c r="B265" t="s">
        <v>2</v>
      </c>
      <c r="C265" t="s">
        <v>44</v>
      </c>
      <c r="D265">
        <v>135</v>
      </c>
    </row>
    <row r="266" spans="1:4" x14ac:dyDescent="0.3">
      <c r="A266" s="58">
        <v>46037</v>
      </c>
      <c r="B266" t="s">
        <v>2</v>
      </c>
      <c r="C266" t="s">
        <v>44</v>
      </c>
      <c r="D266">
        <v>179</v>
      </c>
    </row>
    <row r="267" spans="1:4" x14ac:dyDescent="0.3">
      <c r="A267" s="58">
        <v>46038</v>
      </c>
      <c r="B267" t="s">
        <v>2</v>
      </c>
      <c r="C267" t="s">
        <v>44</v>
      </c>
      <c r="D267">
        <v>242</v>
      </c>
    </row>
    <row r="268" spans="1:4" x14ac:dyDescent="0.3">
      <c r="A268" s="58">
        <v>46039</v>
      </c>
      <c r="B268" t="s">
        <v>2</v>
      </c>
      <c r="C268" t="s">
        <v>44</v>
      </c>
      <c r="D268">
        <v>131</v>
      </c>
    </row>
    <row r="269" spans="1:4" x14ac:dyDescent="0.3">
      <c r="A269" s="58">
        <v>46040</v>
      </c>
      <c r="B269" t="s">
        <v>2</v>
      </c>
      <c r="C269" t="s">
        <v>44</v>
      </c>
      <c r="D269">
        <v>238</v>
      </c>
    </row>
    <row r="270" spans="1:4" x14ac:dyDescent="0.3">
      <c r="A270" s="58">
        <v>46041</v>
      </c>
      <c r="B270" t="s">
        <v>2</v>
      </c>
      <c r="C270" t="s">
        <v>44</v>
      </c>
      <c r="D270">
        <v>144</v>
      </c>
    </row>
    <row r="271" spans="1:4" x14ac:dyDescent="0.3">
      <c r="A271" s="58">
        <v>46042</v>
      </c>
      <c r="B271" t="s">
        <v>2</v>
      </c>
      <c r="C271" t="s">
        <v>44</v>
      </c>
      <c r="D271">
        <v>284</v>
      </c>
    </row>
    <row r="272" spans="1:4" x14ac:dyDescent="0.3">
      <c r="A272" s="58">
        <v>46043</v>
      </c>
      <c r="B272" t="s">
        <v>2</v>
      </c>
      <c r="C272" t="s">
        <v>44</v>
      </c>
      <c r="D272">
        <v>134</v>
      </c>
    </row>
    <row r="273" spans="1:4" x14ac:dyDescent="0.3">
      <c r="A273" s="58">
        <v>46044</v>
      </c>
      <c r="B273" t="s">
        <v>2</v>
      </c>
      <c r="C273" t="s">
        <v>44</v>
      </c>
      <c r="D273">
        <v>287</v>
      </c>
    </row>
    <row r="274" spans="1:4" x14ac:dyDescent="0.3">
      <c r="A274" s="58">
        <v>46045</v>
      </c>
      <c r="B274" t="s">
        <v>2</v>
      </c>
      <c r="C274" t="s">
        <v>44</v>
      </c>
      <c r="D274">
        <v>218</v>
      </c>
    </row>
    <row r="275" spans="1:4" x14ac:dyDescent="0.3">
      <c r="A275" s="58">
        <v>46046</v>
      </c>
      <c r="B275" t="s">
        <v>2</v>
      </c>
      <c r="C275" t="s">
        <v>44</v>
      </c>
      <c r="D275">
        <v>117</v>
      </c>
    </row>
    <row r="276" spans="1:4" x14ac:dyDescent="0.3">
      <c r="A276" s="58">
        <v>46047</v>
      </c>
      <c r="B276" t="s">
        <v>2</v>
      </c>
      <c r="C276" t="s">
        <v>44</v>
      </c>
      <c r="D276">
        <v>177</v>
      </c>
    </row>
    <row r="277" spans="1:4" x14ac:dyDescent="0.3">
      <c r="A277" s="58">
        <v>46048</v>
      </c>
      <c r="B277" t="s">
        <v>2</v>
      </c>
      <c r="C277" t="s">
        <v>44</v>
      </c>
      <c r="D277">
        <v>144</v>
      </c>
    </row>
    <row r="278" spans="1:4" x14ac:dyDescent="0.3">
      <c r="A278" s="58">
        <v>46049</v>
      </c>
      <c r="B278" t="s">
        <v>2</v>
      </c>
      <c r="C278" t="s">
        <v>44</v>
      </c>
      <c r="D278">
        <v>204</v>
      </c>
    </row>
    <row r="279" spans="1:4" x14ac:dyDescent="0.3">
      <c r="A279" s="58">
        <v>46050</v>
      </c>
      <c r="B279" t="s">
        <v>2</v>
      </c>
      <c r="C279" t="s">
        <v>44</v>
      </c>
      <c r="D279">
        <v>200</v>
      </c>
    </row>
    <row r="280" spans="1:4" x14ac:dyDescent="0.3">
      <c r="A280" s="58">
        <v>46051</v>
      </c>
      <c r="B280" t="s">
        <v>2</v>
      </c>
      <c r="C280" t="s">
        <v>44</v>
      </c>
      <c r="D280">
        <v>197</v>
      </c>
    </row>
    <row r="281" spans="1:4" x14ac:dyDescent="0.3">
      <c r="A281" s="58">
        <v>46052</v>
      </c>
      <c r="B281" t="s">
        <v>2</v>
      </c>
      <c r="C281" t="s">
        <v>44</v>
      </c>
      <c r="D281">
        <v>246</v>
      </c>
    </row>
    <row r="282" spans="1:4" x14ac:dyDescent="0.3">
      <c r="A282" s="58">
        <v>46053</v>
      </c>
      <c r="B282" t="s">
        <v>2</v>
      </c>
      <c r="C282" t="s">
        <v>44</v>
      </c>
      <c r="D282">
        <v>211</v>
      </c>
    </row>
    <row r="283" spans="1:4" x14ac:dyDescent="0.3">
      <c r="A283" s="58">
        <v>46023</v>
      </c>
      <c r="B283" t="s">
        <v>0</v>
      </c>
      <c r="C283" t="s">
        <v>45</v>
      </c>
      <c r="D283">
        <v>53</v>
      </c>
    </row>
    <row r="284" spans="1:4" x14ac:dyDescent="0.3">
      <c r="A284" s="58">
        <v>46024</v>
      </c>
      <c r="B284" t="s">
        <v>0</v>
      </c>
      <c r="C284" t="s">
        <v>45</v>
      </c>
      <c r="D284">
        <v>79</v>
      </c>
    </row>
    <row r="285" spans="1:4" x14ac:dyDescent="0.3">
      <c r="A285" s="58">
        <v>46025</v>
      </c>
      <c r="B285" t="s">
        <v>0</v>
      </c>
      <c r="C285" t="s">
        <v>45</v>
      </c>
      <c r="D285">
        <v>54</v>
      </c>
    </row>
    <row r="286" spans="1:4" x14ac:dyDescent="0.3">
      <c r="A286" s="58">
        <v>46026</v>
      </c>
      <c r="B286" t="s">
        <v>0</v>
      </c>
      <c r="C286" t="s">
        <v>45</v>
      </c>
      <c r="D286">
        <v>40</v>
      </c>
    </row>
    <row r="287" spans="1:4" x14ac:dyDescent="0.3">
      <c r="A287" s="58">
        <v>46027</v>
      </c>
      <c r="B287" t="s">
        <v>0</v>
      </c>
      <c r="C287" t="s">
        <v>45</v>
      </c>
      <c r="D287">
        <v>33</v>
      </c>
    </row>
    <row r="288" spans="1:4" x14ac:dyDescent="0.3">
      <c r="A288" s="58">
        <v>46028</v>
      </c>
      <c r="B288" t="s">
        <v>0</v>
      </c>
      <c r="C288" t="s">
        <v>45</v>
      </c>
      <c r="D288">
        <v>36</v>
      </c>
    </row>
    <row r="289" spans="1:4" x14ac:dyDescent="0.3">
      <c r="A289" s="58">
        <v>46029</v>
      </c>
      <c r="B289" t="s">
        <v>0</v>
      </c>
      <c r="C289" t="s">
        <v>45</v>
      </c>
      <c r="D289">
        <v>70</v>
      </c>
    </row>
    <row r="290" spans="1:4" x14ac:dyDescent="0.3">
      <c r="A290" s="58">
        <v>46030</v>
      </c>
      <c r="B290" t="s">
        <v>0</v>
      </c>
      <c r="C290" t="s">
        <v>45</v>
      </c>
      <c r="D290">
        <v>51</v>
      </c>
    </row>
    <row r="291" spans="1:4" x14ac:dyDescent="0.3">
      <c r="A291" s="58">
        <v>46031</v>
      </c>
      <c r="B291" t="s">
        <v>0</v>
      </c>
      <c r="C291" t="s">
        <v>45</v>
      </c>
      <c r="D291">
        <v>49</v>
      </c>
    </row>
    <row r="292" spans="1:4" x14ac:dyDescent="0.3">
      <c r="A292" s="58">
        <v>46032</v>
      </c>
      <c r="B292" t="s">
        <v>0</v>
      </c>
      <c r="C292" t="s">
        <v>45</v>
      </c>
      <c r="D292">
        <v>80</v>
      </c>
    </row>
    <row r="293" spans="1:4" x14ac:dyDescent="0.3">
      <c r="A293" s="58">
        <v>46033</v>
      </c>
      <c r="B293" t="s">
        <v>0</v>
      </c>
      <c r="C293" t="s">
        <v>45</v>
      </c>
      <c r="D293">
        <v>115</v>
      </c>
    </row>
    <row r="294" spans="1:4" x14ac:dyDescent="0.3">
      <c r="A294" s="58">
        <v>46034</v>
      </c>
      <c r="B294" t="s">
        <v>0</v>
      </c>
      <c r="C294" t="s">
        <v>45</v>
      </c>
      <c r="D294">
        <v>49</v>
      </c>
    </row>
    <row r="295" spans="1:4" x14ac:dyDescent="0.3">
      <c r="A295" s="58">
        <v>46035</v>
      </c>
      <c r="B295" t="s">
        <v>0</v>
      </c>
      <c r="C295" t="s">
        <v>45</v>
      </c>
      <c r="D295">
        <v>85</v>
      </c>
    </row>
    <row r="296" spans="1:4" x14ac:dyDescent="0.3">
      <c r="A296" s="58">
        <v>46036</v>
      </c>
      <c r="B296" t="s">
        <v>0</v>
      </c>
      <c r="C296" t="s">
        <v>45</v>
      </c>
      <c r="D296">
        <v>57</v>
      </c>
    </row>
    <row r="297" spans="1:4" x14ac:dyDescent="0.3">
      <c r="A297" s="58">
        <v>46037</v>
      </c>
      <c r="B297" t="s">
        <v>0</v>
      </c>
      <c r="C297" t="s">
        <v>45</v>
      </c>
      <c r="D297">
        <v>35</v>
      </c>
    </row>
    <row r="298" spans="1:4" x14ac:dyDescent="0.3">
      <c r="A298" s="58">
        <v>46038</v>
      </c>
      <c r="B298" t="s">
        <v>0</v>
      </c>
      <c r="C298" t="s">
        <v>45</v>
      </c>
      <c r="D298">
        <v>87</v>
      </c>
    </row>
    <row r="299" spans="1:4" x14ac:dyDescent="0.3">
      <c r="A299" s="58">
        <v>46039</v>
      </c>
      <c r="B299" t="s">
        <v>0</v>
      </c>
      <c r="C299" t="s">
        <v>45</v>
      </c>
      <c r="D299">
        <v>43</v>
      </c>
    </row>
    <row r="300" spans="1:4" x14ac:dyDescent="0.3">
      <c r="A300" s="58">
        <v>46040</v>
      </c>
      <c r="B300" t="s">
        <v>0</v>
      </c>
      <c r="C300" t="s">
        <v>45</v>
      </c>
      <c r="D300">
        <v>44</v>
      </c>
    </row>
    <row r="301" spans="1:4" x14ac:dyDescent="0.3">
      <c r="A301" s="58">
        <v>46041</v>
      </c>
      <c r="B301" t="s">
        <v>0</v>
      </c>
      <c r="C301" t="s">
        <v>45</v>
      </c>
      <c r="D301">
        <v>104</v>
      </c>
    </row>
    <row r="302" spans="1:4" x14ac:dyDescent="0.3">
      <c r="A302" s="58">
        <v>46042</v>
      </c>
      <c r="B302" t="s">
        <v>0</v>
      </c>
      <c r="C302" t="s">
        <v>45</v>
      </c>
      <c r="D302">
        <v>87</v>
      </c>
    </row>
    <row r="303" spans="1:4" x14ac:dyDescent="0.3">
      <c r="A303" s="58">
        <v>46043</v>
      </c>
      <c r="B303" t="s">
        <v>0</v>
      </c>
      <c r="C303" t="s">
        <v>45</v>
      </c>
      <c r="D303">
        <v>113</v>
      </c>
    </row>
    <row r="304" spans="1:4" x14ac:dyDescent="0.3">
      <c r="A304" s="58">
        <v>46044</v>
      </c>
      <c r="B304" t="s">
        <v>0</v>
      </c>
      <c r="C304" t="s">
        <v>45</v>
      </c>
      <c r="D304">
        <v>65</v>
      </c>
    </row>
    <row r="305" spans="1:4" x14ac:dyDescent="0.3">
      <c r="A305" s="58">
        <v>46045</v>
      </c>
      <c r="B305" t="s">
        <v>0</v>
      </c>
      <c r="C305" t="s">
        <v>45</v>
      </c>
      <c r="D305">
        <v>32</v>
      </c>
    </row>
    <row r="306" spans="1:4" x14ac:dyDescent="0.3">
      <c r="A306" s="58">
        <v>46046</v>
      </c>
      <c r="B306" t="s">
        <v>0</v>
      </c>
      <c r="C306" t="s">
        <v>45</v>
      </c>
      <c r="D306">
        <v>53</v>
      </c>
    </row>
    <row r="307" spans="1:4" x14ac:dyDescent="0.3">
      <c r="A307" s="58">
        <v>46047</v>
      </c>
      <c r="B307" t="s">
        <v>0</v>
      </c>
      <c r="C307" t="s">
        <v>45</v>
      </c>
      <c r="D307">
        <v>43</v>
      </c>
    </row>
    <row r="308" spans="1:4" x14ac:dyDescent="0.3">
      <c r="A308" s="58">
        <v>46048</v>
      </c>
      <c r="B308" t="s">
        <v>0</v>
      </c>
      <c r="C308" t="s">
        <v>45</v>
      </c>
      <c r="D308">
        <v>111</v>
      </c>
    </row>
    <row r="309" spans="1:4" x14ac:dyDescent="0.3">
      <c r="A309" s="58">
        <v>46049</v>
      </c>
      <c r="B309" t="s">
        <v>0</v>
      </c>
      <c r="C309" t="s">
        <v>45</v>
      </c>
      <c r="D309">
        <v>93</v>
      </c>
    </row>
    <row r="310" spans="1:4" x14ac:dyDescent="0.3">
      <c r="A310" s="58">
        <v>46050</v>
      </c>
      <c r="B310" t="s">
        <v>0</v>
      </c>
      <c r="C310" t="s">
        <v>45</v>
      </c>
      <c r="D310">
        <v>95</v>
      </c>
    </row>
    <row r="311" spans="1:4" x14ac:dyDescent="0.3">
      <c r="A311" s="58">
        <v>46051</v>
      </c>
      <c r="B311" t="s">
        <v>0</v>
      </c>
      <c r="C311" t="s">
        <v>45</v>
      </c>
      <c r="D311">
        <v>71</v>
      </c>
    </row>
    <row r="312" spans="1:4" x14ac:dyDescent="0.3">
      <c r="A312" s="58">
        <v>46052</v>
      </c>
      <c r="B312" t="s">
        <v>0</v>
      </c>
      <c r="C312" t="s">
        <v>45</v>
      </c>
      <c r="D312">
        <v>45</v>
      </c>
    </row>
    <row r="313" spans="1:4" x14ac:dyDescent="0.3">
      <c r="A313" s="58">
        <v>46053</v>
      </c>
      <c r="B313" t="s">
        <v>0</v>
      </c>
      <c r="C313" t="s">
        <v>45</v>
      </c>
      <c r="D313">
        <v>104</v>
      </c>
    </row>
    <row r="314" spans="1:4" x14ac:dyDescent="0.3">
      <c r="A314" s="58">
        <v>46023</v>
      </c>
      <c r="B314" t="s">
        <v>1</v>
      </c>
      <c r="C314" t="s">
        <v>45</v>
      </c>
      <c r="D314">
        <v>554</v>
      </c>
    </row>
    <row r="315" spans="1:4" x14ac:dyDescent="0.3">
      <c r="A315" s="58">
        <v>46024</v>
      </c>
      <c r="B315" t="s">
        <v>1</v>
      </c>
      <c r="C315" t="s">
        <v>45</v>
      </c>
      <c r="D315">
        <v>614</v>
      </c>
    </row>
    <row r="316" spans="1:4" x14ac:dyDescent="0.3">
      <c r="A316" s="58">
        <v>46025</v>
      </c>
      <c r="B316" t="s">
        <v>1</v>
      </c>
      <c r="C316" t="s">
        <v>45</v>
      </c>
      <c r="D316">
        <v>528</v>
      </c>
    </row>
    <row r="317" spans="1:4" x14ac:dyDescent="0.3">
      <c r="A317" s="58">
        <v>46026</v>
      </c>
      <c r="B317" t="s">
        <v>1</v>
      </c>
      <c r="C317" t="s">
        <v>45</v>
      </c>
      <c r="D317">
        <v>455</v>
      </c>
    </row>
    <row r="318" spans="1:4" x14ac:dyDescent="0.3">
      <c r="A318" s="58">
        <v>46027</v>
      </c>
      <c r="B318" t="s">
        <v>1</v>
      </c>
      <c r="C318" t="s">
        <v>45</v>
      </c>
      <c r="D318">
        <v>304</v>
      </c>
    </row>
    <row r="319" spans="1:4" x14ac:dyDescent="0.3">
      <c r="A319" s="58">
        <v>46028</v>
      </c>
      <c r="B319" t="s">
        <v>1</v>
      </c>
      <c r="C319" t="s">
        <v>45</v>
      </c>
      <c r="D319">
        <v>265</v>
      </c>
    </row>
    <row r="320" spans="1:4" x14ac:dyDescent="0.3">
      <c r="A320" s="58">
        <v>46029</v>
      </c>
      <c r="B320" t="s">
        <v>1</v>
      </c>
      <c r="C320" t="s">
        <v>45</v>
      </c>
      <c r="D320">
        <v>702</v>
      </c>
    </row>
    <row r="321" spans="1:4" x14ac:dyDescent="0.3">
      <c r="A321" s="58">
        <v>46030</v>
      </c>
      <c r="B321" t="s">
        <v>1</v>
      </c>
      <c r="C321" t="s">
        <v>45</v>
      </c>
      <c r="D321">
        <v>480</v>
      </c>
    </row>
    <row r="322" spans="1:4" x14ac:dyDescent="0.3">
      <c r="A322" s="58">
        <v>46031</v>
      </c>
      <c r="B322" t="s">
        <v>1</v>
      </c>
      <c r="C322" t="s">
        <v>45</v>
      </c>
      <c r="D322">
        <v>377</v>
      </c>
    </row>
    <row r="323" spans="1:4" x14ac:dyDescent="0.3">
      <c r="A323" s="58">
        <v>46032</v>
      </c>
      <c r="B323" t="s">
        <v>1</v>
      </c>
      <c r="C323" t="s">
        <v>45</v>
      </c>
      <c r="D323">
        <v>769</v>
      </c>
    </row>
    <row r="324" spans="1:4" x14ac:dyDescent="0.3">
      <c r="A324" s="58">
        <v>46033</v>
      </c>
      <c r="B324" t="s">
        <v>1</v>
      </c>
      <c r="C324" t="s">
        <v>45</v>
      </c>
      <c r="D324">
        <v>585</v>
      </c>
    </row>
    <row r="325" spans="1:4" x14ac:dyDescent="0.3">
      <c r="A325" s="58">
        <v>46034</v>
      </c>
      <c r="B325" t="s">
        <v>1</v>
      </c>
      <c r="C325" t="s">
        <v>45</v>
      </c>
      <c r="D325">
        <v>788</v>
      </c>
    </row>
    <row r="326" spans="1:4" x14ac:dyDescent="0.3">
      <c r="A326" s="58">
        <v>46035</v>
      </c>
      <c r="B326" t="s">
        <v>1</v>
      </c>
      <c r="C326" t="s">
        <v>45</v>
      </c>
      <c r="D326">
        <v>633</v>
      </c>
    </row>
    <row r="327" spans="1:4" x14ac:dyDescent="0.3">
      <c r="A327" s="58">
        <v>46036</v>
      </c>
      <c r="B327" t="s">
        <v>1</v>
      </c>
      <c r="C327" t="s">
        <v>45</v>
      </c>
      <c r="D327">
        <v>403</v>
      </c>
    </row>
    <row r="328" spans="1:4" x14ac:dyDescent="0.3">
      <c r="A328" s="58">
        <v>46037</v>
      </c>
      <c r="B328" t="s">
        <v>1</v>
      </c>
      <c r="C328" t="s">
        <v>45</v>
      </c>
      <c r="D328">
        <v>511</v>
      </c>
    </row>
    <row r="329" spans="1:4" x14ac:dyDescent="0.3">
      <c r="A329" s="58">
        <v>46038</v>
      </c>
      <c r="B329" t="s">
        <v>1</v>
      </c>
      <c r="C329" t="s">
        <v>45</v>
      </c>
      <c r="D329">
        <v>585</v>
      </c>
    </row>
    <row r="330" spans="1:4" x14ac:dyDescent="0.3">
      <c r="A330" s="58">
        <v>46039</v>
      </c>
      <c r="B330" t="s">
        <v>1</v>
      </c>
      <c r="C330" t="s">
        <v>45</v>
      </c>
      <c r="D330">
        <v>756</v>
      </c>
    </row>
    <row r="331" spans="1:4" x14ac:dyDescent="0.3">
      <c r="A331" s="58">
        <v>46040</v>
      </c>
      <c r="B331" t="s">
        <v>1</v>
      </c>
      <c r="C331" t="s">
        <v>45</v>
      </c>
      <c r="D331">
        <v>587</v>
      </c>
    </row>
    <row r="332" spans="1:4" x14ac:dyDescent="0.3">
      <c r="A332" s="58">
        <v>46041</v>
      </c>
      <c r="B332" t="s">
        <v>1</v>
      </c>
      <c r="C332" t="s">
        <v>45</v>
      </c>
      <c r="D332">
        <v>487</v>
      </c>
    </row>
    <row r="333" spans="1:4" x14ac:dyDescent="0.3">
      <c r="A333" s="58">
        <v>46042</v>
      </c>
      <c r="B333" t="s">
        <v>1</v>
      </c>
      <c r="C333" t="s">
        <v>45</v>
      </c>
      <c r="D333">
        <v>347</v>
      </c>
    </row>
    <row r="334" spans="1:4" x14ac:dyDescent="0.3">
      <c r="A334" s="58">
        <v>46043</v>
      </c>
      <c r="B334" t="s">
        <v>1</v>
      </c>
      <c r="C334" t="s">
        <v>45</v>
      </c>
      <c r="D334">
        <v>583</v>
      </c>
    </row>
    <row r="335" spans="1:4" x14ac:dyDescent="0.3">
      <c r="A335" s="58">
        <v>46044</v>
      </c>
      <c r="B335" t="s">
        <v>1</v>
      </c>
      <c r="C335" t="s">
        <v>45</v>
      </c>
      <c r="D335">
        <v>418</v>
      </c>
    </row>
    <row r="336" spans="1:4" x14ac:dyDescent="0.3">
      <c r="A336" s="58">
        <v>46045</v>
      </c>
      <c r="B336" t="s">
        <v>1</v>
      </c>
      <c r="C336" t="s">
        <v>45</v>
      </c>
      <c r="D336">
        <v>520</v>
      </c>
    </row>
    <row r="337" spans="1:4" x14ac:dyDescent="0.3">
      <c r="A337" s="58">
        <v>46046</v>
      </c>
      <c r="B337" t="s">
        <v>1</v>
      </c>
      <c r="C337" t="s">
        <v>45</v>
      </c>
      <c r="D337">
        <v>452</v>
      </c>
    </row>
    <row r="338" spans="1:4" x14ac:dyDescent="0.3">
      <c r="A338" s="58">
        <v>46047</v>
      </c>
      <c r="B338" t="s">
        <v>1</v>
      </c>
      <c r="C338" t="s">
        <v>45</v>
      </c>
      <c r="D338">
        <v>749</v>
      </c>
    </row>
    <row r="339" spans="1:4" x14ac:dyDescent="0.3">
      <c r="A339" s="58">
        <v>46048</v>
      </c>
      <c r="B339" t="s">
        <v>1</v>
      </c>
      <c r="C339" t="s">
        <v>45</v>
      </c>
      <c r="D339">
        <v>771</v>
      </c>
    </row>
    <row r="340" spans="1:4" x14ac:dyDescent="0.3">
      <c r="A340" s="58">
        <v>46049</v>
      </c>
      <c r="B340" t="s">
        <v>1</v>
      </c>
      <c r="C340" t="s">
        <v>45</v>
      </c>
      <c r="D340">
        <v>283</v>
      </c>
    </row>
    <row r="341" spans="1:4" x14ac:dyDescent="0.3">
      <c r="A341" s="58">
        <v>46050</v>
      </c>
      <c r="B341" t="s">
        <v>1</v>
      </c>
      <c r="C341" t="s">
        <v>45</v>
      </c>
      <c r="D341">
        <v>359</v>
      </c>
    </row>
    <row r="342" spans="1:4" x14ac:dyDescent="0.3">
      <c r="A342" s="58">
        <v>46051</v>
      </c>
      <c r="B342" t="s">
        <v>1</v>
      </c>
      <c r="C342" t="s">
        <v>45</v>
      </c>
      <c r="D342">
        <v>390</v>
      </c>
    </row>
    <row r="343" spans="1:4" x14ac:dyDescent="0.3">
      <c r="A343" s="58">
        <v>46052</v>
      </c>
      <c r="B343" t="s">
        <v>1</v>
      </c>
      <c r="C343" t="s">
        <v>45</v>
      </c>
      <c r="D343">
        <v>302</v>
      </c>
    </row>
    <row r="344" spans="1:4" x14ac:dyDescent="0.3">
      <c r="A344" s="58">
        <v>46053</v>
      </c>
      <c r="B344" t="s">
        <v>1</v>
      </c>
      <c r="C344" t="s">
        <v>45</v>
      </c>
      <c r="D344">
        <v>566</v>
      </c>
    </row>
    <row r="345" spans="1:4" x14ac:dyDescent="0.3">
      <c r="A345" s="58">
        <v>46023</v>
      </c>
      <c r="B345" t="s">
        <v>2</v>
      </c>
      <c r="C345" t="s">
        <v>45</v>
      </c>
      <c r="D345">
        <v>112</v>
      </c>
    </row>
    <row r="346" spans="1:4" x14ac:dyDescent="0.3">
      <c r="A346" s="58">
        <v>46024</v>
      </c>
      <c r="B346" t="s">
        <v>2</v>
      </c>
      <c r="C346" t="s">
        <v>45</v>
      </c>
      <c r="D346">
        <v>251</v>
      </c>
    </row>
    <row r="347" spans="1:4" x14ac:dyDescent="0.3">
      <c r="A347" s="58">
        <v>46025</v>
      </c>
      <c r="B347" t="s">
        <v>2</v>
      </c>
      <c r="C347" t="s">
        <v>45</v>
      </c>
      <c r="D347">
        <v>181</v>
      </c>
    </row>
    <row r="348" spans="1:4" x14ac:dyDescent="0.3">
      <c r="A348" s="58">
        <v>46026</v>
      </c>
      <c r="B348" t="s">
        <v>2</v>
      </c>
      <c r="C348" t="s">
        <v>45</v>
      </c>
      <c r="D348">
        <v>253</v>
      </c>
    </row>
    <row r="349" spans="1:4" x14ac:dyDescent="0.3">
      <c r="A349" s="58">
        <v>46027</v>
      </c>
      <c r="B349" t="s">
        <v>2</v>
      </c>
      <c r="C349" t="s">
        <v>45</v>
      </c>
      <c r="D349">
        <v>199</v>
      </c>
    </row>
    <row r="350" spans="1:4" x14ac:dyDescent="0.3">
      <c r="A350" s="58">
        <v>46028</v>
      </c>
      <c r="B350" t="s">
        <v>2</v>
      </c>
      <c r="C350" t="s">
        <v>45</v>
      </c>
      <c r="D350">
        <v>104</v>
      </c>
    </row>
    <row r="351" spans="1:4" x14ac:dyDescent="0.3">
      <c r="A351" s="58">
        <v>46029</v>
      </c>
      <c r="B351" t="s">
        <v>2</v>
      </c>
      <c r="C351" t="s">
        <v>45</v>
      </c>
      <c r="D351">
        <v>286</v>
      </c>
    </row>
    <row r="352" spans="1:4" x14ac:dyDescent="0.3">
      <c r="A352" s="58">
        <v>46030</v>
      </c>
      <c r="B352" t="s">
        <v>2</v>
      </c>
      <c r="C352" t="s">
        <v>45</v>
      </c>
      <c r="D352">
        <v>128</v>
      </c>
    </row>
    <row r="353" spans="1:4" x14ac:dyDescent="0.3">
      <c r="A353" s="58">
        <v>46031</v>
      </c>
      <c r="B353" t="s">
        <v>2</v>
      </c>
      <c r="C353" t="s">
        <v>45</v>
      </c>
      <c r="D353">
        <v>239</v>
      </c>
    </row>
    <row r="354" spans="1:4" x14ac:dyDescent="0.3">
      <c r="A354" s="58">
        <v>46032</v>
      </c>
      <c r="B354" t="s">
        <v>2</v>
      </c>
      <c r="C354" t="s">
        <v>45</v>
      </c>
      <c r="D354">
        <v>138</v>
      </c>
    </row>
    <row r="355" spans="1:4" x14ac:dyDescent="0.3">
      <c r="A355" s="58">
        <v>46033</v>
      </c>
      <c r="B355" t="s">
        <v>2</v>
      </c>
      <c r="C355" t="s">
        <v>45</v>
      </c>
      <c r="D355">
        <v>126</v>
      </c>
    </row>
    <row r="356" spans="1:4" x14ac:dyDescent="0.3">
      <c r="A356" s="58">
        <v>46034</v>
      </c>
      <c r="B356" t="s">
        <v>2</v>
      </c>
      <c r="C356" t="s">
        <v>45</v>
      </c>
      <c r="D356">
        <v>261</v>
      </c>
    </row>
    <row r="357" spans="1:4" x14ac:dyDescent="0.3">
      <c r="A357" s="58">
        <v>46035</v>
      </c>
      <c r="B357" t="s">
        <v>2</v>
      </c>
      <c r="C357" t="s">
        <v>45</v>
      </c>
      <c r="D357">
        <v>184</v>
      </c>
    </row>
    <row r="358" spans="1:4" x14ac:dyDescent="0.3">
      <c r="A358" s="58">
        <v>46036</v>
      </c>
      <c r="B358" t="s">
        <v>2</v>
      </c>
      <c r="C358" t="s">
        <v>45</v>
      </c>
      <c r="D358">
        <v>254</v>
      </c>
    </row>
    <row r="359" spans="1:4" x14ac:dyDescent="0.3">
      <c r="A359" s="58">
        <v>46037</v>
      </c>
      <c r="B359" t="s">
        <v>2</v>
      </c>
      <c r="C359" t="s">
        <v>45</v>
      </c>
      <c r="D359">
        <v>190</v>
      </c>
    </row>
    <row r="360" spans="1:4" x14ac:dyDescent="0.3">
      <c r="A360" s="58">
        <v>46038</v>
      </c>
      <c r="B360" t="s">
        <v>2</v>
      </c>
      <c r="C360" t="s">
        <v>45</v>
      </c>
      <c r="D360">
        <v>185</v>
      </c>
    </row>
    <row r="361" spans="1:4" x14ac:dyDescent="0.3">
      <c r="A361" s="58">
        <v>46039</v>
      </c>
      <c r="B361" t="s">
        <v>2</v>
      </c>
      <c r="C361" t="s">
        <v>45</v>
      </c>
      <c r="D361">
        <v>237</v>
      </c>
    </row>
    <row r="362" spans="1:4" x14ac:dyDescent="0.3">
      <c r="A362" s="58">
        <v>46040</v>
      </c>
      <c r="B362" t="s">
        <v>2</v>
      </c>
      <c r="C362" t="s">
        <v>45</v>
      </c>
      <c r="D362">
        <v>128</v>
      </c>
    </row>
    <row r="363" spans="1:4" x14ac:dyDescent="0.3">
      <c r="A363" s="58">
        <v>46041</v>
      </c>
      <c r="B363" t="s">
        <v>2</v>
      </c>
      <c r="C363" t="s">
        <v>45</v>
      </c>
      <c r="D363">
        <v>261</v>
      </c>
    </row>
    <row r="364" spans="1:4" x14ac:dyDescent="0.3">
      <c r="A364" s="58">
        <v>46042</v>
      </c>
      <c r="B364" t="s">
        <v>2</v>
      </c>
      <c r="C364" t="s">
        <v>45</v>
      </c>
      <c r="D364">
        <v>111</v>
      </c>
    </row>
    <row r="365" spans="1:4" x14ac:dyDescent="0.3">
      <c r="A365" s="58">
        <v>46043</v>
      </c>
      <c r="B365" t="s">
        <v>2</v>
      </c>
      <c r="C365" t="s">
        <v>45</v>
      </c>
      <c r="D365">
        <v>240</v>
      </c>
    </row>
    <row r="366" spans="1:4" x14ac:dyDescent="0.3">
      <c r="A366" s="58">
        <v>46044</v>
      </c>
      <c r="B366" t="s">
        <v>2</v>
      </c>
      <c r="C366" t="s">
        <v>45</v>
      </c>
      <c r="D366">
        <v>165</v>
      </c>
    </row>
    <row r="367" spans="1:4" x14ac:dyDescent="0.3">
      <c r="A367" s="58">
        <v>46045</v>
      </c>
      <c r="B367" t="s">
        <v>2</v>
      </c>
      <c r="C367" t="s">
        <v>45</v>
      </c>
      <c r="D367">
        <v>190</v>
      </c>
    </row>
    <row r="368" spans="1:4" x14ac:dyDescent="0.3">
      <c r="A368" s="58">
        <v>46046</v>
      </c>
      <c r="B368" t="s">
        <v>2</v>
      </c>
      <c r="C368" t="s">
        <v>45</v>
      </c>
      <c r="D368">
        <v>148</v>
      </c>
    </row>
    <row r="369" spans="1:4" x14ac:dyDescent="0.3">
      <c r="A369" s="58">
        <v>46047</v>
      </c>
      <c r="B369" t="s">
        <v>2</v>
      </c>
      <c r="C369" t="s">
        <v>45</v>
      </c>
      <c r="D369">
        <v>197</v>
      </c>
    </row>
    <row r="370" spans="1:4" x14ac:dyDescent="0.3">
      <c r="A370" s="58">
        <v>46048</v>
      </c>
      <c r="B370" t="s">
        <v>2</v>
      </c>
      <c r="C370" t="s">
        <v>45</v>
      </c>
      <c r="D370">
        <v>115</v>
      </c>
    </row>
    <row r="371" spans="1:4" x14ac:dyDescent="0.3">
      <c r="A371" s="58">
        <v>46049</v>
      </c>
      <c r="B371" t="s">
        <v>2</v>
      </c>
      <c r="C371" t="s">
        <v>45</v>
      </c>
      <c r="D371">
        <v>103</v>
      </c>
    </row>
    <row r="372" spans="1:4" x14ac:dyDescent="0.3">
      <c r="A372" s="58">
        <v>46050</v>
      </c>
      <c r="B372" t="s">
        <v>2</v>
      </c>
      <c r="C372" t="s">
        <v>45</v>
      </c>
      <c r="D372">
        <v>113</v>
      </c>
    </row>
    <row r="373" spans="1:4" x14ac:dyDescent="0.3">
      <c r="A373" s="58">
        <v>46051</v>
      </c>
      <c r="B373" t="s">
        <v>2</v>
      </c>
      <c r="C373" t="s">
        <v>45</v>
      </c>
      <c r="D373">
        <v>220</v>
      </c>
    </row>
    <row r="374" spans="1:4" x14ac:dyDescent="0.3">
      <c r="A374" s="58">
        <v>46052</v>
      </c>
      <c r="B374" t="s">
        <v>2</v>
      </c>
      <c r="C374" t="s">
        <v>45</v>
      </c>
      <c r="D374">
        <v>242</v>
      </c>
    </row>
    <row r="375" spans="1:4" x14ac:dyDescent="0.3">
      <c r="A375" s="58">
        <v>46053</v>
      </c>
      <c r="B375" t="s">
        <v>2</v>
      </c>
      <c r="C375" t="s">
        <v>45</v>
      </c>
      <c r="D375">
        <v>267</v>
      </c>
    </row>
    <row r="376" spans="1:4" x14ac:dyDescent="0.3">
      <c r="A376" s="58">
        <v>46023</v>
      </c>
      <c r="B376" t="s">
        <v>0</v>
      </c>
      <c r="C376" t="s">
        <v>46</v>
      </c>
      <c r="D376">
        <v>90</v>
      </c>
    </row>
    <row r="377" spans="1:4" x14ac:dyDescent="0.3">
      <c r="A377" s="58">
        <v>46024</v>
      </c>
      <c r="B377" t="s">
        <v>0</v>
      </c>
      <c r="C377" t="s">
        <v>46</v>
      </c>
      <c r="D377">
        <v>100</v>
      </c>
    </row>
    <row r="378" spans="1:4" x14ac:dyDescent="0.3">
      <c r="A378" s="58">
        <v>46025</v>
      </c>
      <c r="B378" t="s">
        <v>0</v>
      </c>
      <c r="C378" t="s">
        <v>46</v>
      </c>
      <c r="D378">
        <v>30</v>
      </c>
    </row>
    <row r="379" spans="1:4" x14ac:dyDescent="0.3">
      <c r="A379" s="58">
        <v>46026</v>
      </c>
      <c r="B379" t="s">
        <v>0</v>
      </c>
      <c r="C379" t="s">
        <v>46</v>
      </c>
      <c r="D379">
        <v>100</v>
      </c>
    </row>
    <row r="380" spans="1:4" x14ac:dyDescent="0.3">
      <c r="A380" s="58">
        <v>46027</v>
      </c>
      <c r="B380" t="s">
        <v>0</v>
      </c>
      <c r="C380" t="s">
        <v>46</v>
      </c>
      <c r="D380">
        <v>92</v>
      </c>
    </row>
    <row r="381" spans="1:4" x14ac:dyDescent="0.3">
      <c r="A381" s="58">
        <v>46028</v>
      </c>
      <c r="B381" t="s">
        <v>0</v>
      </c>
      <c r="C381" t="s">
        <v>46</v>
      </c>
      <c r="D381">
        <v>67</v>
      </c>
    </row>
    <row r="382" spans="1:4" x14ac:dyDescent="0.3">
      <c r="A382" s="58">
        <v>46029</v>
      </c>
      <c r="B382" t="s">
        <v>0</v>
      </c>
      <c r="C382" t="s">
        <v>46</v>
      </c>
      <c r="D382">
        <v>31</v>
      </c>
    </row>
    <row r="383" spans="1:4" x14ac:dyDescent="0.3">
      <c r="A383" s="58">
        <v>46030</v>
      </c>
      <c r="B383" t="s">
        <v>0</v>
      </c>
      <c r="C383" t="s">
        <v>46</v>
      </c>
      <c r="D383">
        <v>79</v>
      </c>
    </row>
    <row r="384" spans="1:4" x14ac:dyDescent="0.3">
      <c r="A384" s="58">
        <v>46031</v>
      </c>
      <c r="B384" t="s">
        <v>0</v>
      </c>
      <c r="C384" t="s">
        <v>46</v>
      </c>
      <c r="D384">
        <v>117</v>
      </c>
    </row>
    <row r="385" spans="1:4" x14ac:dyDescent="0.3">
      <c r="A385" s="58">
        <v>46032</v>
      </c>
      <c r="B385" t="s">
        <v>0</v>
      </c>
      <c r="C385" t="s">
        <v>46</v>
      </c>
      <c r="D385">
        <v>119</v>
      </c>
    </row>
    <row r="386" spans="1:4" x14ac:dyDescent="0.3">
      <c r="A386" s="58">
        <v>46033</v>
      </c>
      <c r="B386" t="s">
        <v>0</v>
      </c>
      <c r="C386" t="s">
        <v>46</v>
      </c>
      <c r="D386">
        <v>80</v>
      </c>
    </row>
    <row r="387" spans="1:4" x14ac:dyDescent="0.3">
      <c r="A387" s="58">
        <v>46034</v>
      </c>
      <c r="B387" t="s">
        <v>0</v>
      </c>
      <c r="C387" t="s">
        <v>46</v>
      </c>
      <c r="D387">
        <v>59</v>
      </c>
    </row>
    <row r="388" spans="1:4" x14ac:dyDescent="0.3">
      <c r="A388" s="58">
        <v>46035</v>
      </c>
      <c r="B388" t="s">
        <v>0</v>
      </c>
      <c r="C388" t="s">
        <v>46</v>
      </c>
      <c r="D388">
        <v>89</v>
      </c>
    </row>
    <row r="389" spans="1:4" x14ac:dyDescent="0.3">
      <c r="A389" s="58">
        <v>46036</v>
      </c>
      <c r="B389" t="s">
        <v>0</v>
      </c>
      <c r="C389" t="s">
        <v>46</v>
      </c>
      <c r="D389">
        <v>107</v>
      </c>
    </row>
    <row r="390" spans="1:4" x14ac:dyDescent="0.3">
      <c r="A390" s="58">
        <v>46037</v>
      </c>
      <c r="B390" t="s">
        <v>0</v>
      </c>
      <c r="C390" t="s">
        <v>46</v>
      </c>
      <c r="D390">
        <v>90</v>
      </c>
    </row>
    <row r="391" spans="1:4" x14ac:dyDescent="0.3">
      <c r="A391" s="58">
        <v>46038</v>
      </c>
      <c r="B391" t="s">
        <v>0</v>
      </c>
      <c r="C391" t="s">
        <v>46</v>
      </c>
      <c r="D391">
        <v>83</v>
      </c>
    </row>
    <row r="392" spans="1:4" x14ac:dyDescent="0.3">
      <c r="A392" s="58">
        <v>46039</v>
      </c>
      <c r="B392" t="s">
        <v>0</v>
      </c>
      <c r="C392" t="s">
        <v>46</v>
      </c>
      <c r="D392">
        <v>30</v>
      </c>
    </row>
    <row r="393" spans="1:4" x14ac:dyDescent="0.3">
      <c r="A393" s="58">
        <v>46040</v>
      </c>
      <c r="B393" t="s">
        <v>0</v>
      </c>
      <c r="C393" t="s">
        <v>46</v>
      </c>
      <c r="D393">
        <v>115</v>
      </c>
    </row>
    <row r="394" spans="1:4" x14ac:dyDescent="0.3">
      <c r="A394" s="58">
        <v>46041</v>
      </c>
      <c r="B394" t="s">
        <v>0</v>
      </c>
      <c r="C394" t="s">
        <v>46</v>
      </c>
      <c r="D394">
        <v>95</v>
      </c>
    </row>
    <row r="395" spans="1:4" x14ac:dyDescent="0.3">
      <c r="A395" s="58">
        <v>46042</v>
      </c>
      <c r="B395" t="s">
        <v>0</v>
      </c>
      <c r="C395" t="s">
        <v>46</v>
      </c>
      <c r="D395">
        <v>71</v>
      </c>
    </row>
    <row r="396" spans="1:4" x14ac:dyDescent="0.3">
      <c r="A396" s="58">
        <v>46043</v>
      </c>
      <c r="B396" t="s">
        <v>0</v>
      </c>
      <c r="C396" t="s">
        <v>46</v>
      </c>
      <c r="D396">
        <v>119</v>
      </c>
    </row>
    <row r="397" spans="1:4" x14ac:dyDescent="0.3">
      <c r="A397" s="58">
        <v>46044</v>
      </c>
      <c r="B397" t="s">
        <v>0</v>
      </c>
      <c r="C397" t="s">
        <v>46</v>
      </c>
      <c r="D397">
        <v>113</v>
      </c>
    </row>
    <row r="398" spans="1:4" x14ac:dyDescent="0.3">
      <c r="A398" s="58">
        <v>46045</v>
      </c>
      <c r="B398" t="s">
        <v>0</v>
      </c>
      <c r="C398" t="s">
        <v>46</v>
      </c>
      <c r="D398">
        <v>81</v>
      </c>
    </row>
    <row r="399" spans="1:4" x14ac:dyDescent="0.3">
      <c r="A399" s="58">
        <v>46046</v>
      </c>
      <c r="B399" t="s">
        <v>0</v>
      </c>
      <c r="C399" t="s">
        <v>46</v>
      </c>
      <c r="D399">
        <v>28</v>
      </c>
    </row>
    <row r="400" spans="1:4" x14ac:dyDescent="0.3">
      <c r="A400" s="58">
        <v>46047</v>
      </c>
      <c r="B400" t="s">
        <v>0</v>
      </c>
      <c r="C400" t="s">
        <v>46</v>
      </c>
      <c r="D400">
        <v>45</v>
      </c>
    </row>
    <row r="401" spans="1:4" x14ac:dyDescent="0.3">
      <c r="A401" s="58">
        <v>46048</v>
      </c>
      <c r="B401" t="s">
        <v>0</v>
      </c>
      <c r="C401" t="s">
        <v>46</v>
      </c>
      <c r="D401">
        <v>110</v>
      </c>
    </row>
    <row r="402" spans="1:4" x14ac:dyDescent="0.3">
      <c r="A402" s="58">
        <v>46049</v>
      </c>
      <c r="B402" t="s">
        <v>0</v>
      </c>
      <c r="C402" t="s">
        <v>46</v>
      </c>
      <c r="D402">
        <v>61</v>
      </c>
    </row>
    <row r="403" spans="1:4" x14ac:dyDescent="0.3">
      <c r="A403" s="58">
        <v>46050</v>
      </c>
      <c r="B403" t="s">
        <v>0</v>
      </c>
      <c r="C403" t="s">
        <v>46</v>
      </c>
      <c r="D403">
        <v>54</v>
      </c>
    </row>
    <row r="404" spans="1:4" x14ac:dyDescent="0.3">
      <c r="A404" s="58">
        <v>46051</v>
      </c>
      <c r="B404" t="s">
        <v>0</v>
      </c>
      <c r="C404" t="s">
        <v>46</v>
      </c>
      <c r="D404">
        <v>73</v>
      </c>
    </row>
    <row r="405" spans="1:4" x14ac:dyDescent="0.3">
      <c r="A405" s="58">
        <v>46052</v>
      </c>
      <c r="B405" t="s">
        <v>0</v>
      </c>
      <c r="C405" t="s">
        <v>46</v>
      </c>
      <c r="D405">
        <v>49</v>
      </c>
    </row>
    <row r="406" spans="1:4" x14ac:dyDescent="0.3">
      <c r="A406" s="58">
        <v>46053</v>
      </c>
      <c r="B406" t="s">
        <v>0</v>
      </c>
      <c r="C406" t="s">
        <v>46</v>
      </c>
      <c r="D406">
        <v>81</v>
      </c>
    </row>
    <row r="407" spans="1:4" x14ac:dyDescent="0.3">
      <c r="A407" s="58">
        <v>46023</v>
      </c>
      <c r="B407" t="s">
        <v>1</v>
      </c>
      <c r="C407" t="s">
        <v>46</v>
      </c>
      <c r="D407">
        <v>316</v>
      </c>
    </row>
    <row r="408" spans="1:4" x14ac:dyDescent="0.3">
      <c r="A408" s="58">
        <v>46024</v>
      </c>
      <c r="B408" t="s">
        <v>1</v>
      </c>
      <c r="C408" t="s">
        <v>46</v>
      </c>
      <c r="D408">
        <v>433</v>
      </c>
    </row>
    <row r="409" spans="1:4" x14ac:dyDescent="0.3">
      <c r="A409" s="58">
        <v>46025</v>
      </c>
      <c r="B409" t="s">
        <v>1</v>
      </c>
      <c r="C409" t="s">
        <v>46</v>
      </c>
      <c r="D409">
        <v>632</v>
      </c>
    </row>
    <row r="410" spans="1:4" x14ac:dyDescent="0.3">
      <c r="A410" s="58">
        <v>46026</v>
      </c>
      <c r="B410" t="s">
        <v>1</v>
      </c>
      <c r="C410" t="s">
        <v>46</v>
      </c>
      <c r="D410">
        <v>747</v>
      </c>
    </row>
    <row r="411" spans="1:4" x14ac:dyDescent="0.3">
      <c r="A411" s="58">
        <v>46027</v>
      </c>
      <c r="B411" t="s">
        <v>1</v>
      </c>
      <c r="C411" t="s">
        <v>46</v>
      </c>
      <c r="D411">
        <v>688</v>
      </c>
    </row>
    <row r="412" spans="1:4" x14ac:dyDescent="0.3">
      <c r="A412" s="58">
        <v>46028</v>
      </c>
      <c r="B412" t="s">
        <v>1</v>
      </c>
      <c r="C412" t="s">
        <v>46</v>
      </c>
      <c r="D412">
        <v>300</v>
      </c>
    </row>
    <row r="413" spans="1:4" x14ac:dyDescent="0.3">
      <c r="A413" s="58">
        <v>46029</v>
      </c>
      <c r="B413" t="s">
        <v>1</v>
      </c>
      <c r="C413" t="s">
        <v>46</v>
      </c>
      <c r="D413">
        <v>367</v>
      </c>
    </row>
    <row r="414" spans="1:4" x14ac:dyDescent="0.3">
      <c r="A414" s="58">
        <v>46030</v>
      </c>
      <c r="B414" t="s">
        <v>1</v>
      </c>
      <c r="C414" t="s">
        <v>46</v>
      </c>
      <c r="D414">
        <v>250</v>
      </c>
    </row>
    <row r="415" spans="1:4" x14ac:dyDescent="0.3">
      <c r="A415" s="58">
        <v>46031</v>
      </c>
      <c r="B415" t="s">
        <v>1</v>
      </c>
      <c r="C415" t="s">
        <v>46</v>
      </c>
      <c r="D415">
        <v>711</v>
      </c>
    </row>
    <row r="416" spans="1:4" x14ac:dyDescent="0.3">
      <c r="A416" s="58">
        <v>46032</v>
      </c>
      <c r="B416" t="s">
        <v>1</v>
      </c>
      <c r="C416" t="s">
        <v>46</v>
      </c>
      <c r="D416">
        <v>508</v>
      </c>
    </row>
    <row r="417" spans="1:4" x14ac:dyDescent="0.3">
      <c r="A417" s="58">
        <v>46033</v>
      </c>
      <c r="B417" t="s">
        <v>1</v>
      </c>
      <c r="C417" t="s">
        <v>46</v>
      </c>
      <c r="D417">
        <v>403</v>
      </c>
    </row>
    <row r="418" spans="1:4" x14ac:dyDescent="0.3">
      <c r="A418" s="58">
        <v>46034</v>
      </c>
      <c r="B418" t="s">
        <v>1</v>
      </c>
      <c r="C418" t="s">
        <v>46</v>
      </c>
      <c r="D418">
        <v>310</v>
      </c>
    </row>
    <row r="419" spans="1:4" x14ac:dyDescent="0.3">
      <c r="A419" s="58">
        <v>46035</v>
      </c>
      <c r="B419" t="s">
        <v>1</v>
      </c>
      <c r="C419" t="s">
        <v>46</v>
      </c>
      <c r="D419">
        <v>339</v>
      </c>
    </row>
    <row r="420" spans="1:4" x14ac:dyDescent="0.3">
      <c r="A420" s="58">
        <v>46036</v>
      </c>
      <c r="B420" t="s">
        <v>1</v>
      </c>
      <c r="C420" t="s">
        <v>46</v>
      </c>
      <c r="D420">
        <v>727</v>
      </c>
    </row>
    <row r="421" spans="1:4" x14ac:dyDescent="0.3">
      <c r="A421" s="58">
        <v>46037</v>
      </c>
      <c r="B421" t="s">
        <v>1</v>
      </c>
      <c r="C421" t="s">
        <v>46</v>
      </c>
      <c r="D421">
        <v>399</v>
      </c>
    </row>
    <row r="422" spans="1:4" x14ac:dyDescent="0.3">
      <c r="A422" s="58">
        <v>46038</v>
      </c>
      <c r="B422" t="s">
        <v>1</v>
      </c>
      <c r="C422" t="s">
        <v>46</v>
      </c>
      <c r="D422">
        <v>707</v>
      </c>
    </row>
    <row r="423" spans="1:4" x14ac:dyDescent="0.3">
      <c r="A423" s="58">
        <v>46039</v>
      </c>
      <c r="B423" t="s">
        <v>1</v>
      </c>
      <c r="C423" t="s">
        <v>46</v>
      </c>
      <c r="D423">
        <v>409</v>
      </c>
    </row>
    <row r="424" spans="1:4" x14ac:dyDescent="0.3">
      <c r="A424" s="58">
        <v>46040</v>
      </c>
      <c r="B424" t="s">
        <v>1</v>
      </c>
      <c r="C424" t="s">
        <v>46</v>
      </c>
      <c r="D424">
        <v>281</v>
      </c>
    </row>
    <row r="425" spans="1:4" x14ac:dyDescent="0.3">
      <c r="A425" s="58">
        <v>46041</v>
      </c>
      <c r="B425" t="s">
        <v>1</v>
      </c>
      <c r="C425" t="s">
        <v>46</v>
      </c>
      <c r="D425">
        <v>426</v>
      </c>
    </row>
    <row r="426" spans="1:4" x14ac:dyDescent="0.3">
      <c r="A426" s="58">
        <v>46042</v>
      </c>
      <c r="B426" t="s">
        <v>1</v>
      </c>
      <c r="C426" t="s">
        <v>46</v>
      </c>
      <c r="D426">
        <v>760</v>
      </c>
    </row>
    <row r="427" spans="1:4" x14ac:dyDescent="0.3">
      <c r="A427" s="58">
        <v>46043</v>
      </c>
      <c r="B427" t="s">
        <v>1</v>
      </c>
      <c r="C427" t="s">
        <v>46</v>
      </c>
      <c r="D427">
        <v>471</v>
      </c>
    </row>
    <row r="428" spans="1:4" x14ac:dyDescent="0.3">
      <c r="A428" s="58">
        <v>46044</v>
      </c>
      <c r="B428" t="s">
        <v>1</v>
      </c>
      <c r="C428" t="s">
        <v>46</v>
      </c>
      <c r="D428">
        <v>664</v>
      </c>
    </row>
    <row r="429" spans="1:4" x14ac:dyDescent="0.3">
      <c r="A429" s="58">
        <v>46045</v>
      </c>
      <c r="B429" t="s">
        <v>1</v>
      </c>
      <c r="C429" t="s">
        <v>46</v>
      </c>
      <c r="D429">
        <v>585</v>
      </c>
    </row>
    <row r="430" spans="1:4" x14ac:dyDescent="0.3">
      <c r="A430" s="58">
        <v>46046</v>
      </c>
      <c r="B430" t="s">
        <v>1</v>
      </c>
      <c r="C430" t="s">
        <v>46</v>
      </c>
      <c r="D430">
        <v>567</v>
      </c>
    </row>
    <row r="431" spans="1:4" x14ac:dyDescent="0.3">
      <c r="A431" s="58">
        <v>46047</v>
      </c>
      <c r="B431" t="s">
        <v>1</v>
      </c>
      <c r="C431" t="s">
        <v>46</v>
      </c>
      <c r="D431">
        <v>750</v>
      </c>
    </row>
    <row r="432" spans="1:4" x14ac:dyDescent="0.3">
      <c r="A432" s="58">
        <v>46048</v>
      </c>
      <c r="B432" t="s">
        <v>1</v>
      </c>
      <c r="C432" t="s">
        <v>46</v>
      </c>
      <c r="D432">
        <v>306</v>
      </c>
    </row>
    <row r="433" spans="1:4" x14ac:dyDescent="0.3">
      <c r="A433" s="58">
        <v>46049</v>
      </c>
      <c r="B433" t="s">
        <v>1</v>
      </c>
      <c r="C433" t="s">
        <v>46</v>
      </c>
      <c r="D433">
        <v>322</v>
      </c>
    </row>
    <row r="434" spans="1:4" x14ac:dyDescent="0.3">
      <c r="A434" s="58">
        <v>46050</v>
      </c>
      <c r="B434" t="s">
        <v>1</v>
      </c>
      <c r="C434" t="s">
        <v>46</v>
      </c>
      <c r="D434">
        <v>516</v>
      </c>
    </row>
    <row r="435" spans="1:4" x14ac:dyDescent="0.3">
      <c r="A435" s="58">
        <v>46051</v>
      </c>
      <c r="B435" t="s">
        <v>1</v>
      </c>
      <c r="C435" t="s">
        <v>46</v>
      </c>
      <c r="D435">
        <v>631</v>
      </c>
    </row>
    <row r="436" spans="1:4" x14ac:dyDescent="0.3">
      <c r="A436" s="58">
        <v>46052</v>
      </c>
      <c r="B436" t="s">
        <v>1</v>
      </c>
      <c r="C436" t="s">
        <v>46</v>
      </c>
      <c r="D436">
        <v>550</v>
      </c>
    </row>
    <row r="437" spans="1:4" x14ac:dyDescent="0.3">
      <c r="A437" s="58">
        <v>46053</v>
      </c>
      <c r="B437" t="s">
        <v>1</v>
      </c>
      <c r="C437" t="s">
        <v>46</v>
      </c>
      <c r="D437">
        <v>261</v>
      </c>
    </row>
    <row r="438" spans="1:4" x14ac:dyDescent="0.3">
      <c r="A438" s="58">
        <v>46023</v>
      </c>
      <c r="B438" t="s">
        <v>2</v>
      </c>
      <c r="C438" t="s">
        <v>46</v>
      </c>
      <c r="D438">
        <v>274</v>
      </c>
    </row>
    <row r="439" spans="1:4" x14ac:dyDescent="0.3">
      <c r="A439" s="58">
        <v>46024</v>
      </c>
      <c r="B439" t="s">
        <v>2</v>
      </c>
      <c r="C439" t="s">
        <v>46</v>
      </c>
      <c r="D439">
        <v>271</v>
      </c>
    </row>
    <row r="440" spans="1:4" x14ac:dyDescent="0.3">
      <c r="A440" s="58">
        <v>46025</v>
      </c>
      <c r="B440" t="s">
        <v>2</v>
      </c>
      <c r="C440" t="s">
        <v>46</v>
      </c>
      <c r="D440">
        <v>272</v>
      </c>
    </row>
    <row r="441" spans="1:4" x14ac:dyDescent="0.3">
      <c r="A441" s="58">
        <v>46026</v>
      </c>
      <c r="B441" t="s">
        <v>2</v>
      </c>
      <c r="C441" t="s">
        <v>46</v>
      </c>
      <c r="D441">
        <v>181</v>
      </c>
    </row>
    <row r="442" spans="1:4" x14ac:dyDescent="0.3">
      <c r="A442" s="58">
        <v>46027</v>
      </c>
      <c r="B442" t="s">
        <v>2</v>
      </c>
      <c r="C442" t="s">
        <v>46</v>
      </c>
      <c r="D442">
        <v>183</v>
      </c>
    </row>
    <row r="443" spans="1:4" x14ac:dyDescent="0.3">
      <c r="A443" s="58">
        <v>46028</v>
      </c>
      <c r="B443" t="s">
        <v>2</v>
      </c>
      <c r="C443" t="s">
        <v>46</v>
      </c>
      <c r="D443">
        <v>169</v>
      </c>
    </row>
    <row r="444" spans="1:4" x14ac:dyDescent="0.3">
      <c r="A444" s="58">
        <v>46029</v>
      </c>
      <c r="B444" t="s">
        <v>2</v>
      </c>
      <c r="C444" t="s">
        <v>46</v>
      </c>
      <c r="D444">
        <v>165</v>
      </c>
    </row>
    <row r="445" spans="1:4" x14ac:dyDescent="0.3">
      <c r="A445" s="58">
        <v>46030</v>
      </c>
      <c r="B445" t="s">
        <v>2</v>
      </c>
      <c r="C445" t="s">
        <v>46</v>
      </c>
      <c r="D445">
        <v>233</v>
      </c>
    </row>
    <row r="446" spans="1:4" x14ac:dyDescent="0.3">
      <c r="A446" s="58">
        <v>46031</v>
      </c>
      <c r="B446" t="s">
        <v>2</v>
      </c>
      <c r="C446" t="s">
        <v>46</v>
      </c>
      <c r="D446">
        <v>165</v>
      </c>
    </row>
    <row r="447" spans="1:4" x14ac:dyDescent="0.3">
      <c r="A447" s="58">
        <v>46032</v>
      </c>
      <c r="B447" t="s">
        <v>2</v>
      </c>
      <c r="C447" t="s">
        <v>46</v>
      </c>
      <c r="D447">
        <v>178</v>
      </c>
    </row>
    <row r="448" spans="1:4" x14ac:dyDescent="0.3">
      <c r="A448" s="58">
        <v>46033</v>
      </c>
      <c r="B448" t="s">
        <v>2</v>
      </c>
      <c r="C448" t="s">
        <v>46</v>
      </c>
      <c r="D448">
        <v>284</v>
      </c>
    </row>
    <row r="449" spans="1:4" x14ac:dyDescent="0.3">
      <c r="A449" s="58">
        <v>46034</v>
      </c>
      <c r="B449" t="s">
        <v>2</v>
      </c>
      <c r="C449" t="s">
        <v>46</v>
      </c>
      <c r="D449">
        <v>197</v>
      </c>
    </row>
    <row r="450" spans="1:4" x14ac:dyDescent="0.3">
      <c r="A450" s="58">
        <v>46035</v>
      </c>
      <c r="B450" t="s">
        <v>2</v>
      </c>
      <c r="C450" t="s">
        <v>46</v>
      </c>
      <c r="D450">
        <v>105</v>
      </c>
    </row>
    <row r="451" spans="1:4" x14ac:dyDescent="0.3">
      <c r="A451" s="58">
        <v>46036</v>
      </c>
      <c r="B451" t="s">
        <v>2</v>
      </c>
      <c r="C451" t="s">
        <v>46</v>
      </c>
      <c r="D451">
        <v>228</v>
      </c>
    </row>
    <row r="452" spans="1:4" x14ac:dyDescent="0.3">
      <c r="A452" s="58">
        <v>46037</v>
      </c>
      <c r="B452" t="s">
        <v>2</v>
      </c>
      <c r="C452" t="s">
        <v>46</v>
      </c>
      <c r="D452">
        <v>204</v>
      </c>
    </row>
    <row r="453" spans="1:4" x14ac:dyDescent="0.3">
      <c r="A453" s="58">
        <v>46038</v>
      </c>
      <c r="B453" t="s">
        <v>2</v>
      </c>
      <c r="C453" t="s">
        <v>46</v>
      </c>
      <c r="D453">
        <v>294</v>
      </c>
    </row>
    <row r="454" spans="1:4" x14ac:dyDescent="0.3">
      <c r="A454" s="58">
        <v>46039</v>
      </c>
      <c r="B454" t="s">
        <v>2</v>
      </c>
      <c r="C454" t="s">
        <v>46</v>
      </c>
      <c r="D454">
        <v>281</v>
      </c>
    </row>
    <row r="455" spans="1:4" x14ac:dyDescent="0.3">
      <c r="A455" s="58">
        <v>46040</v>
      </c>
      <c r="B455" t="s">
        <v>2</v>
      </c>
      <c r="C455" t="s">
        <v>46</v>
      </c>
      <c r="D455">
        <v>239</v>
      </c>
    </row>
    <row r="456" spans="1:4" x14ac:dyDescent="0.3">
      <c r="A456" s="58">
        <v>46041</v>
      </c>
      <c r="B456" t="s">
        <v>2</v>
      </c>
      <c r="C456" t="s">
        <v>46</v>
      </c>
      <c r="D456">
        <v>277</v>
      </c>
    </row>
    <row r="457" spans="1:4" x14ac:dyDescent="0.3">
      <c r="A457" s="58">
        <v>46042</v>
      </c>
      <c r="B457" t="s">
        <v>2</v>
      </c>
      <c r="C457" t="s">
        <v>46</v>
      </c>
      <c r="D457">
        <v>271</v>
      </c>
    </row>
    <row r="458" spans="1:4" x14ac:dyDescent="0.3">
      <c r="A458" s="58">
        <v>46043</v>
      </c>
      <c r="B458" t="s">
        <v>2</v>
      </c>
      <c r="C458" t="s">
        <v>46</v>
      </c>
      <c r="D458">
        <v>300</v>
      </c>
    </row>
    <row r="459" spans="1:4" x14ac:dyDescent="0.3">
      <c r="A459" s="58">
        <v>46044</v>
      </c>
      <c r="B459" t="s">
        <v>2</v>
      </c>
      <c r="C459" t="s">
        <v>46</v>
      </c>
      <c r="D459">
        <v>247</v>
      </c>
    </row>
    <row r="460" spans="1:4" x14ac:dyDescent="0.3">
      <c r="A460" s="58">
        <v>46045</v>
      </c>
      <c r="B460" t="s">
        <v>2</v>
      </c>
      <c r="C460" t="s">
        <v>46</v>
      </c>
      <c r="D460">
        <v>105</v>
      </c>
    </row>
    <row r="461" spans="1:4" x14ac:dyDescent="0.3">
      <c r="A461" s="58">
        <v>46046</v>
      </c>
      <c r="B461" t="s">
        <v>2</v>
      </c>
      <c r="C461" t="s">
        <v>46</v>
      </c>
      <c r="D461">
        <v>178</v>
      </c>
    </row>
    <row r="462" spans="1:4" x14ac:dyDescent="0.3">
      <c r="A462" s="58">
        <v>46047</v>
      </c>
      <c r="B462" t="s">
        <v>2</v>
      </c>
      <c r="C462" t="s">
        <v>46</v>
      </c>
      <c r="D462">
        <v>173</v>
      </c>
    </row>
    <row r="463" spans="1:4" x14ac:dyDescent="0.3">
      <c r="A463" s="58">
        <v>46048</v>
      </c>
      <c r="B463" t="s">
        <v>2</v>
      </c>
      <c r="C463" t="s">
        <v>46</v>
      </c>
      <c r="D463">
        <v>245</v>
      </c>
    </row>
    <row r="464" spans="1:4" x14ac:dyDescent="0.3">
      <c r="A464" s="58">
        <v>46049</v>
      </c>
      <c r="B464" t="s">
        <v>2</v>
      </c>
      <c r="C464" t="s">
        <v>46</v>
      </c>
      <c r="D464">
        <v>245</v>
      </c>
    </row>
    <row r="465" spans="1:4" x14ac:dyDescent="0.3">
      <c r="A465" s="58">
        <v>46050</v>
      </c>
      <c r="B465" t="s">
        <v>2</v>
      </c>
      <c r="C465" t="s">
        <v>46</v>
      </c>
      <c r="D465">
        <v>116</v>
      </c>
    </row>
    <row r="466" spans="1:4" x14ac:dyDescent="0.3">
      <c r="A466" s="58">
        <v>46051</v>
      </c>
      <c r="B466" t="s">
        <v>2</v>
      </c>
      <c r="C466" t="s">
        <v>46</v>
      </c>
      <c r="D466">
        <v>212</v>
      </c>
    </row>
    <row r="467" spans="1:4" x14ac:dyDescent="0.3">
      <c r="A467" s="58">
        <v>46052</v>
      </c>
      <c r="B467" t="s">
        <v>2</v>
      </c>
      <c r="C467" t="s">
        <v>46</v>
      </c>
      <c r="D467">
        <v>182</v>
      </c>
    </row>
    <row r="468" spans="1:4" x14ac:dyDescent="0.3">
      <c r="A468" s="58">
        <v>46053</v>
      </c>
      <c r="B468" t="s">
        <v>2</v>
      </c>
      <c r="C468" t="s">
        <v>46</v>
      </c>
      <c r="D468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7E92-5FF3-48FD-9D31-BE07DD3CF144}">
  <dimension ref="A2:G66"/>
  <sheetViews>
    <sheetView zoomScale="130" zoomScaleNormal="130" workbookViewId="0">
      <selection activeCell="F4" sqref="F4"/>
    </sheetView>
  </sheetViews>
  <sheetFormatPr defaultRowHeight="14.4" x14ac:dyDescent="0.3"/>
  <cols>
    <col min="1" max="1" width="10.33203125" style="1" bestFit="1" customWidth="1"/>
    <col min="2" max="2" width="11.33203125" style="1" bestFit="1" customWidth="1"/>
    <col min="3" max="4" width="8.88671875" style="1"/>
    <col min="5" max="5" width="10.77734375" style="1" bestFit="1" customWidth="1"/>
    <col min="6" max="6" width="14" style="1" bestFit="1" customWidth="1"/>
    <col min="7" max="7" width="12.33203125" style="1" bestFit="1" customWidth="1"/>
    <col min="8" max="16384" width="8.88671875" style="1"/>
  </cols>
  <sheetData>
    <row r="2" spans="1:7" ht="21" customHeight="1" x14ac:dyDescent="0.3">
      <c r="A2" s="50" t="s">
        <v>34</v>
      </c>
      <c r="B2" s="50">
        <v>400</v>
      </c>
      <c r="C2" s="50">
        <v>300</v>
      </c>
      <c r="D2" s="50">
        <v>200</v>
      </c>
      <c r="G2" s="50">
        <v>6.25E-2</v>
      </c>
    </row>
    <row r="3" spans="1:7" ht="31.8" customHeight="1" x14ac:dyDescent="0.3">
      <c r="A3" s="52" t="s">
        <v>20</v>
      </c>
      <c r="B3" s="53" t="s">
        <v>0</v>
      </c>
      <c r="C3" s="53" t="s">
        <v>1</v>
      </c>
      <c r="D3" s="53" t="s">
        <v>2</v>
      </c>
      <c r="E3" s="53" t="s">
        <v>35</v>
      </c>
      <c r="F3" s="57" t="s">
        <v>37</v>
      </c>
      <c r="G3" s="57" t="s">
        <v>38</v>
      </c>
    </row>
    <row r="4" spans="1:7" x14ac:dyDescent="0.3">
      <c r="A4" s="54">
        <v>46023</v>
      </c>
      <c r="B4" s="1">
        <v>53</v>
      </c>
      <c r="C4" s="1">
        <v>554</v>
      </c>
      <c r="D4" s="1">
        <v>112</v>
      </c>
      <c r="E4" s="1">
        <v>719</v>
      </c>
      <c r="F4" s="27">
        <f>SUMPRODUCT(B4:D4,$B$2:$D$2)/E4</f>
        <v>291.79415855354659</v>
      </c>
      <c r="G4" s="55">
        <f>E4*F4*$G$2/1000</f>
        <v>13.112500000000001</v>
      </c>
    </row>
    <row r="5" spans="1:7" x14ac:dyDescent="0.3">
      <c r="A5" s="54">
        <v>46024</v>
      </c>
      <c r="B5" s="1">
        <v>79</v>
      </c>
      <c r="C5" s="1">
        <v>614</v>
      </c>
      <c r="D5" s="1">
        <v>251</v>
      </c>
      <c r="E5" s="1">
        <v>944</v>
      </c>
      <c r="F5" s="27">
        <f t="shared" ref="F5:F34" si="0">SUMPRODUCT(B5:D5,$B$2:$D$2)/E5</f>
        <v>281.77966101694915</v>
      </c>
      <c r="G5" s="55">
        <f t="shared" ref="G5:G34" si="1">E5*F5*$G$2/1000</f>
        <v>16.625</v>
      </c>
    </row>
    <row r="6" spans="1:7" x14ac:dyDescent="0.3">
      <c r="A6" s="54">
        <v>46025</v>
      </c>
      <c r="B6" s="1">
        <v>54</v>
      </c>
      <c r="C6" s="1">
        <v>528</v>
      </c>
      <c r="D6" s="1">
        <v>181</v>
      </c>
      <c r="E6" s="1">
        <v>763</v>
      </c>
      <c r="F6" s="27">
        <f t="shared" si="0"/>
        <v>283.35517693315859</v>
      </c>
      <c r="G6" s="55">
        <f t="shared" si="1"/>
        <v>13.512499999999999</v>
      </c>
    </row>
    <row r="7" spans="1:7" x14ac:dyDescent="0.3">
      <c r="A7" s="54">
        <v>46026</v>
      </c>
      <c r="B7" s="1">
        <v>40</v>
      </c>
      <c r="C7" s="1">
        <v>455</v>
      </c>
      <c r="D7" s="1">
        <v>253</v>
      </c>
      <c r="E7" s="1">
        <v>748</v>
      </c>
      <c r="F7" s="27">
        <f t="shared" si="0"/>
        <v>271.52406417112297</v>
      </c>
      <c r="G7" s="55">
        <f t="shared" si="1"/>
        <v>12.693749999999998</v>
      </c>
    </row>
    <row r="8" spans="1:7" x14ac:dyDescent="0.3">
      <c r="A8" s="54">
        <v>46027</v>
      </c>
      <c r="B8" s="1">
        <v>33</v>
      </c>
      <c r="C8" s="1">
        <v>304</v>
      </c>
      <c r="D8" s="1">
        <v>199</v>
      </c>
      <c r="E8" s="1">
        <v>536</v>
      </c>
      <c r="F8" s="27">
        <f t="shared" si="0"/>
        <v>269.02985074626866</v>
      </c>
      <c r="G8" s="55">
        <f t="shared" si="1"/>
        <v>9.0124999999999993</v>
      </c>
    </row>
    <row r="9" spans="1:7" x14ac:dyDescent="0.3">
      <c r="A9" s="54">
        <v>46028</v>
      </c>
      <c r="B9" s="1">
        <v>36</v>
      </c>
      <c r="C9" s="1">
        <v>265</v>
      </c>
      <c r="D9" s="1">
        <v>104</v>
      </c>
      <c r="E9" s="1">
        <v>405</v>
      </c>
      <c r="F9" s="27">
        <f t="shared" si="0"/>
        <v>283.20987654320987</v>
      </c>
      <c r="G9" s="55">
        <f t="shared" si="1"/>
        <v>7.1687500000000002</v>
      </c>
    </row>
    <row r="10" spans="1:7" x14ac:dyDescent="0.3">
      <c r="A10" s="54">
        <v>46029</v>
      </c>
      <c r="B10" s="1">
        <v>70</v>
      </c>
      <c r="C10" s="1">
        <v>702</v>
      </c>
      <c r="D10" s="1">
        <v>286</v>
      </c>
      <c r="E10" s="1">
        <v>1058</v>
      </c>
      <c r="F10" s="27">
        <f t="shared" si="0"/>
        <v>279.58412098298675</v>
      </c>
      <c r="G10" s="55">
        <f t="shared" si="1"/>
        <v>18.487500000000001</v>
      </c>
    </row>
    <row r="11" spans="1:7" x14ac:dyDescent="0.3">
      <c r="A11" s="54">
        <v>46030</v>
      </c>
      <c r="B11" s="1">
        <v>51</v>
      </c>
      <c r="C11" s="1">
        <v>480</v>
      </c>
      <c r="D11" s="1">
        <v>128</v>
      </c>
      <c r="E11" s="1">
        <v>659</v>
      </c>
      <c r="F11" s="27">
        <f t="shared" si="0"/>
        <v>288.31562974203337</v>
      </c>
      <c r="G11" s="55">
        <f t="shared" si="1"/>
        <v>11.875</v>
      </c>
    </row>
    <row r="12" spans="1:7" x14ac:dyDescent="0.3">
      <c r="A12" s="54">
        <v>46031</v>
      </c>
      <c r="B12" s="1">
        <v>49</v>
      </c>
      <c r="C12" s="1">
        <v>377</v>
      </c>
      <c r="D12" s="1">
        <v>239</v>
      </c>
      <c r="E12" s="1">
        <v>665</v>
      </c>
      <c r="F12" s="27">
        <f t="shared" si="0"/>
        <v>271.42857142857144</v>
      </c>
      <c r="G12" s="55">
        <f t="shared" si="1"/>
        <v>11.28125</v>
      </c>
    </row>
    <row r="13" spans="1:7" x14ac:dyDescent="0.3">
      <c r="A13" s="54">
        <v>46032</v>
      </c>
      <c r="B13" s="1">
        <v>80</v>
      </c>
      <c r="C13" s="1">
        <v>769</v>
      </c>
      <c r="D13" s="1">
        <v>138</v>
      </c>
      <c r="E13" s="1">
        <v>987</v>
      </c>
      <c r="F13" s="27">
        <f t="shared" si="0"/>
        <v>294.12360688956431</v>
      </c>
      <c r="G13" s="55">
        <f t="shared" si="1"/>
        <v>18.143750000000001</v>
      </c>
    </row>
    <row r="14" spans="1:7" x14ac:dyDescent="0.3">
      <c r="A14" s="54">
        <v>46033</v>
      </c>
      <c r="B14" s="1">
        <v>115</v>
      </c>
      <c r="C14" s="1">
        <v>585</v>
      </c>
      <c r="D14" s="1">
        <v>126</v>
      </c>
      <c r="E14" s="1">
        <v>826</v>
      </c>
      <c r="F14" s="27">
        <f t="shared" si="0"/>
        <v>298.66828087167067</v>
      </c>
      <c r="G14" s="55">
        <f t="shared" si="1"/>
        <v>15.418749999999998</v>
      </c>
    </row>
    <row r="15" spans="1:7" x14ac:dyDescent="0.3">
      <c r="A15" s="54">
        <v>46034</v>
      </c>
      <c r="B15" s="1">
        <v>49</v>
      </c>
      <c r="C15" s="1">
        <v>788</v>
      </c>
      <c r="D15" s="1">
        <v>261</v>
      </c>
      <c r="E15" s="1">
        <v>1098</v>
      </c>
      <c r="F15" s="27">
        <f t="shared" si="0"/>
        <v>280.6921675774135</v>
      </c>
      <c r="G15" s="55">
        <f t="shared" si="1"/>
        <v>19.262499999999999</v>
      </c>
    </row>
    <row r="16" spans="1:7" x14ac:dyDescent="0.3">
      <c r="A16" s="54">
        <v>46035</v>
      </c>
      <c r="B16" s="1">
        <v>85</v>
      </c>
      <c r="C16" s="1">
        <v>633</v>
      </c>
      <c r="D16" s="1">
        <v>184</v>
      </c>
      <c r="E16" s="1">
        <v>902</v>
      </c>
      <c r="F16" s="27">
        <f t="shared" si="0"/>
        <v>289.02439024390242</v>
      </c>
      <c r="G16" s="55">
        <f t="shared" si="1"/>
        <v>16.293749999999999</v>
      </c>
    </row>
    <row r="17" spans="1:7" x14ac:dyDescent="0.3">
      <c r="A17" s="54">
        <v>46036</v>
      </c>
      <c r="B17" s="1">
        <v>57</v>
      </c>
      <c r="C17" s="1">
        <v>403</v>
      </c>
      <c r="D17" s="1">
        <v>254</v>
      </c>
      <c r="E17" s="1">
        <v>714</v>
      </c>
      <c r="F17" s="27">
        <f t="shared" si="0"/>
        <v>272.40896358543415</v>
      </c>
      <c r="G17" s="55">
        <f t="shared" si="1"/>
        <v>12.156249999999998</v>
      </c>
    </row>
    <row r="18" spans="1:7" x14ac:dyDescent="0.3">
      <c r="A18" s="54">
        <v>46037</v>
      </c>
      <c r="B18" s="1">
        <v>35</v>
      </c>
      <c r="C18" s="1">
        <v>511</v>
      </c>
      <c r="D18" s="1">
        <v>190</v>
      </c>
      <c r="E18" s="1">
        <v>736</v>
      </c>
      <c r="F18" s="27">
        <f t="shared" si="0"/>
        <v>278.94021739130437</v>
      </c>
      <c r="G18" s="55">
        <f t="shared" si="1"/>
        <v>12.831250000000002</v>
      </c>
    </row>
    <row r="19" spans="1:7" x14ac:dyDescent="0.3">
      <c r="A19" s="54">
        <v>46038</v>
      </c>
      <c r="B19" s="1">
        <v>87</v>
      </c>
      <c r="C19" s="1">
        <v>585</v>
      </c>
      <c r="D19" s="1">
        <v>185</v>
      </c>
      <c r="E19" s="1">
        <v>857</v>
      </c>
      <c r="F19" s="27">
        <f t="shared" si="0"/>
        <v>288.56476079346555</v>
      </c>
      <c r="G19" s="55">
        <f t="shared" si="1"/>
        <v>15.456249999999999</v>
      </c>
    </row>
    <row r="20" spans="1:7" x14ac:dyDescent="0.3">
      <c r="A20" s="54">
        <v>46039</v>
      </c>
      <c r="B20" s="1">
        <v>43</v>
      </c>
      <c r="C20" s="1">
        <v>756</v>
      </c>
      <c r="D20" s="1">
        <v>237</v>
      </c>
      <c r="E20" s="1">
        <v>1036</v>
      </c>
      <c r="F20" s="27">
        <f t="shared" si="0"/>
        <v>281.27413127413126</v>
      </c>
      <c r="G20" s="55">
        <f t="shared" si="1"/>
        <v>18.212499999999999</v>
      </c>
    </row>
    <row r="21" spans="1:7" x14ac:dyDescent="0.3">
      <c r="A21" s="54">
        <v>46040</v>
      </c>
      <c r="B21" s="1">
        <v>44</v>
      </c>
      <c r="C21" s="1">
        <v>587</v>
      </c>
      <c r="D21" s="1">
        <v>128</v>
      </c>
      <c r="E21" s="1">
        <v>759</v>
      </c>
      <c r="F21" s="27">
        <f t="shared" si="0"/>
        <v>288.93280632411069</v>
      </c>
      <c r="G21" s="55">
        <f t="shared" si="1"/>
        <v>13.706250000000001</v>
      </c>
    </row>
    <row r="22" spans="1:7" x14ac:dyDescent="0.3">
      <c r="A22" s="54">
        <v>46041</v>
      </c>
      <c r="B22" s="1">
        <v>104</v>
      </c>
      <c r="C22" s="1">
        <v>487</v>
      </c>
      <c r="D22" s="1">
        <v>261</v>
      </c>
      <c r="E22" s="1">
        <v>852</v>
      </c>
      <c r="F22" s="27">
        <f t="shared" si="0"/>
        <v>281.57276995305165</v>
      </c>
      <c r="G22" s="55">
        <f t="shared" si="1"/>
        <v>14.99375</v>
      </c>
    </row>
    <row r="23" spans="1:7" x14ac:dyDescent="0.3">
      <c r="A23" s="54">
        <v>46042</v>
      </c>
      <c r="B23" s="1">
        <v>87</v>
      </c>
      <c r="C23" s="1">
        <v>347</v>
      </c>
      <c r="D23" s="1">
        <v>111</v>
      </c>
      <c r="E23" s="1">
        <v>545</v>
      </c>
      <c r="F23" s="27">
        <f t="shared" si="0"/>
        <v>295.59633027522938</v>
      </c>
      <c r="G23" s="55">
        <f t="shared" si="1"/>
        <v>10.06875</v>
      </c>
    </row>
    <row r="24" spans="1:7" x14ac:dyDescent="0.3">
      <c r="A24" s="54">
        <v>46043</v>
      </c>
      <c r="B24" s="1">
        <v>113</v>
      </c>
      <c r="C24" s="1">
        <v>583</v>
      </c>
      <c r="D24" s="1">
        <v>240</v>
      </c>
      <c r="E24" s="1">
        <v>936</v>
      </c>
      <c r="F24" s="27">
        <f t="shared" si="0"/>
        <v>286.4316239316239</v>
      </c>
      <c r="G24" s="55">
        <f t="shared" si="1"/>
        <v>16.756250000000001</v>
      </c>
    </row>
    <row r="25" spans="1:7" x14ac:dyDescent="0.3">
      <c r="A25" s="54">
        <v>46044</v>
      </c>
      <c r="B25" s="1">
        <v>65</v>
      </c>
      <c r="C25" s="1">
        <v>418</v>
      </c>
      <c r="D25" s="1">
        <v>165</v>
      </c>
      <c r="E25" s="1">
        <v>648</v>
      </c>
      <c r="F25" s="27">
        <f t="shared" si="0"/>
        <v>284.5679012345679</v>
      </c>
      <c r="G25" s="55">
        <f t="shared" si="1"/>
        <v>11.525</v>
      </c>
    </row>
    <row r="26" spans="1:7" x14ac:dyDescent="0.3">
      <c r="A26" s="54">
        <v>46045</v>
      </c>
      <c r="B26" s="1">
        <v>32</v>
      </c>
      <c r="C26" s="1">
        <v>520</v>
      </c>
      <c r="D26" s="1">
        <v>190</v>
      </c>
      <c r="E26" s="1">
        <v>742</v>
      </c>
      <c r="F26" s="27">
        <f t="shared" si="0"/>
        <v>278.70619946091642</v>
      </c>
      <c r="G26" s="55">
        <f t="shared" si="1"/>
        <v>12.925000000000001</v>
      </c>
    </row>
    <row r="27" spans="1:7" x14ac:dyDescent="0.3">
      <c r="A27" s="54">
        <v>46046</v>
      </c>
      <c r="B27" s="1">
        <v>53</v>
      </c>
      <c r="C27" s="1">
        <v>452</v>
      </c>
      <c r="D27" s="1">
        <v>148</v>
      </c>
      <c r="E27" s="1">
        <v>653</v>
      </c>
      <c r="F27" s="27">
        <f t="shared" si="0"/>
        <v>285.45176110260337</v>
      </c>
      <c r="G27" s="55">
        <f t="shared" si="1"/>
        <v>11.65</v>
      </c>
    </row>
    <row r="28" spans="1:7" x14ac:dyDescent="0.3">
      <c r="A28" s="54">
        <v>46047</v>
      </c>
      <c r="B28" s="1">
        <v>43</v>
      </c>
      <c r="C28" s="1">
        <v>749</v>
      </c>
      <c r="D28" s="1">
        <v>197</v>
      </c>
      <c r="E28" s="1">
        <v>989</v>
      </c>
      <c r="F28" s="27">
        <f t="shared" si="0"/>
        <v>284.42871587462082</v>
      </c>
      <c r="G28" s="55">
        <f t="shared" si="1"/>
        <v>17.581250000000001</v>
      </c>
    </row>
    <row r="29" spans="1:7" x14ac:dyDescent="0.3">
      <c r="A29" s="54">
        <v>46048</v>
      </c>
      <c r="B29" s="1">
        <v>111</v>
      </c>
      <c r="C29" s="1">
        <v>771</v>
      </c>
      <c r="D29" s="1">
        <v>115</v>
      </c>
      <c r="E29" s="1">
        <v>997</v>
      </c>
      <c r="F29" s="27">
        <f t="shared" si="0"/>
        <v>299.59879638916749</v>
      </c>
      <c r="G29" s="55">
        <f t="shared" si="1"/>
        <v>18.668749999999999</v>
      </c>
    </row>
    <row r="30" spans="1:7" x14ac:dyDescent="0.3">
      <c r="A30" s="54">
        <v>46049</v>
      </c>
      <c r="B30" s="1">
        <v>93</v>
      </c>
      <c r="C30" s="1">
        <v>283</v>
      </c>
      <c r="D30" s="1">
        <v>103</v>
      </c>
      <c r="E30" s="1">
        <v>479</v>
      </c>
      <c r="F30" s="27">
        <f t="shared" si="0"/>
        <v>297.91231732776617</v>
      </c>
      <c r="G30" s="55">
        <f t="shared" si="1"/>
        <v>8.9187499999999993</v>
      </c>
    </row>
    <row r="31" spans="1:7" x14ac:dyDescent="0.3">
      <c r="A31" s="54">
        <v>46050</v>
      </c>
      <c r="B31" s="1">
        <v>95</v>
      </c>
      <c r="C31" s="1">
        <v>359</v>
      </c>
      <c r="D31" s="1">
        <v>113</v>
      </c>
      <c r="E31" s="1">
        <v>567</v>
      </c>
      <c r="F31" s="27">
        <f t="shared" si="0"/>
        <v>296.82539682539681</v>
      </c>
      <c r="G31" s="55">
        <f t="shared" si="1"/>
        <v>10.518750000000001</v>
      </c>
    </row>
    <row r="32" spans="1:7" x14ac:dyDescent="0.3">
      <c r="A32" s="54">
        <v>46051</v>
      </c>
      <c r="B32" s="1">
        <v>71</v>
      </c>
      <c r="C32" s="1">
        <v>390</v>
      </c>
      <c r="D32" s="1">
        <v>220</v>
      </c>
      <c r="E32" s="1">
        <v>681</v>
      </c>
      <c r="F32" s="27">
        <f t="shared" si="0"/>
        <v>278.12041116005872</v>
      </c>
      <c r="G32" s="55">
        <f t="shared" si="1"/>
        <v>11.8375</v>
      </c>
    </row>
    <row r="33" spans="1:7" x14ac:dyDescent="0.3">
      <c r="A33" s="54">
        <v>46052</v>
      </c>
      <c r="B33" s="1">
        <v>45</v>
      </c>
      <c r="C33" s="1">
        <v>302</v>
      </c>
      <c r="D33" s="1">
        <v>242</v>
      </c>
      <c r="E33" s="1">
        <v>589</v>
      </c>
      <c r="F33" s="27">
        <f t="shared" si="0"/>
        <v>266.553480475382</v>
      </c>
      <c r="G33" s="55">
        <f t="shared" si="1"/>
        <v>9.8125</v>
      </c>
    </row>
    <row r="34" spans="1:7" x14ac:dyDescent="0.3">
      <c r="A34" s="54">
        <v>46053</v>
      </c>
      <c r="B34" s="1">
        <v>104</v>
      </c>
      <c r="C34" s="1">
        <v>566</v>
      </c>
      <c r="D34" s="1">
        <v>267</v>
      </c>
      <c r="E34" s="1">
        <v>937</v>
      </c>
      <c r="F34" s="27">
        <f t="shared" si="0"/>
        <v>282.60405549626466</v>
      </c>
      <c r="G34" s="55">
        <f t="shared" si="1"/>
        <v>16.55</v>
      </c>
    </row>
    <row r="36" spans="1:7" x14ac:dyDescent="0.3">
      <c r="A36" s="1" t="s">
        <v>3</v>
      </c>
      <c r="B36" s="27"/>
      <c r="C36" s="27"/>
      <c r="D36" s="27"/>
      <c r="E36" s="27"/>
      <c r="G36" s="10">
        <f>AVERAGE(G4:G34)</f>
        <v>13.776008064516128</v>
      </c>
    </row>
    <row r="37" spans="1:7" x14ac:dyDescent="0.3">
      <c r="A37" s="1" t="s">
        <v>4</v>
      </c>
      <c r="B37" s="27"/>
      <c r="C37" s="27"/>
      <c r="D37" s="27"/>
      <c r="E37" s="27"/>
      <c r="G37" s="10">
        <f>_xlfn.STDEV.P(G4:G34)</f>
        <v>3.2459745917579532</v>
      </c>
    </row>
    <row r="39" spans="1:7" x14ac:dyDescent="0.3">
      <c r="A39" s="1" t="s">
        <v>5</v>
      </c>
      <c r="B39" s="56"/>
      <c r="C39" s="56"/>
      <c r="D39" s="56"/>
      <c r="E39" s="56"/>
      <c r="G39" s="56">
        <v>0.95</v>
      </c>
    </row>
    <row r="40" spans="1:7" x14ac:dyDescent="0.3">
      <c r="A40" s="1" t="s">
        <v>6</v>
      </c>
      <c r="B40" s="25"/>
      <c r="C40" s="25"/>
      <c r="D40" s="25"/>
      <c r="E40" s="25"/>
      <c r="G40" s="25">
        <f>_xlfn.NORM.S.INV(G39)</f>
        <v>1.6448536269514715</v>
      </c>
    </row>
    <row r="42" spans="1:7" x14ac:dyDescent="0.3">
      <c r="A42" s="1" t="s">
        <v>7</v>
      </c>
      <c r="G42" s="1">
        <v>2</v>
      </c>
    </row>
    <row r="44" spans="1:7" x14ac:dyDescent="0.3">
      <c r="A44" s="50" t="s">
        <v>24</v>
      </c>
    </row>
    <row r="45" spans="1:7" x14ac:dyDescent="0.3">
      <c r="A45" s="1" t="s">
        <v>8</v>
      </c>
      <c r="B45" s="27"/>
      <c r="C45" s="27"/>
      <c r="D45" s="27"/>
      <c r="E45" s="27"/>
      <c r="G45" s="10">
        <f t="shared" ref="G45" si="2">G36*G42</f>
        <v>27.552016129032257</v>
      </c>
    </row>
    <row r="46" spans="1:7" x14ac:dyDescent="0.3">
      <c r="A46" s="1" t="s">
        <v>4</v>
      </c>
      <c r="B46" s="27"/>
      <c r="C46" s="27"/>
      <c r="D46" s="27"/>
      <c r="E46" s="27"/>
      <c r="G46" s="10">
        <f>SQRT(G37^2*G42)</f>
        <v>4.5905012907825684</v>
      </c>
    </row>
    <row r="48" spans="1:7" x14ac:dyDescent="0.3">
      <c r="A48" s="74" t="s">
        <v>9</v>
      </c>
      <c r="B48" s="75"/>
      <c r="C48" s="75"/>
      <c r="D48" s="75"/>
      <c r="E48" s="75"/>
      <c r="F48" s="74"/>
      <c r="G48" s="76">
        <f>CEILING((G45+G40*G46),10)</f>
        <v>40</v>
      </c>
    </row>
    <row r="49" spans="1:7" x14ac:dyDescent="0.3">
      <c r="A49" s="74" t="s">
        <v>10</v>
      </c>
      <c r="B49" s="75"/>
      <c r="C49" s="75"/>
      <c r="D49" s="75"/>
      <c r="E49" s="75"/>
      <c r="F49" s="74"/>
      <c r="G49" s="76">
        <f>CEILING(SQRT(2*G51*G52/G55),10)</f>
        <v>160</v>
      </c>
    </row>
    <row r="51" spans="1:7" x14ac:dyDescent="0.3">
      <c r="A51" s="1" t="s">
        <v>11</v>
      </c>
      <c r="G51" s="1">
        <v>500</v>
      </c>
    </row>
    <row r="52" spans="1:7" x14ac:dyDescent="0.3">
      <c r="A52" s="1" t="s">
        <v>12</v>
      </c>
      <c r="B52" s="10"/>
      <c r="C52" s="10"/>
      <c r="D52" s="10"/>
      <c r="E52" s="10"/>
      <c r="G52" s="10">
        <f>G36*365</f>
        <v>5028.2429435483873</v>
      </c>
    </row>
    <row r="53" spans="1:7" x14ac:dyDescent="0.3">
      <c r="A53" s="1" t="s">
        <v>13</v>
      </c>
      <c r="G53" s="10">
        <v>1000</v>
      </c>
    </row>
    <row r="54" spans="1:7" x14ac:dyDescent="0.3">
      <c r="A54" s="1" t="s">
        <v>14</v>
      </c>
      <c r="B54" s="56"/>
      <c r="C54" s="56"/>
      <c r="D54" s="56"/>
      <c r="E54" s="56"/>
      <c r="G54" s="56">
        <v>0.2</v>
      </c>
    </row>
    <row r="55" spans="1:7" x14ac:dyDescent="0.3">
      <c r="A55" s="1" t="s">
        <v>15</v>
      </c>
      <c r="G55" s="10">
        <f>G53*G54</f>
        <v>200</v>
      </c>
    </row>
    <row r="57" spans="1:7" ht="15.6" x14ac:dyDescent="0.3">
      <c r="A57" s="2" t="s">
        <v>21</v>
      </c>
    </row>
    <row r="59" spans="1:7" x14ac:dyDescent="0.3">
      <c r="A59" s="1" t="s">
        <v>22</v>
      </c>
      <c r="B59" s="51"/>
      <c r="C59" s="51"/>
      <c r="D59" s="51"/>
      <c r="E59" s="51"/>
      <c r="G59" s="51">
        <f>NORMDIST(G40,0,1,0)-G40*(1-NORMSDIST(G40))</f>
        <v>2.0892959027797683E-2</v>
      </c>
    </row>
    <row r="60" spans="1:7" x14ac:dyDescent="0.3">
      <c r="A60" s="1" t="s">
        <v>23</v>
      </c>
      <c r="B60" s="27"/>
      <c r="C60" s="27"/>
      <c r="D60" s="27"/>
      <c r="E60" s="27"/>
      <c r="G60" s="25">
        <f>G46*G59</f>
        <v>9.5909155385372577E-2</v>
      </c>
    </row>
    <row r="62" spans="1:7" x14ac:dyDescent="0.3">
      <c r="A62" s="1" t="s">
        <v>25</v>
      </c>
      <c r="B62" s="14"/>
      <c r="C62" s="14"/>
      <c r="D62" s="14"/>
      <c r="E62" s="14"/>
      <c r="G62" s="14">
        <f>1-(G60/G49)</f>
        <v>0.99940056777884145</v>
      </c>
    </row>
    <row r="65" spans="1:1" x14ac:dyDescent="0.3">
      <c r="A65" s="50" t="s">
        <v>73</v>
      </c>
    </row>
    <row r="66" spans="1:1" x14ac:dyDescent="0.3">
      <c r="A66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3A3B-77EA-40D7-AE16-40C43D24D300}">
  <dimension ref="A1:Q72"/>
  <sheetViews>
    <sheetView zoomScale="145" zoomScaleNormal="145" workbookViewId="0">
      <selection activeCell="B16" sqref="B16"/>
    </sheetView>
  </sheetViews>
  <sheetFormatPr defaultRowHeight="14.4" x14ac:dyDescent="0.3"/>
  <cols>
    <col min="1" max="1" width="10.44140625" bestFit="1" customWidth="1"/>
    <col min="2" max="2" width="9.88671875" bestFit="1" customWidth="1"/>
    <col min="8" max="8" width="10.77734375" customWidth="1"/>
    <col min="9" max="9" width="9.88671875" bestFit="1" customWidth="1"/>
    <col min="10" max="10" width="11" customWidth="1"/>
    <col min="15" max="15" width="10.44140625" customWidth="1"/>
  </cols>
  <sheetData>
    <row r="1" spans="1:17" ht="28.8" x14ac:dyDescent="0.3">
      <c r="H1" s="33" t="s">
        <v>20</v>
      </c>
      <c r="I1" s="34" t="s">
        <v>16</v>
      </c>
      <c r="J1" s="35" t="s">
        <v>17</v>
      </c>
      <c r="K1" s="34" t="s">
        <v>18</v>
      </c>
      <c r="L1" s="34" t="s">
        <v>77</v>
      </c>
      <c r="M1" s="34" t="s">
        <v>76</v>
      </c>
      <c r="N1" s="34" t="s">
        <v>19</v>
      </c>
      <c r="O1" s="36" t="s">
        <v>32</v>
      </c>
      <c r="Q1" s="77" t="s">
        <v>76</v>
      </c>
    </row>
    <row r="2" spans="1:17" ht="15" thickBot="1" x14ac:dyDescent="0.35">
      <c r="H2" s="37">
        <v>46054</v>
      </c>
      <c r="I2" s="30">
        <f>B3</f>
        <v>10</v>
      </c>
      <c r="J2" s="29">
        <f ca="1">ROUND(MIN(MAX(_xlfn.NORM.INV(RAND(),C$7,C$8),C$5),C$6),0)</f>
        <v>11</v>
      </c>
      <c r="K2" s="29">
        <f ca="1">MIN(I2,J2)</f>
        <v>10</v>
      </c>
      <c r="L2" s="29">
        <f ca="1">IF(I2-K2&lt;B$11,B$12,0)</f>
        <v>160</v>
      </c>
      <c r="M2" s="29"/>
      <c r="N2" s="29">
        <f ca="1">J2-K2</f>
        <v>1</v>
      </c>
      <c r="O2" s="31">
        <f ca="1">IF(J2=0,1,K2/J2)</f>
        <v>0.90909090909090906</v>
      </c>
    </row>
    <row r="3" spans="1:17" ht="15" thickBot="1" x14ac:dyDescent="0.35">
      <c r="A3" s="4" t="s">
        <v>26</v>
      </c>
      <c r="B3" s="82">
        <v>10</v>
      </c>
      <c r="C3" s="83"/>
      <c r="H3" s="37">
        <v>46055</v>
      </c>
      <c r="I3" s="78">
        <f ca="1">I2-K2+M3</f>
        <v>0</v>
      </c>
      <c r="J3" s="29">
        <f ca="1">ROUND(MIN(MAX(_xlfn.NORM.INV(RAND(),C$7,C$8),C$5),C$6),0)</f>
        <v>13</v>
      </c>
      <c r="K3" s="29">
        <f t="shared" ref="K3:K53" ca="1" si="0">MIN(I3,J3)</f>
        <v>0</v>
      </c>
      <c r="L3" s="29">
        <f ca="1">IF(I3-K3+L2&lt;B$11,B$12,0)</f>
        <v>0</v>
      </c>
      <c r="M3" s="29"/>
      <c r="N3" s="29">
        <f t="shared" ref="N3:N53" ca="1" si="1">J3-K3</f>
        <v>13</v>
      </c>
      <c r="O3" s="31">
        <f t="shared" ref="O3:O53" ca="1" si="2">IF(J3=0,1,K3/J3)</f>
        <v>0</v>
      </c>
    </row>
    <row r="4" spans="1:17" x14ac:dyDescent="0.3">
      <c r="A4" s="5" t="s">
        <v>8</v>
      </c>
      <c r="B4" s="84" t="s">
        <v>27</v>
      </c>
      <c r="C4" s="85"/>
      <c r="H4" s="37">
        <v>46056</v>
      </c>
      <c r="I4" s="78">
        <f ca="1">I3-K3+M4</f>
        <v>160</v>
      </c>
      <c r="J4" s="29">
        <f ca="1">ROUND(MIN(MAX(_xlfn.NORM.INV(RAND(),C$7,C$8),C$5),C$6),0)</f>
        <v>11</v>
      </c>
      <c r="K4" s="29">
        <f t="shared" ca="1" si="0"/>
        <v>11</v>
      </c>
      <c r="L4" s="29">
        <f ca="1">IF(I4-K4+L3&lt;B$11,B$12,0)</f>
        <v>0</v>
      </c>
      <c r="M4" s="29">
        <f ca="1">OFFSET(L4,$B$14*-1,0)</f>
        <v>160</v>
      </c>
      <c r="N4" s="29">
        <f t="shared" ca="1" si="1"/>
        <v>0</v>
      </c>
      <c r="O4" s="31">
        <f t="shared" ca="1" si="2"/>
        <v>1</v>
      </c>
      <c r="Q4">
        <f ca="1">OFFSET(L4,-2,0)</f>
        <v>160</v>
      </c>
    </row>
    <row r="5" spans="1:17" x14ac:dyDescent="0.3">
      <c r="A5" s="6"/>
      <c r="B5" s="1" t="s">
        <v>28</v>
      </c>
      <c r="C5" s="7">
        <v>5</v>
      </c>
      <c r="H5" s="37">
        <v>46057</v>
      </c>
      <c r="I5" s="78">
        <f ca="1">I4-K4+M5</f>
        <v>149</v>
      </c>
      <c r="J5" s="29">
        <f ca="1">ROUND(MIN(MAX(_xlfn.NORM.INV(RAND(),C$7,C$8),C$5),C$6),0)</f>
        <v>19</v>
      </c>
      <c r="K5" s="29">
        <f t="shared" ca="1" si="0"/>
        <v>19</v>
      </c>
      <c r="L5" s="29">
        <f ca="1">IF(I5-K5+L4&lt;B$11,B$12,0)</f>
        <v>0</v>
      </c>
      <c r="M5" s="29">
        <f t="shared" ref="M5:M60" ca="1" si="3">OFFSET(L5,$B$14*-1,0)</f>
        <v>0</v>
      </c>
      <c r="N5" s="29">
        <f t="shared" ca="1" si="1"/>
        <v>0</v>
      </c>
      <c r="O5" s="31">
        <f t="shared" ca="1" si="2"/>
        <v>1</v>
      </c>
      <c r="Q5">
        <f t="shared" ref="Q5:Q60" ca="1" si="4">OFFSET(L5,-2,0)</f>
        <v>0</v>
      </c>
    </row>
    <row r="6" spans="1:17" x14ac:dyDescent="0.3">
      <c r="A6" s="6"/>
      <c r="B6" s="1" t="s">
        <v>29</v>
      </c>
      <c r="C6" s="7">
        <v>20</v>
      </c>
      <c r="H6" s="37">
        <v>46058</v>
      </c>
      <c r="I6" s="78">
        <f t="shared" ref="I6:I60" ca="1" si="5">I5-K5+M6</f>
        <v>130</v>
      </c>
      <c r="J6" s="29">
        <f ca="1">ROUND(MIN(MAX(_xlfn.NORM.INV(RAND(),C$7,C$8),C$5),C$6),0)</f>
        <v>15</v>
      </c>
      <c r="K6" s="29">
        <f t="shared" ca="1" si="0"/>
        <v>15</v>
      </c>
      <c r="L6" s="29">
        <f ca="1">IF(I6-K6+L5&lt;B$11,B$12,0)</f>
        <v>0</v>
      </c>
      <c r="M6" s="29">
        <f t="shared" ca="1" si="3"/>
        <v>0</v>
      </c>
      <c r="N6" s="29">
        <f t="shared" ca="1" si="1"/>
        <v>0</v>
      </c>
      <c r="O6" s="31">
        <f t="shared" ca="1" si="2"/>
        <v>1</v>
      </c>
      <c r="Q6">
        <f t="shared" ca="1" si="4"/>
        <v>0</v>
      </c>
    </row>
    <row r="7" spans="1:17" x14ac:dyDescent="0.3">
      <c r="A7" s="6"/>
      <c r="B7" s="1" t="s">
        <v>30</v>
      </c>
      <c r="C7" s="11">
        <f>Design!G36</f>
        <v>13.776008064516128</v>
      </c>
      <c r="H7" s="37">
        <v>46059</v>
      </c>
      <c r="I7" s="78">
        <f t="shared" ca="1" si="5"/>
        <v>115</v>
      </c>
      <c r="J7" s="29">
        <f ca="1">ROUND(MIN(MAX(_xlfn.NORM.INV(RAND(),C$7,C$8),C$5),C$6),0)</f>
        <v>11</v>
      </c>
      <c r="K7" s="29">
        <f t="shared" ca="1" si="0"/>
        <v>11</v>
      </c>
      <c r="L7" s="29">
        <f ca="1">IF(I7-K7+L6&lt;B$11,B$12,0)</f>
        <v>0</v>
      </c>
      <c r="M7" s="29">
        <f t="shared" ca="1" si="3"/>
        <v>0</v>
      </c>
      <c r="N7" s="29">
        <f t="shared" ca="1" si="1"/>
        <v>0</v>
      </c>
      <c r="O7" s="31">
        <f t="shared" ca="1" si="2"/>
        <v>1</v>
      </c>
      <c r="Q7">
        <f t="shared" ca="1" si="4"/>
        <v>0</v>
      </c>
    </row>
    <row r="8" spans="1:17" ht="15" thickBot="1" x14ac:dyDescent="0.35">
      <c r="A8" s="8"/>
      <c r="B8" s="9" t="s">
        <v>31</v>
      </c>
      <c r="C8" s="12">
        <f>Design!G37</f>
        <v>3.2459745917579532</v>
      </c>
      <c r="H8" s="37">
        <v>46060</v>
      </c>
      <c r="I8" s="78">
        <f t="shared" ca="1" si="5"/>
        <v>104</v>
      </c>
      <c r="J8" s="29">
        <f ca="1">ROUND(MIN(MAX(_xlfn.NORM.INV(RAND(),C$7,C$8),C$5),C$6),0)</f>
        <v>5</v>
      </c>
      <c r="K8" s="29">
        <f t="shared" ca="1" si="0"/>
        <v>5</v>
      </c>
      <c r="L8" s="29">
        <f ca="1">IF(I8-K8+L7&lt;B$11,B$12,0)</f>
        <v>0</v>
      </c>
      <c r="M8" s="29">
        <f t="shared" ca="1" si="3"/>
        <v>0</v>
      </c>
      <c r="N8" s="29">
        <f t="shared" ca="1" si="1"/>
        <v>0</v>
      </c>
      <c r="O8" s="31">
        <f t="shared" ca="1" si="2"/>
        <v>1</v>
      </c>
      <c r="Q8">
        <f t="shared" ca="1" si="4"/>
        <v>0</v>
      </c>
    </row>
    <row r="9" spans="1:17" x14ac:dyDescent="0.3">
      <c r="H9" s="37">
        <v>46061</v>
      </c>
      <c r="I9" s="78">
        <f t="shared" ca="1" si="5"/>
        <v>99</v>
      </c>
      <c r="J9" s="29">
        <f ca="1">ROUND(MIN(MAX(_xlfn.NORM.INV(RAND(),C$7,C$8),C$5),C$6),0)</f>
        <v>14</v>
      </c>
      <c r="K9" s="29">
        <f t="shared" ca="1" si="0"/>
        <v>14</v>
      </c>
      <c r="L9" s="29">
        <f ca="1">IF(I9-K9+L8&lt;B$11,B$12,0)</f>
        <v>0</v>
      </c>
      <c r="M9" s="29">
        <f t="shared" ca="1" si="3"/>
        <v>0</v>
      </c>
      <c r="N9" s="29">
        <f t="shared" ca="1" si="1"/>
        <v>0</v>
      </c>
      <c r="O9" s="31">
        <f t="shared" ca="1" si="2"/>
        <v>1</v>
      </c>
      <c r="Q9">
        <f t="shared" ca="1" si="4"/>
        <v>0</v>
      </c>
    </row>
    <row r="10" spans="1:17" ht="15" thickBot="1" x14ac:dyDescent="0.35">
      <c r="H10" s="37">
        <v>46062</v>
      </c>
      <c r="I10" s="78">
        <f t="shared" ca="1" si="5"/>
        <v>85</v>
      </c>
      <c r="J10" s="29">
        <f ca="1">ROUND(MIN(MAX(_xlfn.NORM.INV(RAND(),C$7,C$8),C$5),C$6),0)</f>
        <v>18</v>
      </c>
      <c r="K10" s="29">
        <f t="shared" ca="1" si="0"/>
        <v>18</v>
      </c>
      <c r="L10" s="29">
        <f ca="1">IF(I10-K10+L9&lt;B$11,B$12,0)</f>
        <v>0</v>
      </c>
      <c r="M10" s="29">
        <f t="shared" ca="1" si="3"/>
        <v>0</v>
      </c>
      <c r="N10" s="29">
        <f t="shared" ca="1" si="1"/>
        <v>0</v>
      </c>
      <c r="O10" s="31">
        <f t="shared" ca="1" si="2"/>
        <v>1</v>
      </c>
      <c r="Q10">
        <f t="shared" ca="1" si="4"/>
        <v>0</v>
      </c>
    </row>
    <row r="11" spans="1:17" x14ac:dyDescent="0.3">
      <c r="A11" s="62" t="s">
        <v>9</v>
      </c>
      <c r="B11" s="63">
        <f>Design!G48</f>
        <v>40</v>
      </c>
      <c r="H11" s="37">
        <v>46063</v>
      </c>
      <c r="I11" s="78">
        <f t="shared" ca="1" si="5"/>
        <v>67</v>
      </c>
      <c r="J11" s="29">
        <f ca="1">ROUND(MIN(MAX(_xlfn.NORM.INV(RAND(),C$7,C$8),C$5),C$6),0)</f>
        <v>6</v>
      </c>
      <c r="K11" s="29">
        <f t="shared" ca="1" si="0"/>
        <v>6</v>
      </c>
      <c r="L11" s="29">
        <f ca="1">IF(I11-K11+L10&lt;B$11,B$12,0)</f>
        <v>0</v>
      </c>
      <c r="M11" s="29">
        <f t="shared" ca="1" si="3"/>
        <v>0</v>
      </c>
      <c r="N11" s="29">
        <f t="shared" ca="1" si="1"/>
        <v>0</v>
      </c>
      <c r="O11" s="31">
        <f t="shared" ca="1" si="2"/>
        <v>1</v>
      </c>
      <c r="Q11">
        <f t="shared" ca="1" si="4"/>
        <v>0</v>
      </c>
    </row>
    <row r="12" spans="1:17" ht="15" thickBot="1" x14ac:dyDescent="0.35">
      <c r="A12" s="64" t="s">
        <v>10</v>
      </c>
      <c r="B12" s="65">
        <f>Design!G49</f>
        <v>160</v>
      </c>
      <c r="H12" s="37">
        <v>46064</v>
      </c>
      <c r="I12" s="78">
        <f t="shared" ca="1" si="5"/>
        <v>61</v>
      </c>
      <c r="J12" s="29">
        <f ca="1">ROUND(MIN(MAX(_xlfn.NORM.INV(RAND(),C$7,C$8),C$5),C$6),0)</f>
        <v>12</v>
      </c>
      <c r="K12" s="29">
        <f t="shared" ca="1" si="0"/>
        <v>12</v>
      </c>
      <c r="L12" s="29">
        <f ca="1">IF(I12-K12+L11&lt;B$11,B$12,0)</f>
        <v>0</v>
      </c>
      <c r="M12" s="29">
        <f t="shared" ca="1" si="3"/>
        <v>0</v>
      </c>
      <c r="N12" s="29">
        <f t="shared" ca="1" si="1"/>
        <v>0</v>
      </c>
      <c r="O12" s="31">
        <f t="shared" ca="1" si="2"/>
        <v>1</v>
      </c>
      <c r="Q12">
        <f t="shared" ca="1" si="4"/>
        <v>0</v>
      </c>
    </row>
    <row r="13" spans="1:17" ht="15" thickBot="1" x14ac:dyDescent="0.35">
      <c r="H13" s="37">
        <v>46065</v>
      </c>
      <c r="I13" s="78">
        <f t="shared" ca="1" si="5"/>
        <v>49</v>
      </c>
      <c r="J13" s="29">
        <f ca="1">ROUND(MIN(MAX(_xlfn.NORM.INV(RAND(),C$7,C$8),C$5),C$6),0)</f>
        <v>14</v>
      </c>
      <c r="K13" s="29">
        <f t="shared" ca="1" si="0"/>
        <v>14</v>
      </c>
      <c r="L13" s="29">
        <f ca="1">IF(I13-K13+L12&lt;B$11,B$12,0)</f>
        <v>160</v>
      </c>
      <c r="M13" s="29">
        <f t="shared" ca="1" si="3"/>
        <v>0</v>
      </c>
      <c r="N13" s="29">
        <f t="shared" ca="1" si="1"/>
        <v>0</v>
      </c>
      <c r="O13" s="31">
        <f t="shared" ca="1" si="2"/>
        <v>1</v>
      </c>
      <c r="Q13">
        <f t="shared" ca="1" si="4"/>
        <v>0</v>
      </c>
    </row>
    <row r="14" spans="1:17" ht="15" thickBot="1" x14ac:dyDescent="0.35">
      <c r="A14" s="89" t="s">
        <v>7</v>
      </c>
      <c r="B14" s="90">
        <f>Design!G42</f>
        <v>2</v>
      </c>
      <c r="H14" s="37">
        <v>46066</v>
      </c>
      <c r="I14" s="78">
        <f t="shared" ca="1" si="5"/>
        <v>35</v>
      </c>
      <c r="J14" s="29">
        <f ca="1">ROUND(MIN(MAX(_xlfn.NORM.INV(RAND(),C$7,C$8),C$5),C$6),0)</f>
        <v>9</v>
      </c>
      <c r="K14" s="29">
        <f t="shared" ca="1" si="0"/>
        <v>9</v>
      </c>
      <c r="L14" s="29">
        <f ca="1">IF(I14-K14+L13&lt;B$11,B$12,0)</f>
        <v>0</v>
      </c>
      <c r="M14" s="29">
        <f t="shared" ca="1" si="3"/>
        <v>0</v>
      </c>
      <c r="N14" s="29">
        <f t="shared" ca="1" si="1"/>
        <v>0</v>
      </c>
      <c r="O14" s="31">
        <f t="shared" ca="1" si="2"/>
        <v>1</v>
      </c>
      <c r="Q14">
        <f t="shared" ca="1" si="4"/>
        <v>0</v>
      </c>
    </row>
    <row r="15" spans="1:17" x14ac:dyDescent="0.3">
      <c r="H15" s="37">
        <v>46067</v>
      </c>
      <c r="I15" s="78">
        <f t="shared" ca="1" si="5"/>
        <v>186</v>
      </c>
      <c r="J15" s="29">
        <f ca="1">ROUND(MIN(MAX(_xlfn.NORM.INV(RAND(),C$7,C$8),C$5),C$6),0)</f>
        <v>13</v>
      </c>
      <c r="K15" s="29">
        <f t="shared" ca="1" si="0"/>
        <v>13</v>
      </c>
      <c r="L15" s="29">
        <f ca="1">IF(I15-K15+L14&lt;B$11,B$12,0)</f>
        <v>0</v>
      </c>
      <c r="M15" s="29">
        <f t="shared" ca="1" si="3"/>
        <v>160</v>
      </c>
      <c r="N15" s="29">
        <f t="shared" ca="1" si="1"/>
        <v>0</v>
      </c>
      <c r="O15" s="31">
        <f t="shared" ca="1" si="2"/>
        <v>1</v>
      </c>
      <c r="Q15">
        <f t="shared" ca="1" si="4"/>
        <v>160</v>
      </c>
    </row>
    <row r="16" spans="1:17" x14ac:dyDescent="0.3">
      <c r="A16" s="50"/>
      <c r="B16" s="24"/>
      <c r="C16" s="24"/>
      <c r="D16" s="24"/>
      <c r="E16" s="24"/>
      <c r="F16" s="24"/>
      <c r="G16" s="24"/>
      <c r="H16" s="37">
        <v>46068</v>
      </c>
      <c r="I16" s="78">
        <f t="shared" ca="1" si="5"/>
        <v>173</v>
      </c>
      <c r="J16" s="29">
        <f ca="1">ROUND(MIN(MAX(_xlfn.NORM.INV(RAND(),C$7,C$8),C$5),C$6),0)</f>
        <v>15</v>
      </c>
      <c r="K16" s="29">
        <f t="shared" ca="1" si="0"/>
        <v>15</v>
      </c>
      <c r="L16" s="29">
        <f ca="1">IF(I16-K16+L15&lt;B$11,B$12,0)</f>
        <v>0</v>
      </c>
      <c r="M16" s="29">
        <f t="shared" ca="1" si="3"/>
        <v>0</v>
      </c>
      <c r="N16" s="29">
        <f t="shared" ca="1" si="1"/>
        <v>0</v>
      </c>
      <c r="O16" s="31">
        <f t="shared" ca="1" si="2"/>
        <v>1</v>
      </c>
      <c r="Q16">
        <f t="shared" ca="1" si="4"/>
        <v>0</v>
      </c>
    </row>
    <row r="17" spans="1:17" x14ac:dyDescent="0.3">
      <c r="A17" s="1"/>
      <c r="B17" s="25"/>
      <c r="C17" s="25"/>
      <c r="D17" s="25"/>
      <c r="E17" s="25"/>
      <c r="F17" s="25"/>
      <c r="G17" s="25"/>
      <c r="H17" s="37">
        <v>46069</v>
      </c>
      <c r="I17" s="78">
        <f t="shared" ca="1" si="5"/>
        <v>158</v>
      </c>
      <c r="J17" s="29">
        <f ca="1">ROUND(MIN(MAX(_xlfn.NORM.INV(RAND(),C$7,C$8),C$5),C$6),0)</f>
        <v>13</v>
      </c>
      <c r="K17" s="29">
        <f t="shared" ca="1" si="0"/>
        <v>13</v>
      </c>
      <c r="L17" s="29">
        <f ca="1">IF(I17-K17+L16&lt;B$11,B$12,0)</f>
        <v>0</v>
      </c>
      <c r="M17" s="29">
        <f t="shared" ca="1" si="3"/>
        <v>0</v>
      </c>
      <c r="N17" s="29">
        <f t="shared" ca="1" si="1"/>
        <v>0</v>
      </c>
      <c r="O17" s="31">
        <f t="shared" ca="1" si="2"/>
        <v>1</v>
      </c>
      <c r="Q17">
        <f t="shared" ca="1" si="4"/>
        <v>0</v>
      </c>
    </row>
    <row r="18" spans="1:17" x14ac:dyDescent="0.3">
      <c r="A18" s="1"/>
      <c r="B18" s="51"/>
      <c r="C18" s="51"/>
      <c r="D18" s="51"/>
      <c r="E18" s="51"/>
      <c r="F18" s="51"/>
      <c r="G18" s="26"/>
      <c r="H18" s="37">
        <v>46070</v>
      </c>
      <c r="I18" s="78">
        <f t="shared" ca="1" si="5"/>
        <v>145</v>
      </c>
      <c r="J18" s="29">
        <f ca="1">ROUND(MIN(MAX(_xlfn.NORM.INV(RAND(),C$7,C$8),C$5),C$6),0)</f>
        <v>15</v>
      </c>
      <c r="K18" s="29">
        <f t="shared" ca="1" si="0"/>
        <v>15</v>
      </c>
      <c r="L18" s="29">
        <f ca="1">IF(I18-K18+L17&lt;B$11,B$12,0)</f>
        <v>0</v>
      </c>
      <c r="M18" s="29">
        <f t="shared" ca="1" si="3"/>
        <v>0</v>
      </c>
      <c r="N18" s="29">
        <f t="shared" ca="1" si="1"/>
        <v>0</v>
      </c>
      <c r="O18" s="31">
        <f t="shared" ca="1" si="2"/>
        <v>1</v>
      </c>
      <c r="Q18">
        <f t="shared" ca="1" si="4"/>
        <v>0</v>
      </c>
    </row>
    <row r="19" spans="1:17" x14ac:dyDescent="0.3">
      <c r="A19" s="1"/>
      <c r="B19" s="25"/>
      <c r="C19" s="25"/>
      <c r="D19" s="25"/>
      <c r="E19" s="25"/>
      <c r="F19" s="25"/>
      <c r="G19" s="27"/>
      <c r="H19" s="37">
        <v>46071</v>
      </c>
      <c r="I19" s="78">
        <f t="shared" ca="1" si="5"/>
        <v>130</v>
      </c>
      <c r="J19" s="29">
        <f ca="1">ROUND(MIN(MAX(_xlfn.NORM.INV(RAND(),C$7,C$8),C$5),C$6),0)</f>
        <v>13</v>
      </c>
      <c r="K19" s="29">
        <f t="shared" ca="1" si="0"/>
        <v>13</v>
      </c>
      <c r="L19" s="29">
        <f ca="1">IF(I19-K19+L18&lt;B$11,B$12,0)</f>
        <v>0</v>
      </c>
      <c r="M19" s="29">
        <f t="shared" ca="1" si="3"/>
        <v>0</v>
      </c>
      <c r="N19" s="29">
        <f t="shared" ca="1" si="1"/>
        <v>0</v>
      </c>
      <c r="O19" s="31">
        <f t="shared" ca="1" si="2"/>
        <v>1</v>
      </c>
      <c r="Q19">
        <f t="shared" ca="1" si="4"/>
        <v>0</v>
      </c>
    </row>
    <row r="20" spans="1:17" x14ac:dyDescent="0.3">
      <c r="A20" s="50"/>
      <c r="B20" s="28"/>
      <c r="C20" s="28"/>
      <c r="D20" s="28"/>
      <c r="E20" s="28"/>
      <c r="F20" s="28"/>
      <c r="G20" s="28"/>
      <c r="H20" s="37">
        <v>46072</v>
      </c>
      <c r="I20" s="78">
        <f t="shared" ca="1" si="5"/>
        <v>117</v>
      </c>
      <c r="J20" s="29">
        <f ca="1">ROUND(MIN(MAX(_xlfn.NORM.INV(RAND(),C$7,C$8),C$5),C$6),0)</f>
        <v>13</v>
      </c>
      <c r="K20" s="29">
        <f t="shared" ca="1" si="0"/>
        <v>13</v>
      </c>
      <c r="L20" s="29">
        <f ca="1">IF(I20-K20+L19&lt;B$11,B$12,0)</f>
        <v>0</v>
      </c>
      <c r="M20" s="29">
        <f t="shared" ca="1" si="3"/>
        <v>0</v>
      </c>
      <c r="N20" s="29">
        <f t="shared" ca="1" si="1"/>
        <v>0</v>
      </c>
      <c r="O20" s="31">
        <f t="shared" ca="1" si="2"/>
        <v>1</v>
      </c>
      <c r="Q20">
        <f t="shared" ca="1" si="4"/>
        <v>0</v>
      </c>
    </row>
    <row r="21" spans="1:17" x14ac:dyDescent="0.3">
      <c r="H21" s="37">
        <v>46073</v>
      </c>
      <c r="I21" s="78">
        <f t="shared" ca="1" si="5"/>
        <v>104</v>
      </c>
      <c r="J21" s="29">
        <f ca="1">ROUND(MIN(MAX(_xlfn.NORM.INV(RAND(),C$7,C$8),C$5),C$6),0)</f>
        <v>14</v>
      </c>
      <c r="K21" s="29">
        <f t="shared" ca="1" si="0"/>
        <v>14</v>
      </c>
      <c r="L21" s="29">
        <f ca="1">IF(I21-K21+L20&lt;B$11,B$12,0)</f>
        <v>0</v>
      </c>
      <c r="M21" s="29">
        <f t="shared" ca="1" si="3"/>
        <v>0</v>
      </c>
      <c r="N21" s="29">
        <f t="shared" ca="1" si="1"/>
        <v>0</v>
      </c>
      <c r="O21" s="31">
        <f t="shared" ca="1" si="2"/>
        <v>1</v>
      </c>
      <c r="Q21">
        <f t="shared" ca="1" si="4"/>
        <v>0</v>
      </c>
    </row>
    <row r="22" spans="1:17" x14ac:dyDescent="0.3">
      <c r="H22" s="37">
        <v>46074</v>
      </c>
      <c r="I22" s="78">
        <f t="shared" ca="1" si="5"/>
        <v>90</v>
      </c>
      <c r="J22" s="29">
        <f ca="1">ROUND(MIN(MAX(_xlfn.NORM.INV(RAND(),C$7,C$8),C$5),C$6),0)</f>
        <v>17</v>
      </c>
      <c r="K22" s="29">
        <f t="shared" ca="1" si="0"/>
        <v>17</v>
      </c>
      <c r="L22" s="29">
        <f ca="1">IF(I22-K22+L21&lt;B$11,B$12,0)</f>
        <v>0</v>
      </c>
      <c r="M22" s="29">
        <f t="shared" ca="1" si="3"/>
        <v>0</v>
      </c>
      <c r="N22" s="29">
        <f t="shared" ca="1" si="1"/>
        <v>0</v>
      </c>
      <c r="O22" s="31">
        <f t="shared" ca="1" si="2"/>
        <v>1</v>
      </c>
      <c r="Q22">
        <f t="shared" ca="1" si="4"/>
        <v>0</v>
      </c>
    </row>
    <row r="23" spans="1:17" x14ac:dyDescent="0.3">
      <c r="H23" s="37">
        <v>46075</v>
      </c>
      <c r="I23" s="78">
        <f t="shared" ca="1" si="5"/>
        <v>73</v>
      </c>
      <c r="J23" s="29">
        <f ca="1">ROUND(MIN(MAX(_xlfn.NORM.INV(RAND(),C$7,C$8),C$5),C$6),0)</f>
        <v>11</v>
      </c>
      <c r="K23" s="29">
        <f t="shared" ca="1" si="0"/>
        <v>11</v>
      </c>
      <c r="L23" s="29">
        <f ca="1">IF(I23-K23+L22&lt;B$11,B$12,0)</f>
        <v>0</v>
      </c>
      <c r="M23" s="29">
        <f t="shared" ca="1" si="3"/>
        <v>0</v>
      </c>
      <c r="N23" s="29">
        <f t="shared" ca="1" si="1"/>
        <v>0</v>
      </c>
      <c r="O23" s="31">
        <f t="shared" ca="1" si="2"/>
        <v>1</v>
      </c>
      <c r="Q23">
        <f t="shared" ca="1" si="4"/>
        <v>0</v>
      </c>
    </row>
    <row r="24" spans="1:17" x14ac:dyDescent="0.3">
      <c r="H24" s="37">
        <v>46076</v>
      </c>
      <c r="I24" s="78">
        <f t="shared" ca="1" si="5"/>
        <v>62</v>
      </c>
      <c r="J24" s="29">
        <f ca="1">ROUND(MIN(MAX(_xlfn.NORM.INV(RAND(),C$7,C$8),C$5),C$6),0)</f>
        <v>13</v>
      </c>
      <c r="K24" s="29">
        <f t="shared" ca="1" si="0"/>
        <v>13</v>
      </c>
      <c r="L24" s="29">
        <f ca="1">IF(I24-K24+L23&lt;B$11,B$12,0)</f>
        <v>0</v>
      </c>
      <c r="M24" s="29">
        <f t="shared" ca="1" si="3"/>
        <v>0</v>
      </c>
      <c r="N24" s="29">
        <f t="shared" ca="1" si="1"/>
        <v>0</v>
      </c>
      <c r="O24" s="31">
        <f t="shared" ca="1" si="2"/>
        <v>1</v>
      </c>
      <c r="Q24">
        <f t="shared" ca="1" si="4"/>
        <v>0</v>
      </c>
    </row>
    <row r="25" spans="1:17" x14ac:dyDescent="0.3">
      <c r="H25" s="37">
        <v>46077</v>
      </c>
      <c r="I25" s="78">
        <f t="shared" ca="1" si="5"/>
        <v>49</v>
      </c>
      <c r="J25" s="29">
        <f ca="1">ROUND(MIN(MAX(_xlfn.NORM.INV(RAND(),C$7,C$8),C$5),C$6),0)</f>
        <v>11</v>
      </c>
      <c r="K25" s="29">
        <f t="shared" ca="1" si="0"/>
        <v>11</v>
      </c>
      <c r="L25" s="29">
        <f ca="1">IF(I25-K25+L24&lt;B$11,B$12,0)</f>
        <v>160</v>
      </c>
      <c r="M25" s="29">
        <f t="shared" ca="1" si="3"/>
        <v>0</v>
      </c>
      <c r="N25" s="29">
        <f t="shared" ca="1" si="1"/>
        <v>0</v>
      </c>
      <c r="O25" s="31">
        <f t="shared" ca="1" si="2"/>
        <v>1</v>
      </c>
      <c r="Q25">
        <f t="shared" ca="1" si="4"/>
        <v>0</v>
      </c>
    </row>
    <row r="26" spans="1:17" x14ac:dyDescent="0.3">
      <c r="H26" s="37">
        <v>46078</v>
      </c>
      <c r="I26" s="78">
        <f t="shared" ca="1" si="5"/>
        <v>38</v>
      </c>
      <c r="J26" s="29">
        <f ca="1">ROUND(MIN(MAX(_xlfn.NORM.INV(RAND(),C$7,C$8),C$5),C$6),0)</f>
        <v>20</v>
      </c>
      <c r="K26" s="29">
        <f t="shared" ca="1" si="0"/>
        <v>20</v>
      </c>
      <c r="L26" s="29">
        <f ca="1">IF(I26-K26+L25&lt;B$11,B$12,0)</f>
        <v>0</v>
      </c>
      <c r="M26" s="29">
        <f t="shared" ca="1" si="3"/>
        <v>0</v>
      </c>
      <c r="N26" s="29">
        <f t="shared" ca="1" si="1"/>
        <v>0</v>
      </c>
      <c r="O26" s="31">
        <f t="shared" ca="1" si="2"/>
        <v>1</v>
      </c>
      <c r="Q26">
        <f t="shared" ca="1" si="4"/>
        <v>0</v>
      </c>
    </row>
    <row r="27" spans="1:17" x14ac:dyDescent="0.3">
      <c r="H27" s="37">
        <v>46079</v>
      </c>
      <c r="I27" s="78">
        <f t="shared" ca="1" si="5"/>
        <v>178</v>
      </c>
      <c r="J27" s="29">
        <f ca="1">ROUND(MIN(MAX(_xlfn.NORM.INV(RAND(),C$7,C$8),C$5),C$6),0)</f>
        <v>16</v>
      </c>
      <c r="K27" s="29">
        <f t="shared" ca="1" si="0"/>
        <v>16</v>
      </c>
      <c r="L27" s="29">
        <f ca="1">IF(I27-K27+L26&lt;B$11,B$12,0)</f>
        <v>0</v>
      </c>
      <c r="M27" s="29">
        <f t="shared" ca="1" si="3"/>
        <v>160</v>
      </c>
      <c r="N27" s="29">
        <f t="shared" ca="1" si="1"/>
        <v>0</v>
      </c>
      <c r="O27" s="31">
        <f t="shared" ca="1" si="2"/>
        <v>1</v>
      </c>
      <c r="Q27">
        <f t="shared" ca="1" si="4"/>
        <v>160</v>
      </c>
    </row>
    <row r="28" spans="1:17" x14ac:dyDescent="0.3">
      <c r="H28" s="37">
        <v>46080</v>
      </c>
      <c r="I28" s="78">
        <f t="shared" ca="1" si="5"/>
        <v>162</v>
      </c>
      <c r="J28" s="29">
        <f ca="1">ROUND(MIN(MAX(_xlfn.NORM.INV(RAND(),C$7,C$8),C$5),C$6),0)</f>
        <v>16</v>
      </c>
      <c r="K28" s="29">
        <f t="shared" ca="1" si="0"/>
        <v>16</v>
      </c>
      <c r="L28" s="29">
        <f ca="1">IF(I28-K28+L27&lt;B$11,B$12,0)</f>
        <v>0</v>
      </c>
      <c r="M28" s="29">
        <f t="shared" ca="1" si="3"/>
        <v>0</v>
      </c>
      <c r="N28" s="29">
        <f t="shared" ca="1" si="1"/>
        <v>0</v>
      </c>
      <c r="O28" s="31">
        <f t="shared" ca="1" si="2"/>
        <v>1</v>
      </c>
      <c r="Q28">
        <f t="shared" ca="1" si="4"/>
        <v>0</v>
      </c>
    </row>
    <row r="29" spans="1:17" x14ac:dyDescent="0.3">
      <c r="H29" s="37">
        <v>46081</v>
      </c>
      <c r="I29" s="78">
        <f t="shared" ca="1" si="5"/>
        <v>146</v>
      </c>
      <c r="J29" s="29">
        <f ca="1">ROUND(MIN(MAX(_xlfn.NORM.INV(RAND(),C$7,C$8),C$5),C$6),0)</f>
        <v>12</v>
      </c>
      <c r="K29" s="29">
        <f t="shared" ca="1" si="0"/>
        <v>12</v>
      </c>
      <c r="L29" s="29">
        <f ca="1">IF(I29-K29+L28&lt;B$11,B$12,0)</f>
        <v>0</v>
      </c>
      <c r="M29" s="29">
        <f t="shared" ca="1" si="3"/>
        <v>0</v>
      </c>
      <c r="N29" s="29">
        <f t="shared" ca="1" si="1"/>
        <v>0</v>
      </c>
      <c r="O29" s="31">
        <f t="shared" ca="1" si="2"/>
        <v>1</v>
      </c>
      <c r="Q29">
        <f t="shared" ca="1" si="4"/>
        <v>0</v>
      </c>
    </row>
    <row r="30" spans="1:17" x14ac:dyDescent="0.3">
      <c r="H30" s="37">
        <v>46082</v>
      </c>
      <c r="I30" s="78">
        <f t="shared" ca="1" si="5"/>
        <v>134</v>
      </c>
      <c r="J30" s="29">
        <f ca="1">ROUND(MIN(MAX(_xlfn.NORM.INV(RAND(),C$7,C$8),C$5),C$6),0)</f>
        <v>12</v>
      </c>
      <c r="K30" s="29">
        <f t="shared" ca="1" si="0"/>
        <v>12</v>
      </c>
      <c r="L30" s="29">
        <f ca="1">IF(I30-K30+L29&lt;B$11,B$12,0)</f>
        <v>0</v>
      </c>
      <c r="M30" s="29">
        <f t="shared" ca="1" si="3"/>
        <v>0</v>
      </c>
      <c r="N30" s="29">
        <f t="shared" ca="1" si="1"/>
        <v>0</v>
      </c>
      <c r="O30" s="31">
        <f t="shared" ca="1" si="2"/>
        <v>1</v>
      </c>
      <c r="Q30">
        <f t="shared" ca="1" si="4"/>
        <v>0</v>
      </c>
    </row>
    <row r="31" spans="1:17" x14ac:dyDescent="0.3">
      <c r="H31" s="37">
        <v>46083</v>
      </c>
      <c r="I31" s="78">
        <f t="shared" ca="1" si="5"/>
        <v>122</v>
      </c>
      <c r="J31" s="29">
        <f ca="1">ROUND(MIN(MAX(_xlfn.NORM.INV(RAND(),C$7,C$8),C$5),C$6),0)</f>
        <v>14</v>
      </c>
      <c r="K31" s="29">
        <f t="shared" ca="1" si="0"/>
        <v>14</v>
      </c>
      <c r="L31" s="29">
        <f ca="1">IF(I31-K31+L30&lt;B$11,B$12,0)</f>
        <v>0</v>
      </c>
      <c r="M31" s="29">
        <f t="shared" ca="1" si="3"/>
        <v>0</v>
      </c>
      <c r="N31" s="29">
        <f t="shared" ca="1" si="1"/>
        <v>0</v>
      </c>
      <c r="O31" s="31">
        <f t="shared" ca="1" si="2"/>
        <v>1</v>
      </c>
      <c r="Q31">
        <f t="shared" ca="1" si="4"/>
        <v>0</v>
      </c>
    </row>
    <row r="32" spans="1:17" x14ac:dyDescent="0.3">
      <c r="H32" s="37">
        <v>46084</v>
      </c>
      <c r="I32" s="78">
        <f t="shared" ca="1" si="5"/>
        <v>108</v>
      </c>
      <c r="J32" s="29">
        <f ca="1">ROUND(MIN(MAX(_xlfn.NORM.INV(RAND(),C$7,C$8),C$5),C$6),0)</f>
        <v>16</v>
      </c>
      <c r="K32" s="29">
        <f t="shared" ca="1" si="0"/>
        <v>16</v>
      </c>
      <c r="L32" s="29">
        <f ca="1">IF(I32-K32+L31&lt;B$11,B$12,0)</f>
        <v>0</v>
      </c>
      <c r="M32" s="29">
        <f t="shared" ca="1" si="3"/>
        <v>0</v>
      </c>
      <c r="N32" s="29">
        <f t="shared" ca="1" si="1"/>
        <v>0</v>
      </c>
      <c r="O32" s="31">
        <f t="shared" ca="1" si="2"/>
        <v>1</v>
      </c>
      <c r="Q32">
        <f t="shared" ca="1" si="4"/>
        <v>0</v>
      </c>
    </row>
    <row r="33" spans="8:17" x14ac:dyDescent="0.3">
      <c r="H33" s="37">
        <v>46085</v>
      </c>
      <c r="I33" s="78">
        <f t="shared" ca="1" si="5"/>
        <v>92</v>
      </c>
      <c r="J33" s="29">
        <f ca="1">ROUND(MIN(MAX(_xlfn.NORM.INV(RAND(),C$7,C$8),C$5),C$6),0)</f>
        <v>12</v>
      </c>
      <c r="K33" s="29">
        <f t="shared" ca="1" si="0"/>
        <v>12</v>
      </c>
      <c r="L33" s="29">
        <f ca="1">IF(I33-K33+L32&lt;B$11,B$12,0)</f>
        <v>0</v>
      </c>
      <c r="M33" s="29">
        <f t="shared" ca="1" si="3"/>
        <v>0</v>
      </c>
      <c r="N33" s="29">
        <f t="shared" ca="1" si="1"/>
        <v>0</v>
      </c>
      <c r="O33" s="31">
        <f t="shared" ca="1" si="2"/>
        <v>1</v>
      </c>
      <c r="Q33">
        <f t="shared" ca="1" si="4"/>
        <v>0</v>
      </c>
    </row>
    <row r="34" spans="8:17" x14ac:dyDescent="0.3">
      <c r="H34" s="37">
        <v>46086</v>
      </c>
      <c r="I34" s="78">
        <f t="shared" ca="1" si="5"/>
        <v>80</v>
      </c>
      <c r="J34" s="29">
        <f ca="1">ROUND(MIN(MAX(_xlfn.NORM.INV(RAND(),C$7,C$8),C$5),C$6),0)</f>
        <v>15</v>
      </c>
      <c r="K34" s="29">
        <f t="shared" ca="1" si="0"/>
        <v>15</v>
      </c>
      <c r="L34" s="29">
        <f ca="1">IF(I34-K34+L33&lt;B$11,B$12,0)</f>
        <v>0</v>
      </c>
      <c r="M34" s="29">
        <f t="shared" ca="1" si="3"/>
        <v>0</v>
      </c>
      <c r="N34" s="29">
        <f t="shared" ca="1" si="1"/>
        <v>0</v>
      </c>
      <c r="O34" s="31">
        <f t="shared" ca="1" si="2"/>
        <v>1</v>
      </c>
      <c r="Q34">
        <f t="shared" ca="1" si="4"/>
        <v>0</v>
      </c>
    </row>
    <row r="35" spans="8:17" x14ac:dyDescent="0.3">
      <c r="H35" s="37">
        <v>46087</v>
      </c>
      <c r="I35" s="78">
        <f t="shared" ca="1" si="5"/>
        <v>65</v>
      </c>
      <c r="J35" s="29">
        <f ca="1">ROUND(MIN(MAX(_xlfn.NORM.INV(RAND(),C$7,C$8),C$5),C$6),0)</f>
        <v>16</v>
      </c>
      <c r="K35" s="29">
        <f t="shared" ca="1" si="0"/>
        <v>16</v>
      </c>
      <c r="L35" s="29">
        <f ca="1">IF(I35-K35+L34&lt;B$11,B$12,0)</f>
        <v>0</v>
      </c>
      <c r="M35" s="29">
        <f t="shared" ca="1" si="3"/>
        <v>0</v>
      </c>
      <c r="N35" s="29">
        <f t="shared" ca="1" si="1"/>
        <v>0</v>
      </c>
      <c r="O35" s="31">
        <f t="shared" ca="1" si="2"/>
        <v>1</v>
      </c>
      <c r="Q35">
        <f t="shared" ca="1" si="4"/>
        <v>0</v>
      </c>
    </row>
    <row r="36" spans="8:17" x14ac:dyDescent="0.3">
      <c r="H36" s="37">
        <v>46088</v>
      </c>
      <c r="I36" s="78">
        <f t="shared" ca="1" si="5"/>
        <v>49</v>
      </c>
      <c r="J36" s="29">
        <f ca="1">ROUND(MIN(MAX(_xlfn.NORM.INV(RAND(),C$7,C$8),C$5),C$6),0)</f>
        <v>20</v>
      </c>
      <c r="K36" s="29">
        <f t="shared" ca="1" si="0"/>
        <v>20</v>
      </c>
      <c r="L36" s="29">
        <f ca="1">IF(I36-K36+L35&lt;B$11,B$12,0)</f>
        <v>160</v>
      </c>
      <c r="M36" s="29">
        <f t="shared" ca="1" si="3"/>
        <v>0</v>
      </c>
      <c r="N36" s="29">
        <f t="shared" ca="1" si="1"/>
        <v>0</v>
      </c>
      <c r="O36" s="31">
        <f t="shared" ca="1" si="2"/>
        <v>1</v>
      </c>
      <c r="Q36">
        <f t="shared" ca="1" si="4"/>
        <v>0</v>
      </c>
    </row>
    <row r="37" spans="8:17" x14ac:dyDescent="0.3">
      <c r="H37" s="37">
        <v>46089</v>
      </c>
      <c r="I37" s="78">
        <f t="shared" ca="1" si="5"/>
        <v>29</v>
      </c>
      <c r="J37" s="29">
        <f ca="1">ROUND(MIN(MAX(_xlfn.NORM.INV(RAND(),C$7,C$8),C$5),C$6),0)</f>
        <v>14</v>
      </c>
      <c r="K37" s="29">
        <f t="shared" ca="1" si="0"/>
        <v>14</v>
      </c>
      <c r="L37" s="29">
        <f ca="1">IF(I37-K37+L36&lt;B$11,B$12,0)</f>
        <v>0</v>
      </c>
      <c r="M37" s="29">
        <f t="shared" ca="1" si="3"/>
        <v>0</v>
      </c>
      <c r="N37" s="29">
        <f t="shared" ca="1" si="1"/>
        <v>0</v>
      </c>
      <c r="O37" s="31">
        <f t="shared" ca="1" si="2"/>
        <v>1</v>
      </c>
      <c r="Q37">
        <f t="shared" ca="1" si="4"/>
        <v>0</v>
      </c>
    </row>
    <row r="38" spans="8:17" x14ac:dyDescent="0.3">
      <c r="H38" s="37">
        <v>46090</v>
      </c>
      <c r="I38" s="78">
        <f t="shared" ca="1" si="5"/>
        <v>175</v>
      </c>
      <c r="J38" s="29">
        <f ca="1">ROUND(MIN(MAX(_xlfn.NORM.INV(RAND(),C$7,C$8),C$5),C$6),0)</f>
        <v>10</v>
      </c>
      <c r="K38" s="29">
        <f t="shared" ca="1" si="0"/>
        <v>10</v>
      </c>
      <c r="L38" s="29">
        <f ca="1">IF(I38-K38+L37&lt;B$11,B$12,0)</f>
        <v>0</v>
      </c>
      <c r="M38" s="29">
        <f t="shared" ca="1" si="3"/>
        <v>160</v>
      </c>
      <c r="N38" s="29">
        <f t="shared" ca="1" si="1"/>
        <v>0</v>
      </c>
      <c r="O38" s="31">
        <f t="shared" ca="1" si="2"/>
        <v>1</v>
      </c>
      <c r="Q38">
        <f t="shared" ca="1" si="4"/>
        <v>160</v>
      </c>
    </row>
    <row r="39" spans="8:17" x14ac:dyDescent="0.3">
      <c r="H39" s="37">
        <v>46091</v>
      </c>
      <c r="I39" s="78">
        <f t="shared" ca="1" si="5"/>
        <v>165</v>
      </c>
      <c r="J39" s="29">
        <f ca="1">ROUND(MIN(MAX(_xlfn.NORM.INV(RAND(),C$7,C$8),C$5),C$6),0)</f>
        <v>18</v>
      </c>
      <c r="K39" s="29">
        <f t="shared" ca="1" si="0"/>
        <v>18</v>
      </c>
      <c r="L39" s="29">
        <f ca="1">IF(I39-K39+L38&lt;B$11,B$12,0)</f>
        <v>0</v>
      </c>
      <c r="M39" s="29">
        <f t="shared" ca="1" si="3"/>
        <v>0</v>
      </c>
      <c r="N39" s="29">
        <f t="shared" ca="1" si="1"/>
        <v>0</v>
      </c>
      <c r="O39" s="31">
        <f t="shared" ca="1" si="2"/>
        <v>1</v>
      </c>
      <c r="Q39">
        <f t="shared" ca="1" si="4"/>
        <v>0</v>
      </c>
    </row>
    <row r="40" spans="8:17" x14ac:dyDescent="0.3">
      <c r="H40" s="37">
        <v>46092</v>
      </c>
      <c r="I40" s="78">
        <f t="shared" ca="1" si="5"/>
        <v>147</v>
      </c>
      <c r="J40" s="29">
        <f ca="1">ROUND(MIN(MAX(_xlfn.NORM.INV(RAND(),C$7,C$8),C$5),C$6),0)</f>
        <v>9</v>
      </c>
      <c r="K40" s="29">
        <f t="shared" ca="1" si="0"/>
        <v>9</v>
      </c>
      <c r="L40" s="29">
        <f ca="1">IF(I40-K40+L39&lt;B$11,B$12,0)</f>
        <v>0</v>
      </c>
      <c r="M40" s="29">
        <f t="shared" ca="1" si="3"/>
        <v>0</v>
      </c>
      <c r="N40" s="29">
        <f t="shared" ca="1" si="1"/>
        <v>0</v>
      </c>
      <c r="O40" s="31">
        <f t="shared" ca="1" si="2"/>
        <v>1</v>
      </c>
      <c r="Q40">
        <f t="shared" ca="1" si="4"/>
        <v>0</v>
      </c>
    </row>
    <row r="41" spans="8:17" x14ac:dyDescent="0.3">
      <c r="H41" s="37">
        <v>46093</v>
      </c>
      <c r="I41" s="78">
        <f t="shared" ca="1" si="5"/>
        <v>138</v>
      </c>
      <c r="J41" s="29">
        <f ca="1">ROUND(MIN(MAX(_xlfn.NORM.INV(RAND(),C$7,C$8),C$5),C$6),0)</f>
        <v>13</v>
      </c>
      <c r="K41" s="29">
        <f t="shared" ca="1" si="0"/>
        <v>13</v>
      </c>
      <c r="L41" s="29">
        <f ca="1">IF(I41-K41+L40&lt;B$11,B$12,0)</f>
        <v>0</v>
      </c>
      <c r="M41" s="29">
        <f t="shared" ca="1" si="3"/>
        <v>0</v>
      </c>
      <c r="N41" s="29">
        <f t="shared" ca="1" si="1"/>
        <v>0</v>
      </c>
      <c r="O41" s="31">
        <f t="shared" ca="1" si="2"/>
        <v>1</v>
      </c>
      <c r="Q41">
        <f t="shared" ca="1" si="4"/>
        <v>0</v>
      </c>
    </row>
    <row r="42" spans="8:17" x14ac:dyDescent="0.3">
      <c r="H42" s="37">
        <v>46094</v>
      </c>
      <c r="I42" s="78">
        <f t="shared" ca="1" si="5"/>
        <v>125</v>
      </c>
      <c r="J42" s="29">
        <f ca="1">ROUND(MIN(MAX(_xlfn.NORM.INV(RAND(),C$7,C$8),C$5),C$6),0)</f>
        <v>10</v>
      </c>
      <c r="K42" s="29">
        <f t="shared" ca="1" si="0"/>
        <v>10</v>
      </c>
      <c r="L42" s="29">
        <f ca="1">IF(I42-K42+L41&lt;B$11,B$12,0)</f>
        <v>0</v>
      </c>
      <c r="M42" s="29">
        <f t="shared" ca="1" si="3"/>
        <v>0</v>
      </c>
      <c r="N42" s="29">
        <f t="shared" ca="1" si="1"/>
        <v>0</v>
      </c>
      <c r="O42" s="31">
        <f t="shared" ca="1" si="2"/>
        <v>1</v>
      </c>
      <c r="Q42">
        <f t="shared" ca="1" si="4"/>
        <v>0</v>
      </c>
    </row>
    <row r="43" spans="8:17" x14ac:dyDescent="0.3">
      <c r="H43" s="37">
        <v>46095</v>
      </c>
      <c r="I43" s="78">
        <f t="shared" ca="1" si="5"/>
        <v>115</v>
      </c>
      <c r="J43" s="29">
        <f ca="1">ROUND(MIN(MAX(_xlfn.NORM.INV(RAND(),C$7,C$8),C$5),C$6),0)</f>
        <v>13</v>
      </c>
      <c r="K43" s="29">
        <f t="shared" ca="1" si="0"/>
        <v>13</v>
      </c>
      <c r="L43" s="29">
        <f ca="1">IF(I43-K43+L42&lt;B$11,B$12,0)</f>
        <v>0</v>
      </c>
      <c r="M43" s="29">
        <f t="shared" ca="1" si="3"/>
        <v>0</v>
      </c>
      <c r="N43" s="29">
        <f t="shared" ca="1" si="1"/>
        <v>0</v>
      </c>
      <c r="O43" s="31">
        <f t="shared" ca="1" si="2"/>
        <v>1</v>
      </c>
      <c r="Q43">
        <f t="shared" ca="1" si="4"/>
        <v>0</v>
      </c>
    </row>
    <row r="44" spans="8:17" x14ac:dyDescent="0.3">
      <c r="H44" s="37">
        <v>46096</v>
      </c>
      <c r="I44" s="78">
        <f t="shared" ca="1" si="5"/>
        <v>102</v>
      </c>
      <c r="J44" s="29">
        <f ca="1">ROUND(MIN(MAX(_xlfn.NORM.INV(RAND(),C$7,C$8),C$5),C$6),0)</f>
        <v>11</v>
      </c>
      <c r="K44" s="29">
        <f t="shared" ca="1" si="0"/>
        <v>11</v>
      </c>
      <c r="L44" s="29">
        <f ca="1">IF(I44-K44+L43&lt;B$11,B$12,0)</f>
        <v>0</v>
      </c>
      <c r="M44" s="29">
        <f t="shared" ca="1" si="3"/>
        <v>0</v>
      </c>
      <c r="N44" s="29">
        <f t="shared" ca="1" si="1"/>
        <v>0</v>
      </c>
      <c r="O44" s="31">
        <f t="shared" ca="1" si="2"/>
        <v>1</v>
      </c>
      <c r="Q44">
        <f t="shared" ca="1" si="4"/>
        <v>0</v>
      </c>
    </row>
    <row r="45" spans="8:17" x14ac:dyDescent="0.3">
      <c r="H45" s="37">
        <v>46097</v>
      </c>
      <c r="I45" s="78">
        <f t="shared" ca="1" si="5"/>
        <v>91</v>
      </c>
      <c r="J45" s="29">
        <f ca="1">ROUND(MIN(MAX(_xlfn.NORM.INV(RAND(),C$7,C$8),C$5),C$6),0)</f>
        <v>20</v>
      </c>
      <c r="K45" s="29">
        <f t="shared" ca="1" si="0"/>
        <v>20</v>
      </c>
      <c r="L45" s="29">
        <f ca="1">IF(I45-K45+L44&lt;B$11,B$12,0)</f>
        <v>0</v>
      </c>
      <c r="M45" s="29">
        <f t="shared" ca="1" si="3"/>
        <v>0</v>
      </c>
      <c r="N45" s="29">
        <f t="shared" ca="1" si="1"/>
        <v>0</v>
      </c>
      <c r="O45" s="31">
        <f t="shared" ca="1" si="2"/>
        <v>1</v>
      </c>
      <c r="Q45">
        <f t="shared" ca="1" si="4"/>
        <v>0</v>
      </c>
    </row>
    <row r="46" spans="8:17" x14ac:dyDescent="0.3">
      <c r="H46" s="37">
        <v>46098</v>
      </c>
      <c r="I46" s="78">
        <f t="shared" ca="1" si="5"/>
        <v>71</v>
      </c>
      <c r="J46" s="29">
        <f ca="1">ROUND(MIN(MAX(_xlfn.NORM.INV(RAND(),C$7,C$8),C$5),C$6),0)</f>
        <v>8</v>
      </c>
      <c r="K46" s="29">
        <f t="shared" ca="1" si="0"/>
        <v>8</v>
      </c>
      <c r="L46" s="29">
        <f ca="1">IF(I46-K46+L45&lt;B$11,B$12,0)</f>
        <v>0</v>
      </c>
      <c r="M46" s="29">
        <f t="shared" ca="1" si="3"/>
        <v>0</v>
      </c>
      <c r="N46" s="29">
        <f t="shared" ca="1" si="1"/>
        <v>0</v>
      </c>
      <c r="O46" s="31">
        <f t="shared" ca="1" si="2"/>
        <v>1</v>
      </c>
      <c r="Q46">
        <f t="shared" ca="1" si="4"/>
        <v>0</v>
      </c>
    </row>
    <row r="47" spans="8:17" x14ac:dyDescent="0.3">
      <c r="H47" s="37">
        <v>46099</v>
      </c>
      <c r="I47" s="78">
        <f t="shared" ca="1" si="5"/>
        <v>63</v>
      </c>
      <c r="J47" s="29">
        <f ca="1">ROUND(MIN(MAX(_xlfn.NORM.INV(RAND(),C$7,C$8),C$5),C$6),0)</f>
        <v>15</v>
      </c>
      <c r="K47" s="29">
        <f t="shared" ca="1" si="0"/>
        <v>15</v>
      </c>
      <c r="L47" s="29">
        <f ca="1">IF(I47-K47+L46&lt;B$11,B$12,0)</f>
        <v>0</v>
      </c>
      <c r="M47" s="29">
        <f t="shared" ca="1" si="3"/>
        <v>0</v>
      </c>
      <c r="N47" s="29">
        <f t="shared" ca="1" si="1"/>
        <v>0</v>
      </c>
      <c r="O47" s="31">
        <f t="shared" ca="1" si="2"/>
        <v>1</v>
      </c>
      <c r="Q47">
        <f t="shared" ca="1" si="4"/>
        <v>0</v>
      </c>
    </row>
    <row r="48" spans="8:17" x14ac:dyDescent="0.3">
      <c r="H48" s="37">
        <v>46100</v>
      </c>
      <c r="I48" s="78">
        <f t="shared" ca="1" si="5"/>
        <v>48</v>
      </c>
      <c r="J48" s="29">
        <f ca="1">ROUND(MIN(MAX(_xlfn.NORM.INV(RAND(),C$7,C$8),C$5),C$6),0)</f>
        <v>10</v>
      </c>
      <c r="K48" s="29">
        <f t="shared" ca="1" si="0"/>
        <v>10</v>
      </c>
      <c r="L48" s="29">
        <f ca="1">IF(I48-K48+L47&lt;B$11,B$12,0)</f>
        <v>160</v>
      </c>
      <c r="M48" s="29">
        <f t="shared" ca="1" si="3"/>
        <v>0</v>
      </c>
      <c r="N48" s="29">
        <f t="shared" ca="1" si="1"/>
        <v>0</v>
      </c>
      <c r="O48" s="31">
        <f t="shared" ca="1" si="2"/>
        <v>1</v>
      </c>
      <c r="Q48">
        <f t="shared" ca="1" si="4"/>
        <v>0</v>
      </c>
    </row>
    <row r="49" spans="8:17" x14ac:dyDescent="0.3">
      <c r="H49" s="37">
        <v>46101</v>
      </c>
      <c r="I49" s="78">
        <f t="shared" ca="1" si="5"/>
        <v>38</v>
      </c>
      <c r="J49" s="29">
        <f ca="1">ROUND(MIN(MAX(_xlfn.NORM.INV(RAND(),C$7,C$8),C$5),C$6),0)</f>
        <v>15</v>
      </c>
      <c r="K49" s="29">
        <f t="shared" ca="1" si="0"/>
        <v>15</v>
      </c>
      <c r="L49" s="29">
        <f ca="1">IF(I49-K49+L48&lt;B$11,B$12,0)</f>
        <v>0</v>
      </c>
      <c r="M49" s="29">
        <f t="shared" ca="1" si="3"/>
        <v>0</v>
      </c>
      <c r="N49" s="29">
        <f t="shared" ca="1" si="1"/>
        <v>0</v>
      </c>
      <c r="O49" s="31">
        <f t="shared" ca="1" si="2"/>
        <v>1</v>
      </c>
      <c r="Q49">
        <f t="shared" ca="1" si="4"/>
        <v>0</v>
      </c>
    </row>
    <row r="50" spans="8:17" x14ac:dyDescent="0.3">
      <c r="H50" s="37">
        <v>46102</v>
      </c>
      <c r="I50" s="78">
        <f t="shared" ca="1" si="5"/>
        <v>183</v>
      </c>
      <c r="J50" s="29">
        <f ca="1">ROUND(MIN(MAX(_xlfn.NORM.INV(RAND(),C$7,C$8),C$5),C$6),0)</f>
        <v>16</v>
      </c>
      <c r="K50" s="29">
        <f t="shared" ca="1" si="0"/>
        <v>16</v>
      </c>
      <c r="L50" s="29">
        <f ca="1">IF(I50-K50+L49&lt;B$11,B$12,0)</f>
        <v>0</v>
      </c>
      <c r="M50" s="29">
        <f t="shared" ca="1" si="3"/>
        <v>160</v>
      </c>
      <c r="N50" s="29">
        <f t="shared" ca="1" si="1"/>
        <v>0</v>
      </c>
      <c r="O50" s="31">
        <f t="shared" ca="1" si="2"/>
        <v>1</v>
      </c>
      <c r="Q50">
        <f t="shared" ca="1" si="4"/>
        <v>160</v>
      </c>
    </row>
    <row r="51" spans="8:17" x14ac:dyDescent="0.3">
      <c r="H51" s="37">
        <v>46103</v>
      </c>
      <c r="I51" s="78">
        <f t="shared" ca="1" si="5"/>
        <v>167</v>
      </c>
      <c r="J51" s="29">
        <f ca="1">ROUND(MIN(MAX(_xlfn.NORM.INV(RAND(),C$7,C$8),C$5),C$6),0)</f>
        <v>13</v>
      </c>
      <c r="K51" s="29">
        <f t="shared" ca="1" si="0"/>
        <v>13</v>
      </c>
      <c r="L51" s="29">
        <f ca="1">IF(I51-K51+L50&lt;B$11,B$12,0)</f>
        <v>0</v>
      </c>
      <c r="M51" s="29">
        <f t="shared" ca="1" si="3"/>
        <v>0</v>
      </c>
      <c r="N51" s="29">
        <f t="shared" ca="1" si="1"/>
        <v>0</v>
      </c>
      <c r="O51" s="31">
        <f t="shared" ca="1" si="2"/>
        <v>1</v>
      </c>
      <c r="Q51">
        <f t="shared" ca="1" si="4"/>
        <v>0</v>
      </c>
    </row>
    <row r="52" spans="8:17" x14ac:dyDescent="0.3">
      <c r="H52" s="37">
        <v>46104</v>
      </c>
      <c r="I52" s="78">
        <f t="shared" ca="1" si="5"/>
        <v>154</v>
      </c>
      <c r="J52" s="29">
        <f ca="1">ROUND(MIN(MAX(_xlfn.NORM.INV(RAND(),C$7,C$8),C$5),C$6),0)</f>
        <v>16</v>
      </c>
      <c r="K52" s="29">
        <f t="shared" ca="1" si="0"/>
        <v>16</v>
      </c>
      <c r="L52" s="29">
        <f ca="1">IF(I52-K52+L51&lt;B$11,B$12,0)</f>
        <v>0</v>
      </c>
      <c r="M52" s="29">
        <f t="shared" ca="1" si="3"/>
        <v>0</v>
      </c>
      <c r="N52" s="29">
        <f t="shared" ca="1" si="1"/>
        <v>0</v>
      </c>
      <c r="O52" s="31">
        <f t="shared" ca="1" si="2"/>
        <v>1</v>
      </c>
      <c r="Q52">
        <f t="shared" ca="1" si="4"/>
        <v>0</v>
      </c>
    </row>
    <row r="53" spans="8:17" x14ac:dyDescent="0.3">
      <c r="H53" s="37">
        <v>46105</v>
      </c>
      <c r="I53" s="78">
        <f t="shared" ca="1" si="5"/>
        <v>138</v>
      </c>
      <c r="J53" s="29">
        <f ca="1">ROUND(MIN(MAX(_xlfn.NORM.INV(RAND(),C$7,C$8),C$5),C$6),0)</f>
        <v>16</v>
      </c>
      <c r="K53" s="29">
        <f t="shared" ca="1" si="0"/>
        <v>16</v>
      </c>
      <c r="L53" s="29">
        <f ca="1">IF(I53-K53+L52&lt;B$11,B$12,0)</f>
        <v>0</v>
      </c>
      <c r="M53" s="29">
        <f t="shared" ca="1" si="3"/>
        <v>0</v>
      </c>
      <c r="N53" s="29">
        <f t="shared" ca="1" si="1"/>
        <v>0</v>
      </c>
      <c r="O53" s="31">
        <f t="shared" ca="1" si="2"/>
        <v>1</v>
      </c>
      <c r="Q53">
        <f t="shared" ca="1" si="4"/>
        <v>0</v>
      </c>
    </row>
    <row r="54" spans="8:17" x14ac:dyDescent="0.3">
      <c r="H54" s="37">
        <v>46106</v>
      </c>
      <c r="I54" s="78">
        <f t="shared" ca="1" si="5"/>
        <v>122</v>
      </c>
      <c r="J54" s="29">
        <f ca="1">ROUND(MIN(MAX(_xlfn.NORM.INV(RAND(),C$7,C$8),C$5),C$6),0)</f>
        <v>9</v>
      </c>
      <c r="K54" s="29">
        <f t="shared" ref="K54:K60" ca="1" si="6">MIN(I54,J54)</f>
        <v>9</v>
      </c>
      <c r="L54" s="29">
        <f ca="1">IF(I54-K54+L53&lt;B$11,B$12,0)</f>
        <v>0</v>
      </c>
      <c r="M54" s="29">
        <f t="shared" ca="1" si="3"/>
        <v>0</v>
      </c>
      <c r="N54" s="29">
        <f t="shared" ref="N54:N60" ca="1" si="7">J54-K54</f>
        <v>0</v>
      </c>
      <c r="O54" s="31">
        <f t="shared" ref="O54:O61" ca="1" si="8">IF(J54=0,1,K54/J54)</f>
        <v>1</v>
      </c>
      <c r="Q54">
        <f t="shared" ca="1" si="4"/>
        <v>0</v>
      </c>
    </row>
    <row r="55" spans="8:17" x14ac:dyDescent="0.3">
      <c r="H55" s="37">
        <v>46107</v>
      </c>
      <c r="I55" s="78">
        <f t="shared" ca="1" si="5"/>
        <v>113</v>
      </c>
      <c r="J55" s="29">
        <f ca="1">ROUND(MIN(MAX(_xlfn.NORM.INV(RAND(),C$7,C$8),C$5),C$6),0)</f>
        <v>13</v>
      </c>
      <c r="K55" s="29">
        <f t="shared" ca="1" si="6"/>
        <v>13</v>
      </c>
      <c r="L55" s="29">
        <f ca="1">IF(I55-K55+L54&lt;B$11,B$12,0)</f>
        <v>0</v>
      </c>
      <c r="M55" s="29">
        <f t="shared" ca="1" si="3"/>
        <v>0</v>
      </c>
      <c r="N55" s="29">
        <f t="shared" ca="1" si="7"/>
        <v>0</v>
      </c>
      <c r="O55" s="31">
        <f t="shared" ca="1" si="8"/>
        <v>1</v>
      </c>
      <c r="Q55">
        <f t="shared" ca="1" si="4"/>
        <v>0</v>
      </c>
    </row>
    <row r="56" spans="8:17" x14ac:dyDescent="0.3">
      <c r="H56" s="37">
        <v>46108</v>
      </c>
      <c r="I56" s="78">
        <f t="shared" ca="1" si="5"/>
        <v>100</v>
      </c>
      <c r="J56" s="29">
        <f ca="1">ROUND(MIN(MAX(_xlfn.NORM.INV(RAND(),C$7,C$8),C$5),C$6),0)</f>
        <v>12</v>
      </c>
      <c r="K56" s="29">
        <f t="shared" ca="1" si="6"/>
        <v>12</v>
      </c>
      <c r="L56" s="29">
        <f ca="1">IF(I56-K56+L55&lt;B$11,B$12,0)</f>
        <v>0</v>
      </c>
      <c r="M56" s="29">
        <f t="shared" ca="1" si="3"/>
        <v>0</v>
      </c>
      <c r="N56" s="29">
        <f t="shared" ca="1" si="7"/>
        <v>0</v>
      </c>
      <c r="O56" s="31">
        <f t="shared" ca="1" si="8"/>
        <v>1</v>
      </c>
      <c r="Q56">
        <f t="shared" ca="1" si="4"/>
        <v>0</v>
      </c>
    </row>
    <row r="57" spans="8:17" x14ac:dyDescent="0.3">
      <c r="H57" s="37">
        <v>46109</v>
      </c>
      <c r="I57" s="78">
        <f t="shared" ca="1" si="5"/>
        <v>88</v>
      </c>
      <c r="J57" s="29">
        <f ca="1">ROUND(MIN(MAX(_xlfn.NORM.INV(RAND(),C$7,C$8),C$5),C$6),0)</f>
        <v>13</v>
      </c>
      <c r="K57" s="29">
        <f t="shared" ca="1" si="6"/>
        <v>13</v>
      </c>
      <c r="L57" s="29">
        <f ca="1">IF(I57-K57+L56&lt;B$11,B$12,0)</f>
        <v>0</v>
      </c>
      <c r="M57" s="29">
        <f t="shared" ca="1" si="3"/>
        <v>0</v>
      </c>
      <c r="N57" s="29">
        <f t="shared" ca="1" si="7"/>
        <v>0</v>
      </c>
      <c r="O57" s="31">
        <f t="shared" ca="1" si="8"/>
        <v>1</v>
      </c>
      <c r="Q57">
        <f t="shared" ca="1" si="4"/>
        <v>0</v>
      </c>
    </row>
    <row r="58" spans="8:17" x14ac:dyDescent="0.3">
      <c r="H58" s="37">
        <v>46110</v>
      </c>
      <c r="I58" s="78">
        <f t="shared" ca="1" si="5"/>
        <v>75</v>
      </c>
      <c r="J58" s="29">
        <f ca="1">ROUND(MIN(MAX(_xlfn.NORM.INV(RAND(),C$7,C$8),C$5),C$6),0)</f>
        <v>18</v>
      </c>
      <c r="K58" s="29">
        <f t="shared" ca="1" si="6"/>
        <v>18</v>
      </c>
      <c r="L58" s="29">
        <f ca="1">IF(I58-K58+L57&lt;B$11,B$12,0)</f>
        <v>0</v>
      </c>
      <c r="M58" s="29">
        <f t="shared" ca="1" si="3"/>
        <v>0</v>
      </c>
      <c r="N58" s="29">
        <f t="shared" ca="1" si="7"/>
        <v>0</v>
      </c>
      <c r="O58" s="31">
        <f t="shared" ca="1" si="8"/>
        <v>1</v>
      </c>
      <c r="Q58">
        <f t="shared" ca="1" si="4"/>
        <v>0</v>
      </c>
    </row>
    <row r="59" spans="8:17" x14ac:dyDescent="0.3">
      <c r="H59" s="37">
        <v>46111</v>
      </c>
      <c r="I59" s="78">
        <f t="shared" ca="1" si="5"/>
        <v>57</v>
      </c>
      <c r="J59" s="29">
        <f ca="1">ROUND(MIN(MAX(_xlfn.NORM.INV(RAND(),C$7,C$8),C$5),C$6),0)</f>
        <v>20</v>
      </c>
      <c r="K59" s="29">
        <f t="shared" ca="1" si="6"/>
        <v>20</v>
      </c>
      <c r="L59" s="29">
        <f ca="1">IF(I59-K59+L58&lt;B$11,B$12,0)</f>
        <v>160</v>
      </c>
      <c r="M59" s="29">
        <f t="shared" ca="1" si="3"/>
        <v>0</v>
      </c>
      <c r="N59" s="29">
        <f t="shared" ca="1" si="7"/>
        <v>0</v>
      </c>
      <c r="O59" s="31">
        <f t="shared" ca="1" si="8"/>
        <v>1</v>
      </c>
      <c r="Q59">
        <f t="shared" ca="1" si="4"/>
        <v>0</v>
      </c>
    </row>
    <row r="60" spans="8:17" x14ac:dyDescent="0.3">
      <c r="H60" s="37">
        <v>46112</v>
      </c>
      <c r="I60" s="78">
        <f t="shared" ca="1" si="5"/>
        <v>37</v>
      </c>
      <c r="J60" s="29">
        <f ca="1">ROUND(MIN(MAX(_xlfn.NORM.INV(RAND(),C$7,C$8),C$5),C$6),0)</f>
        <v>8</v>
      </c>
      <c r="K60" s="29">
        <f t="shared" ca="1" si="6"/>
        <v>8</v>
      </c>
      <c r="L60" s="29">
        <f ca="1">IF(I60-K60+L59&lt;B$11,B$12,0)</f>
        <v>0</v>
      </c>
      <c r="M60" s="29">
        <f t="shared" ca="1" si="3"/>
        <v>0</v>
      </c>
      <c r="N60" s="29">
        <f t="shared" ca="1" si="7"/>
        <v>0</v>
      </c>
      <c r="O60" s="31">
        <f t="shared" ca="1" si="8"/>
        <v>1</v>
      </c>
      <c r="Q60">
        <f t="shared" ca="1" si="4"/>
        <v>0</v>
      </c>
    </row>
    <row r="61" spans="8:17" x14ac:dyDescent="0.3">
      <c r="H61" s="40" t="s">
        <v>35</v>
      </c>
      <c r="I61" s="29"/>
      <c r="J61" s="32">
        <f ca="1">SUM(J2:J60)</f>
        <v>795</v>
      </c>
      <c r="K61" s="32">
        <f ca="1">SUM(K2:K60)</f>
        <v>781</v>
      </c>
      <c r="L61" s="32">
        <f ca="1">SUM(L2:L60)</f>
        <v>960</v>
      </c>
      <c r="M61" s="32"/>
      <c r="N61" s="32">
        <f ca="1">SUM(N2:N60)</f>
        <v>14</v>
      </c>
      <c r="O61" s="41">
        <f t="shared" ca="1" si="8"/>
        <v>0.98238993710691824</v>
      </c>
    </row>
    <row r="62" spans="8:17" ht="15" thickBot="1" x14ac:dyDescent="0.35">
      <c r="I62" s="79"/>
    </row>
    <row r="63" spans="8:17" x14ac:dyDescent="0.3">
      <c r="H63" s="42" t="s">
        <v>36</v>
      </c>
      <c r="I63" s="80"/>
      <c r="J63" s="43"/>
      <c r="K63" s="43"/>
      <c r="L63" s="44">
        <f ca="1">COUNTIF(L2:L60,B12)</f>
        <v>6</v>
      </c>
      <c r="M63" s="86"/>
    </row>
    <row r="64" spans="8:17" x14ac:dyDescent="0.3">
      <c r="H64" s="45" t="s">
        <v>33</v>
      </c>
      <c r="I64" s="29"/>
      <c r="J64" s="13"/>
      <c r="K64" s="13"/>
      <c r="L64" s="46">
        <f ca="1">N61</f>
        <v>14</v>
      </c>
      <c r="M64" s="86"/>
    </row>
    <row r="65" spans="8:13" ht="15" thickBot="1" x14ac:dyDescent="0.35">
      <c r="H65" s="47" t="s">
        <v>25</v>
      </c>
      <c r="I65" s="81"/>
      <c r="J65" s="48"/>
      <c r="K65" s="48"/>
      <c r="L65" s="49">
        <f ca="1">1-L64/J61</f>
        <v>0.98238993710691824</v>
      </c>
      <c r="M65" s="87"/>
    </row>
    <row r="66" spans="8:13" x14ac:dyDescent="0.3">
      <c r="I66" s="88"/>
    </row>
    <row r="67" spans="8:13" ht="15" thickBot="1" x14ac:dyDescent="0.35">
      <c r="I67" s="88"/>
    </row>
    <row r="68" spans="8:13" x14ac:dyDescent="0.3">
      <c r="H68" s="15" t="s">
        <v>5</v>
      </c>
      <c r="I68" s="16">
        <v>0.8</v>
      </c>
      <c r="J68" s="16">
        <v>0.85</v>
      </c>
      <c r="K68" s="16">
        <v>0.9</v>
      </c>
      <c r="L68" s="16">
        <v>0.95</v>
      </c>
      <c r="M68" s="17">
        <v>0.99</v>
      </c>
    </row>
    <row r="69" spans="8:13" x14ac:dyDescent="0.3">
      <c r="H69" s="18" t="s">
        <v>6</v>
      </c>
      <c r="I69" s="19">
        <f>_xlfn.NORM.S.INV(I68)</f>
        <v>0.84162123357291474</v>
      </c>
      <c r="J69" s="19">
        <f>_xlfn.NORM.S.INV(J68)</f>
        <v>1.0364333894937898</v>
      </c>
      <c r="K69" s="19">
        <f>_xlfn.NORM.S.INV(K68)</f>
        <v>1.2815515655446006</v>
      </c>
      <c r="L69" s="19">
        <f>_xlfn.NORM.S.INV(L68)</f>
        <v>1.6448536269514715</v>
      </c>
      <c r="M69" s="20">
        <f>_xlfn.NORM.S.INV(M68)</f>
        <v>2.3263478740408408</v>
      </c>
    </row>
    <row r="70" spans="8:13" x14ac:dyDescent="0.3">
      <c r="H70" s="18" t="s">
        <v>22</v>
      </c>
      <c r="I70" s="38">
        <f>NORMDIST(I69,0,1,0)-I69*(1-NORMSDIST(I69))</f>
        <v>0.11163767369322539</v>
      </c>
      <c r="J70" s="38">
        <f>NORMDIST(J69,0,1,0)-J69*(1-NORMSDIST(J69))</f>
        <v>7.7693766829613847E-2</v>
      </c>
      <c r="K70" s="38">
        <f>NORMDIST(K69,0,1,0)-K69*(1-NORMSDIST(K69))</f>
        <v>4.7343175378026764E-2</v>
      </c>
      <c r="L70" s="38">
        <f>NORMDIST(L69,0,1,0)-L69*(1-NORMSDIST(L69))</f>
        <v>2.0892959027797683E-2</v>
      </c>
      <c r="M70" s="39">
        <f>NORMDIST(M69,0,1,0)-M69*(1-NORMSDIST(M69))</f>
        <v>3.3886634630496508E-3</v>
      </c>
    </row>
    <row r="71" spans="8:13" x14ac:dyDescent="0.3">
      <c r="H71" s="18" t="s">
        <v>23</v>
      </c>
      <c r="I71" s="19">
        <f>I70*$C$8</f>
        <v>0.36237305229117489</v>
      </c>
      <c r="J71" s="19">
        <f t="shared" ref="J71:N71" si="9">J70*$C$8</f>
        <v>0.25219199306689344</v>
      </c>
      <c r="K71" s="19">
        <f t="shared" si="9"/>
        <v>0.15367474437021561</v>
      </c>
      <c r="L71" s="19">
        <f t="shared" si="9"/>
        <v>6.7818014150871228E-2</v>
      </c>
      <c r="M71" s="20">
        <f>M70*$C$8</f>
        <v>1.0999515501077682E-2</v>
      </c>
    </row>
    <row r="72" spans="8:13" ht="15" thickBot="1" x14ac:dyDescent="0.35">
      <c r="H72" s="21" t="s">
        <v>25</v>
      </c>
      <c r="I72" s="22">
        <f>1-(I71/$B$12)</f>
        <v>0.99773516842318011</v>
      </c>
      <c r="J72" s="22">
        <f>1-(J71/$B$12)</f>
        <v>0.99842380004333187</v>
      </c>
      <c r="K72" s="22">
        <f>1-(K71/$B$12)</f>
        <v>0.99903953284768621</v>
      </c>
      <c r="L72" s="22">
        <f>1-(L71/$B$12)</f>
        <v>0.99957613741155704</v>
      </c>
      <c r="M72" s="23">
        <f>1-(M71/$B$12)</f>
        <v>0.99993125302811825</v>
      </c>
    </row>
  </sheetData>
  <mergeCells count="2"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Study</vt:lpstr>
      <vt:lpstr>Data</vt:lpstr>
      <vt:lpstr>Design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dcterms:created xsi:type="dcterms:W3CDTF">2026-02-20T14:58:56Z</dcterms:created>
  <dcterms:modified xsi:type="dcterms:W3CDTF">2026-02-25T05:41:47Z</dcterms:modified>
</cp:coreProperties>
</file>