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S&amp;OP\"/>
    </mc:Choice>
  </mc:AlternateContent>
  <xr:revisionPtr revIDLastSave="0" documentId="13_ncr:1_{B7F68B97-8F15-4666-8015-FECEE69CA858}" xr6:coauthVersionLast="47" xr6:coauthVersionMax="47" xr10:uidLastSave="{00000000-0000-0000-0000-000000000000}"/>
  <bookViews>
    <workbookView xWindow="-108" yWindow="-108" windowWidth="23256" windowHeight="12456" activeTab="2" xr2:uid="{8AEC61FD-898C-4F41-B79A-81B49ECB0EEB}"/>
  </bookViews>
  <sheets>
    <sheet name="CaseStudy" sheetId="5" r:id="rId1"/>
    <sheet name="Demand Plan" sheetId="63" r:id="rId2"/>
    <sheet name="Production" sheetId="64" r:id="rId3"/>
    <sheet name="SupplyPlan" sheetId="65" r:id="rId4"/>
  </sheets>
  <definedNames>
    <definedName name="_xlnm._FilterDatabase" localSheetId="1" hidden="1">'Demand Plan'!$A$2:$F$58</definedName>
    <definedName name="_xlnm._FilterDatabase" localSheetId="3" hidden="1">SupplyPlan!$A$1:$O$58</definedName>
    <definedName name="_xlnm.Print_Area" localSheetId="0">CaseStudy!$A$1:$J$40</definedName>
    <definedName name="solver_adj" localSheetId="2" hidden="1">Production!$C$9:$N$9,Production!$C$11:$N$11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Production!$C$10:$N$10</definedName>
    <definedName name="solver_lhs2" localSheetId="2" hidden="1">Production!$C$11:$N$11</definedName>
    <definedName name="solver_lhs3" localSheetId="2" hidden="1">Production!$C$9:$N$9</definedName>
    <definedName name="solver_lhs4" localSheetId="2" hidden="1">Production!$C$9:$N$9</definedName>
    <definedName name="solver_lhs5" localSheetId="2" hidden="1">Production!$O$9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5</definedName>
    <definedName name="solver_nwt" localSheetId="2" hidden="1">1</definedName>
    <definedName name="solver_opt" localSheetId="2" hidden="1">Production!$O$14</definedName>
    <definedName name="solver_pre" localSheetId="2" hidden="1">0.000001</definedName>
    <definedName name="solver_rbv" localSheetId="2" hidden="1">1</definedName>
    <definedName name="solver_rel1" localSheetId="2" hidden="1">3</definedName>
    <definedName name="solver_rel2" localSheetId="2" hidden="1">5</definedName>
    <definedName name="solver_rel3" localSheetId="2" hidden="1">1</definedName>
    <definedName name="solver_rel4" localSheetId="2" hidden="1">4</definedName>
    <definedName name="solver_rel5" localSheetId="2" hidden="1">2</definedName>
    <definedName name="solver_rhs1" localSheetId="2" hidden="1">0</definedName>
    <definedName name="solver_rhs2" localSheetId="2" hidden="1">"binary"</definedName>
    <definedName name="solver_rhs3" localSheetId="2" hidden="1">Production!$C$16:$N$16</definedName>
    <definedName name="solver_rhs4" localSheetId="2" hidden="1">"integer"</definedName>
    <definedName name="solver_rhs5" localSheetId="2" hidden="1">Production!$O$7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64" l="1"/>
  <c r="G58" i="65"/>
  <c r="H58" i="65"/>
  <c r="I58" i="65"/>
  <c r="J58" i="65"/>
  <c r="K58" i="65"/>
  <c r="L58" i="65"/>
  <c r="M58" i="65"/>
  <c r="N58" i="65"/>
  <c r="O58" i="65"/>
  <c r="F58" i="65"/>
  <c r="E58" i="65"/>
  <c r="D58" i="65"/>
  <c r="D16" i="64"/>
  <c r="E16" i="64"/>
  <c r="F16" i="64"/>
  <c r="G16" i="64"/>
  <c r="H16" i="64"/>
  <c r="I16" i="64"/>
  <c r="J16" i="64"/>
  <c r="K16" i="64"/>
  <c r="L16" i="64"/>
  <c r="M16" i="64"/>
  <c r="N16" i="64"/>
  <c r="C16" i="64"/>
  <c r="E12" i="64"/>
  <c r="H12" i="64"/>
  <c r="J12" i="64"/>
  <c r="F12" i="64"/>
  <c r="G12" i="64"/>
  <c r="I12" i="64"/>
  <c r="K12" i="64"/>
  <c r="L12" i="64"/>
  <c r="M12" i="64"/>
  <c r="N12" i="64"/>
  <c r="C12" i="64"/>
  <c r="C4" i="64"/>
  <c r="C10" i="64"/>
  <c r="D8" i="64" s="1"/>
  <c r="O9" i="64"/>
  <c r="O7" i="64"/>
  <c r="D10" i="64" l="1"/>
  <c r="D13" i="64" s="1"/>
  <c r="C13" i="64"/>
  <c r="C14" i="64" s="1"/>
  <c r="O12" i="64"/>
  <c r="D14" i="64" l="1"/>
  <c r="E8" i="64"/>
  <c r="E10" i="64" s="1"/>
  <c r="F8" i="64" l="1"/>
  <c r="F10" i="64" s="1"/>
  <c r="E13" i="64"/>
  <c r="E14" i="64" s="1"/>
  <c r="G8" i="64" l="1"/>
  <c r="G10" i="64" s="1"/>
  <c r="F13" i="64"/>
  <c r="F14" i="64" s="1"/>
  <c r="H8" i="64" l="1"/>
  <c r="H10" i="64" s="1"/>
  <c r="G13" i="64"/>
  <c r="G14" i="64" s="1"/>
  <c r="I8" i="64" l="1"/>
  <c r="I10" i="64" s="1"/>
  <c r="H13" i="64"/>
  <c r="H14" i="64" s="1"/>
  <c r="J8" i="64" l="1"/>
  <c r="J10" i="64" s="1"/>
  <c r="I13" i="64"/>
  <c r="I14" i="64" s="1"/>
  <c r="K8" i="64" l="1"/>
  <c r="K10" i="64" s="1"/>
  <c r="J13" i="64"/>
  <c r="J14" i="64" s="1"/>
  <c r="L8" i="64" l="1"/>
  <c r="L10" i="64" s="1"/>
  <c r="K13" i="64"/>
  <c r="K14" i="64" s="1"/>
  <c r="M8" i="64" l="1"/>
  <c r="M10" i="64" s="1"/>
  <c r="L13" i="64"/>
  <c r="L14" i="64" s="1"/>
  <c r="N8" i="64" l="1"/>
  <c r="N10" i="64" s="1"/>
  <c r="N13" i="64" s="1"/>
  <c r="N14" i="64" s="1"/>
  <c r="M13" i="64"/>
  <c r="M14" i="64" s="1"/>
  <c r="O13" i="64" l="1"/>
  <c r="O14" i="64" s="1"/>
</calcChain>
</file>

<file path=xl/sharedStrings.xml><?xml version="1.0" encoding="utf-8"?>
<sst xmlns="http://schemas.openxmlformats.org/spreadsheetml/2006/main" count="411" uniqueCount="87">
  <si>
    <t>Delhi</t>
  </si>
  <si>
    <t>Case Study: Sales and Operations Planning</t>
  </si>
  <si>
    <t>They have mutiple product variety for their Juicer Mixer Grinder range</t>
  </si>
  <si>
    <t>Currently, they have mutiple departments within their organization, who are responsible for their respective functions</t>
  </si>
  <si>
    <t>a. Business Revenue is being driven by Sales function</t>
  </si>
  <si>
    <t>b. Marketing focusses on brand awareness and sales promotion activities</t>
  </si>
  <si>
    <t>c. Production is responsible for cost effective production strategy</t>
  </si>
  <si>
    <t>d. Procurement is responsible for raw material procurement based on Inventory norms</t>
  </si>
  <si>
    <t>e. Logistics is responsible for managing transportation from Plant to depots/ customers</t>
  </si>
  <si>
    <t>f. Finance focusses on managing fund requirements for various business activities</t>
  </si>
  <si>
    <t>g. HR is responsible for attracting right talent for the organization</t>
  </si>
  <si>
    <t>Each department is focussed on its core area of working</t>
  </si>
  <si>
    <t>The Management of Nutripulse Industries wants to improve their Business Metrics</t>
  </si>
  <si>
    <t>They want to have one Integrated Business Plan that runs across the organization and all functions should have a common objective</t>
  </si>
  <si>
    <t>As a Management leader, you need to deliver the following</t>
  </si>
  <si>
    <t>b. Improve Sales Vs Annual Operating Plans</t>
  </si>
  <si>
    <t>c. Improve Profit Margins</t>
  </si>
  <si>
    <t>d. Supply Chain Cost Reduction</t>
  </si>
  <si>
    <t>e.Reduce working capital requirements for the organization</t>
  </si>
  <si>
    <t>They have marked a good presence in North India.</t>
  </si>
  <si>
    <t>Nutriplulse Industries has a manufacturing plant in Kundli with 4 depots in Delhi, Ambala, Jaipur and Lucknow</t>
  </si>
  <si>
    <t>Month</t>
  </si>
  <si>
    <t>Item To Produce</t>
  </si>
  <si>
    <t>FG0029</t>
  </si>
  <si>
    <t>MG Duro+ Kitchen M/c SMG503KGT</t>
  </si>
  <si>
    <t>FG0036</t>
  </si>
  <si>
    <t>Mixer Grinder Duro Plus SMG 503DGT</t>
  </si>
  <si>
    <t>FG0037</t>
  </si>
  <si>
    <t>Mixer Grinder Duro SMG452DGI</t>
  </si>
  <si>
    <t>FG0039</t>
  </si>
  <si>
    <t>Mixer Grinder Inalsa Jazz</t>
  </si>
  <si>
    <t>FG0042</t>
  </si>
  <si>
    <t>Mixer Grinder Tandem - TMG6517J-2J450W</t>
  </si>
  <si>
    <t>FG0018</t>
  </si>
  <si>
    <t>Cello Twister MG</t>
  </si>
  <si>
    <t>FG0045</t>
  </si>
  <si>
    <t>FlipkartSmartBuyFKSBMGBW500JABlack White</t>
  </si>
  <si>
    <t>FG0048</t>
  </si>
  <si>
    <t>Mixer Grinder Cheffy - FG015</t>
  </si>
  <si>
    <t>FG0014</t>
  </si>
  <si>
    <t>JMG Cello Rio</t>
  </si>
  <si>
    <t>FG0038</t>
  </si>
  <si>
    <t>Mixer Grinder -Grind-N-Mix Lifestyle</t>
  </si>
  <si>
    <t>FG0032</t>
  </si>
  <si>
    <t>Mixer Grinder Clix Diamond 600W</t>
  </si>
  <si>
    <t>FG0033</t>
  </si>
  <si>
    <t>Mixer Grinder Clix Gold 500W 2 Jar</t>
  </si>
  <si>
    <t>FG0034</t>
  </si>
  <si>
    <t>MIXER GRINDER CLIX PLATINUM 750W</t>
  </si>
  <si>
    <t>FG0020</t>
  </si>
  <si>
    <t>Elixir Mixer Grinder Pigeon 550W</t>
  </si>
  <si>
    <t>Depot</t>
  </si>
  <si>
    <t>SKU</t>
  </si>
  <si>
    <t>T+1</t>
  </si>
  <si>
    <t>T+2</t>
  </si>
  <si>
    <t>T+3</t>
  </si>
  <si>
    <t>Ambala</t>
  </si>
  <si>
    <t>Jaipur</t>
  </si>
  <si>
    <t>Lucknow</t>
  </si>
  <si>
    <t>Total</t>
  </si>
  <si>
    <t>Demand</t>
  </si>
  <si>
    <t>Start Inv</t>
  </si>
  <si>
    <t>Production Plan</t>
  </si>
  <si>
    <t>End Inv</t>
  </si>
  <si>
    <t>Order Setup</t>
  </si>
  <si>
    <t>Setup Cost</t>
  </si>
  <si>
    <t>Holding Cost</t>
  </si>
  <si>
    <t>Total Cost</t>
  </si>
  <si>
    <t>per Setup</t>
  </si>
  <si>
    <t>Units</t>
  </si>
  <si>
    <t>Wk1</t>
  </si>
  <si>
    <t>Wk2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</si>
  <si>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</si>
  <si>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</si>
  <si>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</si>
  <si>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</si>
  <si>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</si>
  <si>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</si>
  <si>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</si>
  <si>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</si>
  <si>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</si>
  <si>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</si>
  <si>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per Week</t>
  </si>
  <si>
    <t>Capacity Constraints</t>
  </si>
  <si>
    <t>Capacity</t>
  </si>
  <si>
    <t>Nutripulse Industries is in the business of small kitchen appliances</t>
  </si>
  <si>
    <t>a. A common objective for all functions of the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</si>
</sst>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4" fontId="0" fillId="0" borderId="2" xfId="2" applyNumberFormat="1" applyFont="1" applyBorder="1" applyAlignment="1">
      <alignment vertical="center"/>
    </xf>
    <xf numFmtId="164" fontId="0" fillId="2" borderId="2" xfId="2" applyNumberFormat="1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6" fillId="4" borderId="2" xfId="0" applyFont="1" applyFill="1" applyBorder="1" applyAlignment="1">
      <alignment vertical="center"/>
    </xf>
    <xf numFmtId="0" fontId="0" fillId="0" borderId="2" xfId="0" quotePrefix="1" applyBorder="1" applyAlignment="1">
      <alignment horizontal="left" vertical="center"/>
    </xf>
    <xf numFmtId="17" fontId="6" fillId="3" borderId="5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vertical="center"/>
    </xf>
    <xf numFmtId="164" fontId="0" fillId="0" borderId="10" xfId="2" applyNumberFormat="1" applyFont="1" applyBorder="1" applyAlignment="1">
      <alignment horizontal="center" vertical="center"/>
    </xf>
    <xf numFmtId="164" fontId="0" fillId="0" borderId="11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vertical="center"/>
    </xf>
    <xf numFmtId="164" fontId="0" fillId="0" borderId="13" xfId="2" applyNumberFormat="1" applyFont="1" applyBorder="1" applyAlignment="1">
      <alignment vertical="center"/>
    </xf>
    <xf numFmtId="164" fontId="0" fillId="0" borderId="14" xfId="2" applyNumberFormat="1" applyFont="1" applyBorder="1" applyAlignment="1">
      <alignment vertical="center"/>
    </xf>
    <xf numFmtId="164" fontId="0" fillId="2" borderId="13" xfId="2" applyNumberFormat="1" applyFont="1" applyFill="1" applyBorder="1" applyAlignment="1">
      <alignment vertical="center"/>
    </xf>
    <xf numFmtId="164" fontId="0" fillId="2" borderId="14" xfId="2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7" xfId="2" applyNumberFormat="1" applyFont="1" applyBorder="1" applyAlignment="1">
      <alignment vertical="center"/>
    </xf>
    <xf numFmtId="164" fontId="0" fillId="0" borderId="15" xfId="2" applyNumberFormat="1" applyFont="1" applyFill="1" applyBorder="1" applyAlignment="1">
      <alignment vertical="center"/>
    </xf>
    <xf numFmtId="164" fontId="6" fillId="0" borderId="5" xfId="2" applyNumberFormat="1" applyFont="1" applyBorder="1" applyAlignment="1">
      <alignment vertical="center"/>
    </xf>
    <xf numFmtId="164" fontId="6" fillId="0" borderId="8" xfId="2" applyNumberFormat="1" applyFont="1" applyBorder="1" applyAlignment="1">
      <alignment vertical="center"/>
    </xf>
    <xf numFmtId="164" fontId="6" fillId="0" borderId="9" xfId="2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2" applyNumberFormat="1" applyFont="1" applyAlignment="1">
      <alignment vertical="center"/>
    </xf>
    <xf numFmtId="0" fontId="0" fillId="0" borderId="2" xfId="0" applyBorder="1"/>
    <xf numFmtId="0" fontId="6" fillId="0" borderId="0" xfId="0" applyFont="1"/>
  </cellXfs>
  <cellStyles count="3">
    <cellStyle name="Comma" xfId="2" builtinId="3"/>
    <cellStyle name="Normal" xfId="0" builtinId="0"/>
    <cellStyle name="Normal 2" xfId="1" xr:uid="{BE979A20-B484-4986-A3F6-28186FEA8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19050</xdr:rowOff>
    </xdr:from>
    <xdr:to>
      <xdr:col>1</xdr:col>
      <xdr:colOff>250885</xdr:colOff>
      <xdr:row>2</xdr:row>
      <xdr:rowOff>181163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0CB05-9286-4219-BFFD-B8811A79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203200"/>
          <a:ext cx="1994594" cy="371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6C52DE-9CC6-48C4-81A4-861AA9B9ED61}">
  <we:reference id="wa104381181" version="4.0.0.2" store="en-US" storeType="OMEX"/>
  <we:alternateReferences>
    <we:reference id="wa104381181" version="4.0.0.2" store="" storeType="OMEX"/>
  </we:alternateReferences>
  <we:properties>
    <we:property name="19_1flows" value="&quot;5191da3f-3e2e945e-b72609a8&quot;"/>
    <we:property name="19_1nodeInformation" value="&quot;3ce3fc0b-2db74fcd-cb30d333&quot;"/>
    <we:property name="19_1productSegments" value="&quot;1df7a936-9c4d63cd-a4bc7a30&quot;"/>
    <we:property name="35_2distanceDuration" value="&quot;67e71174-3ada6c98-bb7ad42d&quot;"/>
    <we:property name="35_2distanceMatrix" value="&quot;c77ff2a2-19b58eca-9b46ffee&quot;"/>
    <we:property name="35_2distanceMatrixForwardData" value="&quot;86ca1f67-cc494967-811f7cda&quot;"/>
    <we:property name="35_2durationMatrix" value="&quot;87ed4287-060fea12-9e4f678d&quot;"/>
    <we:property name="35_2parameters" value="&quot;7e4bf44f-79cfb47b-fde72ce7&quot;"/>
    <we:property name="3_1areas" value="&quot;9407c655-8bdae4c6-ebbde13b&quot;"/>
    <we:property name="3_1locations" value="&quot;6d3b3780-7b39a5c9-268399d6&quot;"/>
    <we:property name="supplyChainMapLocationsgeocodingData" value="&quot;37b1fea4-b9abb9e9-890fda28&quot;"/>
    <we:property name="supplyChainMapRelationsdistanceCalculationData" value="&quot;2b8a0314-35617f56-0d83861c&quot;"/>
    <we:property name="31_1demandInvSim" value="&quot;e1f64da1-ba31aef4-8721c2c2&quot;"/>
    <we:property name="31_1simulationKpis" value="&quot;3a51cdec-a31bc4c9-404cfb3f&quot;"/>
    <we:property name="31_1parameters" value="&quot;07760db6-e487a163-e0ef0ddc&quot;"/>
    <we:property name="31_1simulationResult" value="&quot;1e707bc4-9762f4ec-b3d0e603&quot;"/>
  </we:properties>
  <we:bindings>
    <we:binding id="9407c655-8bdae4c6-ebbde13b" type="table" appref="{8734FE1C-C301-43A0-88E3-5A8B7F002E9D}"/>
    <we:binding id="6d3b3780-7b39a5c9-268399d6" type="table" appref="{A19D8CE1-7F51-4C7C-BFDB-5C0FBD75EE06}"/>
    <we:binding id="37b1fea4-b9abb9e9-890fda28" type="matrix" appref="{E63E46AC-D454-4C73-89CB-E374B4E9CDF8}"/>
    <we:binding id="2b8a0314-35617f56-0d83861c" type="table" appref="{8B167C90-8FB5-4336-8D0B-5E1397F9A97C}"/>
    <we:binding id="5191da3f-3e2e945e-b72609a8" type="table" appref="{862D72D3-537F-49A1-889A-F1D44C99F677}"/>
    <we:binding id="3ce3fc0b-2db74fcd-cb30d333" type="table" appref="{AB7B3F22-73A0-408F-BA4B-65EB88743163}"/>
    <we:binding id="1df7a936-9c4d63cd-a4bc7a30" type="table" appref="{4BF6CD1A-184A-4C4A-8DA4-11D9291D953A}"/>
    <we:binding id="86ca1f67-cc494967-811f7cda" type="table" appref="{8369B34D-ED7B-4E95-9362-9CDFD41FA143}"/>
    <we:binding id="67e71174-3ada6c98-bb7ad42d" type="table" appref="{2B1F56EC-230D-4D21-AB3A-E7A66810E97F}"/>
    <we:binding id="c77ff2a2-19b58eca-9b46ffee" type="table" appref="{515ADC3C-DE16-4B0B-A497-6E25F0094AB2}"/>
    <we:binding id="7e4bf44f-79cfb47b-fde72ce7" type="table" appref="{230703AF-CF5E-4C0D-BFFB-C654503267A3}"/>
    <we:binding id="87ed4287-060fea12-9e4f678d" type="table" appref="{7E437014-2F6A-4B03-A017-85836A204C1C}"/>
    <we:binding id="e1f64da1-ba31aef4-8721c2c2" type="table" appref="{3E276FDD-87B3-4B22-A730-2661EACD9F0B}"/>
    <we:binding id="1e707bc4-9762f4ec-b3d0e603" type="table" appref="{46205821-EE47-4150-ACC4-63CF217B217F}"/>
    <we:binding id="07760db6-e487a163-e0ef0ddc" type="table" appref="{5F21BFAF-5362-4A05-BB13-C75B466645C2}"/>
    <we:binding id="3a51cdec-a31bc4c9-404cfb3f" type="table" appref="{B34AA23B-FB39-4B13-ADB6-2301FCA26DA1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FCD7-BCE0-416E-90F9-502F415863A7}">
  <dimension ref="A6:A38"/>
  <sheetViews>
    <sheetView topLeftCell="A13" zoomScale="120" zoomScaleNormal="120" workbookViewId="0">
      <selection activeCell="A24" sqref="A24"/>
    </sheetView>
  </sheetViews>
  <sheetFormatPr defaultRowHeight="15.6" x14ac:dyDescent="0.3"/>
  <cols>
    <col min="1" max="1" width="26.21875" style="2" customWidth="1"/>
    <col min="2" max="2" width="16.21875" style="2" customWidth="1"/>
    <col min="3" max="3" width="13.5546875" style="2" customWidth="1"/>
    <col min="4" max="9" width="11.5546875" style="2" customWidth="1"/>
    <col min="10" max="10" width="8.88671875" style="2"/>
    <col min="11" max="11" width="10" style="2" bestFit="1" customWidth="1"/>
    <col min="12" max="16384" width="8.88671875" style="2"/>
  </cols>
  <sheetData>
    <row r="6" spans="1:1" x14ac:dyDescent="0.3">
      <c r="A6" s="1" t="s">
        <v>1</v>
      </c>
    </row>
    <row r="7" spans="1:1" x14ac:dyDescent="0.3">
      <c r="A7" s="1"/>
    </row>
    <row r="8" spans="1:1" x14ac:dyDescent="0.3">
      <c r="A8" s="2" t="s">
        <v>85</v>
      </c>
    </row>
    <row r="9" spans="1:1" x14ac:dyDescent="0.3">
      <c r="A9" s="2" t="s">
        <v>2</v>
      </c>
    </row>
    <row r="10" spans="1:1" x14ac:dyDescent="0.3">
      <c r="A10" s="2" t="s">
        <v>19</v>
      </c>
    </row>
    <row r="11" spans="1:1" x14ac:dyDescent="0.3">
      <c r="A11" s="2" t="s">
        <v>20</v>
      </c>
    </row>
    <row r="13" spans="1:1" x14ac:dyDescent="0.3">
      <c r="A13" s="2" t="s">
        <v>3</v>
      </c>
    </row>
    <row r="14" spans="1:1" x14ac:dyDescent="0.3">
      <c r="A14" s="2" t="s">
        <v>11</v>
      </c>
    </row>
    <row r="15" spans="1:1" x14ac:dyDescent="0.3">
      <c r="A15" s="2" t="s">
        <v>4</v>
      </c>
    </row>
    <row r="16" spans="1:1" x14ac:dyDescent="0.3">
      <c r="A16" s="2" t="s">
        <v>5</v>
      </c>
    </row>
    <row r="17" spans="1:1" x14ac:dyDescent="0.3">
      <c r="A17" s="2" t="s">
        <v>6</v>
      </c>
    </row>
    <row r="18" spans="1:1" x14ac:dyDescent="0.3">
      <c r="A18" s="2" t="s">
        <v>7</v>
      </c>
    </row>
    <row r="19" spans="1:1" x14ac:dyDescent="0.3">
      <c r="A19" s="2" t="s">
        <v>8</v>
      </c>
    </row>
    <row r="20" spans="1:1" x14ac:dyDescent="0.3">
      <c r="A20" s="2" t="s">
        <v>9</v>
      </c>
    </row>
    <row r="21" spans="1:1" x14ac:dyDescent="0.3">
      <c r="A21" s="2" t="s">
        <v>10</v>
      </c>
    </row>
    <row r="23" spans="1:1" x14ac:dyDescent="0.3">
      <c r="A23" s="1" t="s">
        <v>12</v>
      </c>
    </row>
    <row r="24" spans="1:1" x14ac:dyDescent="0.3">
      <c r="A24" s="2" t="s">
        <v>13</v>
      </c>
    </row>
    <row r="26" spans="1:1" x14ac:dyDescent="0.3">
      <c r="A26" s="2" t="s">
        <v>14</v>
      </c>
    </row>
    <row r="27" spans="1:1" x14ac:dyDescent="0.3">
      <c r="A27" s="1" t="s">
        <v>86</v>
      </c>
    </row>
    <row r="28" spans="1:1" x14ac:dyDescent="0.3">
      <c r="A28" s="1" t="s">
        <v>15</v>
      </c>
    </row>
    <row r="29" spans="1:1" x14ac:dyDescent="0.3">
      <c r="A29" s="1" t="s">
        <v>16</v>
      </c>
    </row>
    <row r="30" spans="1:1" x14ac:dyDescent="0.3">
      <c r="A30" s="1" t="s">
        <v>17</v>
      </c>
    </row>
    <row r="31" spans="1:1" x14ac:dyDescent="0.3">
      <c r="A31" s="1" t="s">
        <v>18</v>
      </c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7" spans="1:1" x14ac:dyDescent="0.3">
      <c r="A37" s="3"/>
    </row>
    <row r="38" spans="1:1" x14ac:dyDescent="0.3">
      <c r="A38" s="3"/>
    </row>
  </sheetData>
  <phoneticPr fontId="2" type="noConversion"/>
  <pageMargins left="0.7" right="0.7" top="0.75" bottom="0.75" header="0.3" footer="0.3"/>
  <pageSetup scale="67"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862D72D3-537F-49A1-889A-F1D44C99F677}">
          <xm:f>#REF!</xm:f>
        </x15:webExtension>
        <x15:webExtension appRef="{AB7B3F22-73A0-408F-BA4B-65EB88743163}">
          <xm:f>#REF!</xm:f>
        </x15:webExtension>
        <x15:webExtension appRef="{4BF6CD1A-184A-4C4A-8DA4-11D9291D953A}">
          <xm:f>#REF!</xm:f>
        </x15:webExtension>
        <x15:webExtension appRef="{8734FE1C-C301-43A0-88E3-5A8B7F002E9D}">
          <xm:f>#REF!</xm:f>
        </x15:webExtension>
        <x15:webExtension appRef="{A19D8CE1-7F51-4C7C-BFDB-5C0FBD75EE06}">
          <xm:f>#REF!</xm:f>
        </x15:webExtension>
        <x15:webExtension appRef="{E63E46AC-D454-4C73-89CB-E374B4E9CDF8}">
          <xm:f>#REF!</xm:f>
        </x15:webExtension>
        <x15:webExtension appRef="{8B167C90-8FB5-4336-8D0B-5E1397F9A97C}">
          <xm:f>#REF!</xm:f>
        </x15:webExtension>
        <x15:webExtension appRef="{8369B34D-ED7B-4E95-9362-9CDFD41FA143}">
          <xm:f>#REF!</xm:f>
        </x15:webExtension>
        <x15:webExtension appRef="{2B1F56EC-230D-4D21-AB3A-E7A66810E97F}">
          <xm:f>#REF!</xm:f>
        </x15:webExtension>
        <x15:webExtension appRef="{515ADC3C-DE16-4B0B-A497-6E25F0094AB2}">
          <xm:f>#REF!</xm:f>
        </x15:webExtension>
        <x15:webExtension appRef="{230703AF-CF5E-4C0D-BFFB-C654503267A3}">
          <xm:f>#REF!</xm:f>
        </x15:webExtension>
        <x15:webExtension appRef="{7E437014-2F6A-4B03-A017-85836A204C1C}">
          <xm:f>#REF!</xm:f>
        </x15:webExtension>
        <x15:webExtension appRef="{46205821-EE47-4150-ACC4-63CF217B217F}">
          <xm:f>#REF!</xm:f>
        </x15:webExtension>
        <x15:webExtension appRef="{5F21BFAF-5362-4A05-BB13-C75B466645C2}">
          <xm:f>#REF!</xm:f>
        </x15:webExtension>
        <x15:webExtension appRef="{B34AA23B-FB39-4B13-ADB6-2301FCA26DA1}">
          <xm:f>#REF!</xm:f>
        </x15:webExtension>
        <x15:webExtension appRef="{3E276FDD-87B3-4B22-A730-2661EACD9F0B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9952-CA3C-4AAE-8F0E-467283682D14}">
  <sheetPr filterMode="1"/>
  <dimension ref="A2:F58"/>
  <sheetViews>
    <sheetView zoomScale="141" zoomScaleNormal="141" workbookViewId="0">
      <selection activeCell="D7" sqref="D7"/>
    </sheetView>
  </sheetViews>
  <sheetFormatPr defaultColWidth="10.88671875" defaultRowHeight="14.4" x14ac:dyDescent="0.3"/>
  <cols>
    <col min="1" max="1" width="15.6640625" bestFit="1" customWidth="1"/>
    <col min="2" max="2" width="39.6640625" bestFit="1" customWidth="1"/>
    <col min="3" max="6" width="12.6640625" customWidth="1"/>
  </cols>
  <sheetData>
    <row r="2" spans="1:6" x14ac:dyDescent="0.3">
      <c r="A2" s="13" t="s">
        <v>52</v>
      </c>
      <c r="B2" s="13" t="s">
        <v>22</v>
      </c>
      <c r="C2" s="13" t="s">
        <v>51</v>
      </c>
      <c r="D2" s="13" t="s">
        <v>53</v>
      </c>
      <c r="E2" s="13" t="s">
        <v>54</v>
      </c>
      <c r="F2" s="13" t="s">
        <v>55</v>
      </c>
    </row>
    <row r="3" spans="1:6" hidden="1" x14ac:dyDescent="0.3">
      <c r="A3" s="7" t="s">
        <v>27</v>
      </c>
      <c r="B3" s="7" t="s">
        <v>28</v>
      </c>
      <c r="C3" s="7" t="s">
        <v>0</v>
      </c>
      <c r="D3" s="7">
        <v>800</v>
      </c>
      <c r="E3" s="7">
        <v>700</v>
      </c>
      <c r="F3" s="7">
        <v>800</v>
      </c>
    </row>
    <row r="4" spans="1:6" hidden="1" x14ac:dyDescent="0.3">
      <c r="A4" s="7" t="s">
        <v>29</v>
      </c>
      <c r="B4" s="7" t="s">
        <v>30</v>
      </c>
      <c r="C4" s="7" t="s">
        <v>0</v>
      </c>
      <c r="D4" s="7">
        <v>800</v>
      </c>
      <c r="E4" s="7">
        <v>700</v>
      </c>
      <c r="F4" s="7">
        <v>800</v>
      </c>
    </row>
    <row r="5" spans="1:6" hidden="1" x14ac:dyDescent="0.3">
      <c r="A5" s="7" t="s">
        <v>33</v>
      </c>
      <c r="B5" s="7" t="s">
        <v>34</v>
      </c>
      <c r="C5" s="7" t="s">
        <v>0</v>
      </c>
      <c r="D5" s="7">
        <v>800</v>
      </c>
      <c r="E5" s="7">
        <v>700</v>
      </c>
      <c r="F5" s="7">
        <v>900</v>
      </c>
    </row>
    <row r="6" spans="1:6" hidden="1" x14ac:dyDescent="0.3">
      <c r="A6" s="7" t="s">
        <v>35</v>
      </c>
      <c r="B6" s="14" t="s">
        <v>36</v>
      </c>
      <c r="C6" s="7" t="s">
        <v>0</v>
      </c>
      <c r="D6" s="7">
        <v>1500</v>
      </c>
      <c r="E6" s="7">
        <v>1200</v>
      </c>
      <c r="F6" s="7">
        <v>1500</v>
      </c>
    </row>
    <row r="7" spans="1:6" x14ac:dyDescent="0.3">
      <c r="A7" s="7" t="s">
        <v>37</v>
      </c>
      <c r="B7" s="14" t="s">
        <v>38</v>
      </c>
      <c r="C7" s="7" t="s">
        <v>0</v>
      </c>
      <c r="D7" s="7">
        <v>3000</v>
      </c>
      <c r="E7" s="7">
        <v>8000</v>
      </c>
      <c r="F7" s="7">
        <v>8000</v>
      </c>
    </row>
    <row r="8" spans="1:6" hidden="1" x14ac:dyDescent="0.3">
      <c r="A8" s="7" t="s">
        <v>23</v>
      </c>
      <c r="B8" s="7" t="s">
        <v>24</v>
      </c>
      <c r="C8" s="7" t="s">
        <v>0</v>
      </c>
      <c r="D8" s="7">
        <v>2000</v>
      </c>
      <c r="E8" s="7">
        <v>1500</v>
      </c>
      <c r="F8" s="7">
        <v>2000</v>
      </c>
    </row>
    <row r="9" spans="1:6" hidden="1" x14ac:dyDescent="0.3">
      <c r="A9" s="7" t="s">
        <v>25</v>
      </c>
      <c r="B9" s="7" t="s">
        <v>26</v>
      </c>
      <c r="C9" s="7" t="s">
        <v>0</v>
      </c>
      <c r="D9" s="7">
        <v>1500</v>
      </c>
      <c r="E9" s="7">
        <v>1800</v>
      </c>
      <c r="F9" s="7">
        <v>1500</v>
      </c>
    </row>
    <row r="10" spans="1:6" hidden="1" x14ac:dyDescent="0.3">
      <c r="A10" s="7" t="s">
        <v>31</v>
      </c>
      <c r="B10" s="14" t="s">
        <v>32</v>
      </c>
      <c r="C10" s="7" t="s">
        <v>0</v>
      </c>
      <c r="D10" s="7">
        <v>2000</v>
      </c>
      <c r="E10" s="7">
        <v>1500</v>
      </c>
      <c r="F10" s="7">
        <v>1800</v>
      </c>
    </row>
    <row r="11" spans="1:6" hidden="1" x14ac:dyDescent="0.3">
      <c r="A11" s="7" t="s">
        <v>39</v>
      </c>
      <c r="B11" s="14" t="s">
        <v>40</v>
      </c>
      <c r="C11" s="7" t="s">
        <v>0</v>
      </c>
      <c r="D11" s="7">
        <v>600</v>
      </c>
      <c r="E11" s="7">
        <v>550</v>
      </c>
      <c r="F11" s="7">
        <v>700</v>
      </c>
    </row>
    <row r="12" spans="1:6" hidden="1" x14ac:dyDescent="0.3">
      <c r="A12" s="7" t="s">
        <v>41</v>
      </c>
      <c r="B12" s="14" t="s">
        <v>42</v>
      </c>
      <c r="C12" s="7" t="s">
        <v>0</v>
      </c>
      <c r="D12" s="7">
        <v>1000</v>
      </c>
      <c r="E12" s="7">
        <v>800</v>
      </c>
      <c r="F12" s="7">
        <v>1200</v>
      </c>
    </row>
    <row r="13" spans="1:6" hidden="1" x14ac:dyDescent="0.3">
      <c r="A13" s="7" t="s">
        <v>43</v>
      </c>
      <c r="B13" s="14" t="s">
        <v>44</v>
      </c>
      <c r="C13" s="7" t="s">
        <v>0</v>
      </c>
      <c r="D13" s="7">
        <v>200</v>
      </c>
      <c r="E13" s="7">
        <v>200</v>
      </c>
      <c r="F13" s="7">
        <v>200</v>
      </c>
    </row>
    <row r="14" spans="1:6" hidden="1" x14ac:dyDescent="0.3">
      <c r="A14" s="7" t="s">
        <v>45</v>
      </c>
      <c r="B14" s="14" t="s">
        <v>46</v>
      </c>
      <c r="C14" s="7" t="s">
        <v>0</v>
      </c>
      <c r="D14" s="7">
        <v>200</v>
      </c>
      <c r="E14" s="7">
        <v>150</v>
      </c>
      <c r="F14" s="7">
        <v>200</v>
      </c>
    </row>
    <row r="15" spans="1:6" hidden="1" x14ac:dyDescent="0.3">
      <c r="A15" s="7" t="s">
        <v>47</v>
      </c>
      <c r="B15" s="14" t="s">
        <v>48</v>
      </c>
      <c r="C15" s="7" t="s">
        <v>0</v>
      </c>
      <c r="D15" s="7">
        <v>100</v>
      </c>
      <c r="E15" s="7">
        <v>150</v>
      </c>
      <c r="F15" s="7">
        <v>100</v>
      </c>
    </row>
    <row r="16" spans="1:6" hidden="1" x14ac:dyDescent="0.3">
      <c r="A16" s="7" t="s">
        <v>49</v>
      </c>
      <c r="B16" s="14" t="s">
        <v>50</v>
      </c>
      <c r="C16" s="7" t="s">
        <v>0</v>
      </c>
      <c r="D16" s="7">
        <v>1200</v>
      </c>
      <c r="E16" s="7">
        <v>1000</v>
      </c>
      <c r="F16" s="7">
        <v>1200</v>
      </c>
    </row>
    <row r="17" spans="1:6" hidden="1" x14ac:dyDescent="0.3">
      <c r="A17" s="7" t="s">
        <v>23</v>
      </c>
      <c r="B17" s="7" t="s">
        <v>24</v>
      </c>
      <c r="C17" s="7" t="s">
        <v>56</v>
      </c>
      <c r="D17" s="32">
        <v>800</v>
      </c>
      <c r="E17" s="32">
        <v>500</v>
      </c>
      <c r="F17" s="32">
        <v>800</v>
      </c>
    </row>
    <row r="18" spans="1:6" hidden="1" x14ac:dyDescent="0.3">
      <c r="A18" s="7" t="s">
        <v>25</v>
      </c>
      <c r="B18" s="7" t="s">
        <v>26</v>
      </c>
      <c r="C18" s="7" t="s">
        <v>56</v>
      </c>
      <c r="D18" s="32">
        <v>1000</v>
      </c>
      <c r="E18" s="32">
        <v>800</v>
      </c>
      <c r="F18" s="32">
        <v>1000</v>
      </c>
    </row>
    <row r="19" spans="1:6" hidden="1" x14ac:dyDescent="0.3">
      <c r="A19" s="7" t="s">
        <v>29</v>
      </c>
      <c r="B19" s="7" t="s">
        <v>30</v>
      </c>
      <c r="C19" s="7" t="s">
        <v>56</v>
      </c>
      <c r="D19" s="32">
        <v>600</v>
      </c>
      <c r="E19" s="32">
        <v>500</v>
      </c>
      <c r="F19" s="32">
        <v>700</v>
      </c>
    </row>
    <row r="20" spans="1:6" hidden="1" x14ac:dyDescent="0.3">
      <c r="A20" s="7" t="s">
        <v>31</v>
      </c>
      <c r="B20" s="7" t="s">
        <v>32</v>
      </c>
      <c r="C20" s="7" t="s">
        <v>56</v>
      </c>
      <c r="D20" s="32">
        <v>1000</v>
      </c>
      <c r="E20" s="32">
        <v>800</v>
      </c>
      <c r="F20" s="32">
        <v>800</v>
      </c>
    </row>
    <row r="21" spans="1:6" hidden="1" x14ac:dyDescent="0.3">
      <c r="A21" s="7" t="s">
        <v>27</v>
      </c>
      <c r="B21" s="7" t="s">
        <v>28</v>
      </c>
      <c r="C21" s="7" t="s">
        <v>56</v>
      </c>
      <c r="D21" s="32">
        <v>500</v>
      </c>
      <c r="E21" s="32">
        <v>600</v>
      </c>
      <c r="F21" s="32">
        <v>500</v>
      </c>
    </row>
    <row r="22" spans="1:6" x14ac:dyDescent="0.3">
      <c r="A22" s="7" t="s">
        <v>37</v>
      </c>
      <c r="B22" s="14" t="s">
        <v>38</v>
      </c>
      <c r="C22" s="7" t="s">
        <v>56</v>
      </c>
      <c r="D22" s="32">
        <v>800</v>
      </c>
      <c r="E22" s="32">
        <v>2000</v>
      </c>
      <c r="F22" s="32">
        <v>1500</v>
      </c>
    </row>
    <row r="23" spans="1:6" hidden="1" x14ac:dyDescent="0.3">
      <c r="A23" s="7" t="s">
        <v>33</v>
      </c>
      <c r="B23" s="14" t="s">
        <v>34</v>
      </c>
      <c r="C23" s="7" t="s">
        <v>56</v>
      </c>
      <c r="D23" s="32">
        <v>500</v>
      </c>
      <c r="E23" s="32">
        <v>400</v>
      </c>
      <c r="F23" s="32">
        <v>600</v>
      </c>
    </row>
    <row r="24" spans="1:6" hidden="1" x14ac:dyDescent="0.3">
      <c r="A24" s="7" t="s">
        <v>35</v>
      </c>
      <c r="B24" s="14" t="s">
        <v>36</v>
      </c>
      <c r="C24" s="7" t="s">
        <v>56</v>
      </c>
      <c r="D24" s="32">
        <v>800</v>
      </c>
      <c r="E24" s="32">
        <v>1000</v>
      </c>
      <c r="F24" s="32">
        <v>1000</v>
      </c>
    </row>
    <row r="25" spans="1:6" hidden="1" x14ac:dyDescent="0.3">
      <c r="A25" s="7" t="s">
        <v>39</v>
      </c>
      <c r="B25" s="14" t="s">
        <v>40</v>
      </c>
      <c r="C25" s="7" t="s">
        <v>56</v>
      </c>
      <c r="D25" s="32">
        <v>250</v>
      </c>
      <c r="E25" s="32">
        <v>200</v>
      </c>
      <c r="F25" s="32">
        <v>400</v>
      </c>
    </row>
    <row r="26" spans="1:6" hidden="1" x14ac:dyDescent="0.3">
      <c r="A26" s="7" t="s">
        <v>41</v>
      </c>
      <c r="B26" s="14" t="s">
        <v>42</v>
      </c>
      <c r="C26" s="7" t="s">
        <v>56</v>
      </c>
      <c r="D26" s="32">
        <v>500</v>
      </c>
      <c r="E26" s="32">
        <v>700</v>
      </c>
      <c r="F26" s="32">
        <v>600</v>
      </c>
    </row>
    <row r="27" spans="1:6" hidden="1" x14ac:dyDescent="0.3">
      <c r="A27" s="7" t="s">
        <v>43</v>
      </c>
      <c r="B27" s="14" t="s">
        <v>44</v>
      </c>
      <c r="C27" s="7" t="s">
        <v>56</v>
      </c>
      <c r="D27" s="32">
        <v>100</v>
      </c>
      <c r="E27" s="32">
        <v>100</v>
      </c>
      <c r="F27" s="32">
        <v>100</v>
      </c>
    </row>
    <row r="28" spans="1:6" hidden="1" x14ac:dyDescent="0.3">
      <c r="A28" s="7" t="s">
        <v>45</v>
      </c>
      <c r="B28" s="14" t="s">
        <v>46</v>
      </c>
      <c r="C28" s="7" t="s">
        <v>56</v>
      </c>
      <c r="D28" s="32">
        <v>100</v>
      </c>
      <c r="E28" s="32">
        <v>150</v>
      </c>
      <c r="F28" s="32">
        <v>100</v>
      </c>
    </row>
    <row r="29" spans="1:6" hidden="1" x14ac:dyDescent="0.3">
      <c r="A29" s="7" t="s">
        <v>47</v>
      </c>
      <c r="B29" s="14" t="s">
        <v>48</v>
      </c>
      <c r="C29" s="7" t="s">
        <v>56</v>
      </c>
      <c r="D29" s="32">
        <v>200</v>
      </c>
      <c r="E29" s="32">
        <v>150</v>
      </c>
      <c r="F29" s="32">
        <v>150</v>
      </c>
    </row>
    <row r="30" spans="1:6" hidden="1" x14ac:dyDescent="0.3">
      <c r="A30" s="7" t="s">
        <v>49</v>
      </c>
      <c r="B30" s="14" t="s">
        <v>50</v>
      </c>
      <c r="C30" s="7" t="s">
        <v>56</v>
      </c>
      <c r="D30" s="32">
        <v>800</v>
      </c>
      <c r="E30" s="32">
        <v>700</v>
      </c>
      <c r="F30" s="32">
        <v>700</v>
      </c>
    </row>
    <row r="31" spans="1:6" hidden="1" x14ac:dyDescent="0.3">
      <c r="A31" s="7" t="s">
        <v>23</v>
      </c>
      <c r="B31" s="7" t="s">
        <v>24</v>
      </c>
      <c r="C31" s="7" t="s">
        <v>57</v>
      </c>
      <c r="D31" s="32">
        <v>500</v>
      </c>
      <c r="E31" s="32">
        <v>400</v>
      </c>
      <c r="F31" s="32">
        <v>600</v>
      </c>
    </row>
    <row r="32" spans="1:6" hidden="1" x14ac:dyDescent="0.3">
      <c r="A32" s="7" t="s">
        <v>25</v>
      </c>
      <c r="B32" s="7" t="s">
        <v>26</v>
      </c>
      <c r="C32" s="7" t="s">
        <v>57</v>
      </c>
      <c r="D32" s="32">
        <v>500</v>
      </c>
      <c r="E32" s="32">
        <v>500</v>
      </c>
      <c r="F32" s="32">
        <v>600</v>
      </c>
    </row>
    <row r="33" spans="1:6" hidden="1" x14ac:dyDescent="0.3">
      <c r="A33" s="7" t="s">
        <v>27</v>
      </c>
      <c r="B33" s="7" t="s">
        <v>28</v>
      </c>
      <c r="C33" s="7" t="s">
        <v>57</v>
      </c>
      <c r="D33" s="32">
        <v>400</v>
      </c>
      <c r="E33" s="32">
        <v>300</v>
      </c>
      <c r="F33" s="32">
        <v>300</v>
      </c>
    </row>
    <row r="34" spans="1:6" hidden="1" x14ac:dyDescent="0.3">
      <c r="A34" s="7" t="s">
        <v>29</v>
      </c>
      <c r="B34" s="7" t="s">
        <v>30</v>
      </c>
      <c r="C34" s="7" t="s">
        <v>57</v>
      </c>
      <c r="D34" s="32">
        <v>300</v>
      </c>
      <c r="E34" s="32">
        <v>200</v>
      </c>
      <c r="F34" s="32">
        <v>350</v>
      </c>
    </row>
    <row r="35" spans="1:6" hidden="1" x14ac:dyDescent="0.3">
      <c r="A35" s="7" t="s">
        <v>35</v>
      </c>
      <c r="B35" s="14" t="s">
        <v>36</v>
      </c>
      <c r="C35" s="7" t="s">
        <v>57</v>
      </c>
      <c r="D35" s="32">
        <v>700</v>
      </c>
      <c r="E35" s="32">
        <v>800</v>
      </c>
      <c r="F35" s="32">
        <v>800</v>
      </c>
    </row>
    <row r="36" spans="1:6" x14ac:dyDescent="0.3">
      <c r="A36" s="7" t="s">
        <v>37</v>
      </c>
      <c r="B36" s="14" t="s">
        <v>38</v>
      </c>
      <c r="C36" s="7" t="s">
        <v>57</v>
      </c>
      <c r="D36" s="32">
        <v>1200</v>
      </c>
      <c r="E36" s="32">
        <v>2000</v>
      </c>
      <c r="F36" s="32">
        <v>1500</v>
      </c>
    </row>
    <row r="37" spans="1:6" hidden="1" x14ac:dyDescent="0.3">
      <c r="A37" s="7" t="s">
        <v>31</v>
      </c>
      <c r="B37" s="14" t="s">
        <v>32</v>
      </c>
      <c r="C37" s="7" t="s">
        <v>57</v>
      </c>
      <c r="D37" s="32">
        <v>500</v>
      </c>
      <c r="E37" s="32">
        <v>500</v>
      </c>
      <c r="F37" s="32">
        <v>600</v>
      </c>
    </row>
    <row r="38" spans="1:6" hidden="1" x14ac:dyDescent="0.3">
      <c r="A38" s="7" t="s">
        <v>33</v>
      </c>
      <c r="B38" s="14" t="s">
        <v>34</v>
      </c>
      <c r="C38" s="7" t="s">
        <v>57</v>
      </c>
      <c r="D38" s="32">
        <v>400</v>
      </c>
      <c r="E38" s="32">
        <v>400</v>
      </c>
      <c r="F38" s="32">
        <v>400</v>
      </c>
    </row>
    <row r="39" spans="1:6" hidden="1" x14ac:dyDescent="0.3">
      <c r="A39" s="7" t="s">
        <v>39</v>
      </c>
      <c r="B39" s="14" t="s">
        <v>40</v>
      </c>
      <c r="C39" s="7" t="s">
        <v>57</v>
      </c>
      <c r="D39" s="32">
        <v>250</v>
      </c>
      <c r="E39" s="32">
        <v>200</v>
      </c>
      <c r="F39" s="32">
        <v>350</v>
      </c>
    </row>
    <row r="40" spans="1:6" hidden="1" x14ac:dyDescent="0.3">
      <c r="A40" s="7" t="s">
        <v>41</v>
      </c>
      <c r="B40" s="14" t="s">
        <v>42</v>
      </c>
      <c r="C40" s="7" t="s">
        <v>57</v>
      </c>
      <c r="D40" s="32">
        <v>500</v>
      </c>
      <c r="E40" s="32">
        <v>500</v>
      </c>
      <c r="F40" s="32">
        <v>500</v>
      </c>
    </row>
    <row r="41" spans="1:6" hidden="1" x14ac:dyDescent="0.3">
      <c r="A41" s="7" t="s">
        <v>43</v>
      </c>
      <c r="B41" s="14" t="s">
        <v>44</v>
      </c>
      <c r="C41" s="7" t="s">
        <v>57</v>
      </c>
      <c r="D41" s="32">
        <v>100</v>
      </c>
      <c r="E41" s="32">
        <v>100</v>
      </c>
      <c r="F41" s="32">
        <v>100</v>
      </c>
    </row>
    <row r="42" spans="1:6" hidden="1" x14ac:dyDescent="0.3">
      <c r="A42" s="7" t="s">
        <v>45</v>
      </c>
      <c r="B42" s="14" t="s">
        <v>46</v>
      </c>
      <c r="C42" s="7" t="s">
        <v>57</v>
      </c>
      <c r="D42" s="32">
        <v>100</v>
      </c>
      <c r="E42" s="32">
        <v>100</v>
      </c>
      <c r="F42" s="32">
        <v>100</v>
      </c>
    </row>
    <row r="43" spans="1:6" hidden="1" x14ac:dyDescent="0.3">
      <c r="A43" s="7" t="s">
        <v>47</v>
      </c>
      <c r="B43" s="14" t="s">
        <v>48</v>
      </c>
      <c r="C43" s="7" t="s">
        <v>57</v>
      </c>
      <c r="D43" s="32">
        <v>100</v>
      </c>
      <c r="E43" s="32">
        <v>50</v>
      </c>
      <c r="F43" s="32">
        <v>100</v>
      </c>
    </row>
    <row r="44" spans="1:6" hidden="1" x14ac:dyDescent="0.3">
      <c r="A44" s="7" t="s">
        <v>49</v>
      </c>
      <c r="B44" s="14" t="s">
        <v>50</v>
      </c>
      <c r="C44" s="7" t="s">
        <v>57</v>
      </c>
      <c r="D44" s="32">
        <v>500</v>
      </c>
      <c r="E44" s="32">
        <v>500</v>
      </c>
      <c r="F44" s="32">
        <v>500</v>
      </c>
    </row>
    <row r="45" spans="1:6" hidden="1" x14ac:dyDescent="0.3">
      <c r="A45" s="7" t="s">
        <v>25</v>
      </c>
      <c r="B45" s="7" t="s">
        <v>26</v>
      </c>
      <c r="C45" s="7" t="s">
        <v>58</v>
      </c>
      <c r="D45" s="32">
        <v>1000</v>
      </c>
      <c r="E45" s="32">
        <v>800</v>
      </c>
      <c r="F45" s="32">
        <v>900</v>
      </c>
    </row>
    <row r="46" spans="1:6" hidden="1" x14ac:dyDescent="0.3">
      <c r="A46" s="7" t="s">
        <v>29</v>
      </c>
      <c r="B46" s="7" t="s">
        <v>30</v>
      </c>
      <c r="C46" s="7" t="s">
        <v>58</v>
      </c>
      <c r="D46" s="32">
        <v>300</v>
      </c>
      <c r="E46" s="32">
        <v>200</v>
      </c>
      <c r="F46" s="32">
        <v>350</v>
      </c>
    </row>
    <row r="47" spans="1:6" hidden="1" x14ac:dyDescent="0.3">
      <c r="A47" s="7" t="s">
        <v>31</v>
      </c>
      <c r="B47" s="7" t="s">
        <v>32</v>
      </c>
      <c r="C47" s="7" t="s">
        <v>58</v>
      </c>
      <c r="D47" s="32">
        <v>500</v>
      </c>
      <c r="E47" s="32">
        <v>400</v>
      </c>
      <c r="F47" s="32">
        <v>500</v>
      </c>
    </row>
    <row r="48" spans="1:6" hidden="1" x14ac:dyDescent="0.3">
      <c r="A48" s="7" t="s">
        <v>23</v>
      </c>
      <c r="B48" s="7" t="s">
        <v>24</v>
      </c>
      <c r="C48" s="7" t="s">
        <v>58</v>
      </c>
      <c r="D48" s="32">
        <v>700</v>
      </c>
      <c r="E48" s="32">
        <v>600</v>
      </c>
      <c r="F48" s="32">
        <v>600</v>
      </c>
    </row>
    <row r="49" spans="1:6" hidden="1" x14ac:dyDescent="0.3">
      <c r="A49" s="7" t="s">
        <v>27</v>
      </c>
      <c r="B49" s="7" t="s">
        <v>28</v>
      </c>
      <c r="C49" s="7" t="s">
        <v>58</v>
      </c>
      <c r="D49" s="32">
        <v>300</v>
      </c>
      <c r="E49" s="32">
        <v>500</v>
      </c>
      <c r="F49" s="32">
        <v>300</v>
      </c>
    </row>
    <row r="50" spans="1:6" x14ac:dyDescent="0.3">
      <c r="A50" s="7" t="s">
        <v>37</v>
      </c>
      <c r="B50" s="14" t="s">
        <v>38</v>
      </c>
      <c r="C50" s="7" t="s">
        <v>58</v>
      </c>
      <c r="D50" s="32">
        <v>1200</v>
      </c>
      <c r="E50" s="32">
        <v>3000</v>
      </c>
      <c r="F50" s="32">
        <v>2000</v>
      </c>
    </row>
    <row r="51" spans="1:6" hidden="1" x14ac:dyDescent="0.3">
      <c r="A51" s="7" t="s">
        <v>33</v>
      </c>
      <c r="B51" s="14" t="s">
        <v>34</v>
      </c>
      <c r="C51" s="7" t="s">
        <v>58</v>
      </c>
      <c r="D51" s="32">
        <v>500</v>
      </c>
      <c r="E51" s="32">
        <v>500</v>
      </c>
      <c r="F51" s="32">
        <v>600</v>
      </c>
    </row>
    <row r="52" spans="1:6" hidden="1" x14ac:dyDescent="0.3">
      <c r="A52" s="7" t="s">
        <v>35</v>
      </c>
      <c r="B52" s="14" t="s">
        <v>36</v>
      </c>
      <c r="C52" s="7" t="s">
        <v>58</v>
      </c>
      <c r="D52" s="32">
        <v>500</v>
      </c>
      <c r="E52" s="32">
        <v>600</v>
      </c>
      <c r="F52" s="32">
        <v>500</v>
      </c>
    </row>
    <row r="53" spans="1:6" hidden="1" x14ac:dyDescent="0.3">
      <c r="A53" s="7" t="s">
        <v>39</v>
      </c>
      <c r="B53" s="14" t="s">
        <v>40</v>
      </c>
      <c r="C53" s="7" t="s">
        <v>58</v>
      </c>
      <c r="D53" s="32">
        <v>400</v>
      </c>
      <c r="E53" s="32">
        <v>350</v>
      </c>
      <c r="F53" s="32">
        <v>450</v>
      </c>
    </row>
    <row r="54" spans="1:6" hidden="1" x14ac:dyDescent="0.3">
      <c r="A54" s="7" t="s">
        <v>41</v>
      </c>
      <c r="B54" s="14" t="s">
        <v>42</v>
      </c>
      <c r="C54" s="7" t="s">
        <v>58</v>
      </c>
      <c r="D54" s="32">
        <v>500</v>
      </c>
      <c r="E54" s="32">
        <v>500</v>
      </c>
      <c r="F54" s="32">
        <v>500</v>
      </c>
    </row>
    <row r="55" spans="1:6" hidden="1" x14ac:dyDescent="0.3">
      <c r="A55" s="7" t="s">
        <v>43</v>
      </c>
      <c r="B55" s="14" t="s">
        <v>44</v>
      </c>
      <c r="C55" s="7" t="s">
        <v>58</v>
      </c>
      <c r="D55" s="32">
        <v>100</v>
      </c>
      <c r="E55" s="32">
        <v>100</v>
      </c>
      <c r="F55" s="32">
        <v>100</v>
      </c>
    </row>
    <row r="56" spans="1:6" hidden="1" x14ac:dyDescent="0.3">
      <c r="A56" s="7" t="s">
        <v>45</v>
      </c>
      <c r="B56" s="14" t="s">
        <v>46</v>
      </c>
      <c r="C56" s="7" t="s">
        <v>58</v>
      </c>
      <c r="D56" s="32">
        <v>100</v>
      </c>
      <c r="E56" s="32">
        <v>100</v>
      </c>
      <c r="F56" s="32">
        <v>100</v>
      </c>
    </row>
    <row r="57" spans="1:6" hidden="1" x14ac:dyDescent="0.3">
      <c r="A57" s="7" t="s">
        <v>47</v>
      </c>
      <c r="B57" s="14" t="s">
        <v>48</v>
      </c>
      <c r="C57" s="7" t="s">
        <v>58</v>
      </c>
      <c r="D57" s="32">
        <v>100</v>
      </c>
      <c r="E57" s="32">
        <v>150</v>
      </c>
      <c r="F57" s="32">
        <v>150</v>
      </c>
    </row>
    <row r="58" spans="1:6" hidden="1" x14ac:dyDescent="0.3">
      <c r="A58" s="7" t="s">
        <v>49</v>
      </c>
      <c r="B58" s="14" t="s">
        <v>50</v>
      </c>
      <c r="C58" s="7" t="s">
        <v>58</v>
      </c>
      <c r="D58" s="32">
        <v>500</v>
      </c>
      <c r="E58" s="32">
        <v>500</v>
      </c>
      <c r="F58" s="32">
        <v>600</v>
      </c>
    </row>
  </sheetData>
  <autoFilter ref="A2:F58" xr:uid="{E0679952-CA3C-4AAE-8F0E-467283682D14}">
    <filterColumn colId="0">
      <filters>
        <filter val="FG0048"/>
      </filters>
    </filterColumn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0848-1F86-4390-8DA9-B6A00B140B8F}">
  <dimension ref="B1:O16"/>
  <sheetViews>
    <sheetView tabSelected="1" zoomScale="122" zoomScaleNormal="122" workbookViewId="0">
      <selection activeCell="G16" sqref="G16"/>
    </sheetView>
  </sheetViews>
  <sheetFormatPr defaultRowHeight="14.4" x14ac:dyDescent="0.3"/>
  <cols>
    <col min="2" max="2" width="13.88671875" bestFit="1" customWidth="1"/>
    <col min="3" max="3" width="12.5546875" customWidth="1"/>
    <col min="4" max="12" width="13.33203125" bestFit="1" customWidth="1"/>
    <col min="13" max="15" width="14.88671875" bestFit="1" customWidth="1"/>
  </cols>
  <sheetData>
    <row r="1" spans="2:15" x14ac:dyDescent="0.3">
      <c r="B1" s="33" t="s">
        <v>37</v>
      </c>
    </row>
    <row r="2" spans="2:15" x14ac:dyDescent="0.3">
      <c r="B2" s="4" t="s">
        <v>65</v>
      </c>
      <c r="C2" s="31">
        <v>50000</v>
      </c>
      <c r="D2" s="4" t="s">
        <v>68</v>
      </c>
      <c r="F2" t="s">
        <v>84</v>
      </c>
      <c r="G2">
        <v>5000</v>
      </c>
      <c r="H2" t="s">
        <v>82</v>
      </c>
    </row>
    <row r="3" spans="2:15" x14ac:dyDescent="0.3">
      <c r="B3" s="4" t="s">
        <v>66</v>
      </c>
      <c r="C3" s="4">
        <v>10</v>
      </c>
      <c r="D3" s="4" t="s">
        <v>82</v>
      </c>
    </row>
    <row r="4" spans="2:15" x14ac:dyDescent="0.3">
      <c r="B4" s="4" t="s">
        <v>60</v>
      </c>
      <c r="C4" s="31">
        <f>6200+15000+13000</f>
        <v>34200</v>
      </c>
      <c r="D4" s="4" t="s">
        <v>69</v>
      </c>
    </row>
    <row r="5" spans="2:15" ht="15" thickBot="1" x14ac:dyDescent="0.35"/>
    <row r="6" spans="2:15" ht="15" thickBot="1" x14ac:dyDescent="0.35">
      <c r="B6" s="9" t="s">
        <v>21</v>
      </c>
      <c r="C6" s="15" t="s">
        <v>70</v>
      </c>
      <c r="D6" s="15" t="s">
        <v>71</v>
      </c>
      <c r="E6" s="15" t="s">
        <v>72</v>
      </c>
      <c r="F6" s="15" t="s">
        <v>73</v>
      </c>
      <c r="G6" s="15" t="s">
        <v>74</v>
      </c>
      <c r="H6" s="15" t="s">
        <v>75</v>
      </c>
      <c r="I6" s="15" t="s">
        <v>76</v>
      </c>
      <c r="J6" s="15" t="s">
        <v>77</v>
      </c>
      <c r="K6" s="15" t="s">
        <v>78</v>
      </c>
      <c r="L6" s="15" t="s">
        <v>79</v>
      </c>
      <c r="M6" s="15" t="s">
        <v>80</v>
      </c>
      <c r="N6" s="15" t="s">
        <v>81</v>
      </c>
      <c r="O6" s="16" t="s">
        <v>59</v>
      </c>
    </row>
    <row r="7" spans="2:15" x14ac:dyDescent="0.3">
      <c r="B7" s="5" t="s">
        <v>60</v>
      </c>
      <c r="C7" s="17">
        <v>0</v>
      </c>
      <c r="D7" s="17">
        <v>3500</v>
      </c>
      <c r="E7" s="17">
        <v>2700</v>
      </c>
      <c r="F7" s="17">
        <v>0</v>
      </c>
      <c r="G7" s="17">
        <v>4000</v>
      </c>
      <c r="H7" s="17">
        <v>5000</v>
      </c>
      <c r="I7" s="17">
        <v>6000</v>
      </c>
      <c r="J7" s="17">
        <v>0</v>
      </c>
      <c r="K7" s="17">
        <v>0</v>
      </c>
      <c r="L7" s="17">
        <v>5000</v>
      </c>
      <c r="M7" s="17">
        <v>8000</v>
      </c>
      <c r="N7" s="18">
        <v>0</v>
      </c>
      <c r="O7" s="19">
        <f>SUM(C7:N7)</f>
        <v>34200</v>
      </c>
    </row>
    <row r="8" spans="2:15" x14ac:dyDescent="0.3">
      <c r="B8" s="6" t="s">
        <v>61</v>
      </c>
      <c r="C8" s="10">
        <v>0</v>
      </c>
      <c r="D8" s="10">
        <f>+C10</f>
        <v>0</v>
      </c>
      <c r="E8" s="10">
        <f t="shared" ref="E8:N8" si="0">+D10</f>
        <v>0</v>
      </c>
      <c r="F8" s="10">
        <f t="shared" si="0"/>
        <v>0</v>
      </c>
      <c r="G8" s="10">
        <f t="shared" si="0"/>
        <v>0</v>
      </c>
      <c r="H8" s="10">
        <f t="shared" si="0"/>
        <v>1000</v>
      </c>
      <c r="I8" s="10">
        <f t="shared" si="0"/>
        <v>1000</v>
      </c>
      <c r="J8" s="10">
        <f t="shared" si="0"/>
        <v>0</v>
      </c>
      <c r="K8" s="10">
        <f t="shared" si="0"/>
        <v>0</v>
      </c>
      <c r="L8" s="10">
        <f t="shared" si="0"/>
        <v>3000</v>
      </c>
      <c r="M8" s="10">
        <f t="shared" si="0"/>
        <v>3000</v>
      </c>
      <c r="N8" s="10">
        <f t="shared" si="0"/>
        <v>0</v>
      </c>
      <c r="O8" s="21"/>
    </row>
    <row r="9" spans="2:15" x14ac:dyDescent="0.3">
      <c r="B9" s="12" t="s">
        <v>62</v>
      </c>
      <c r="C9" s="11">
        <v>0</v>
      </c>
      <c r="D9" s="11">
        <v>3500</v>
      </c>
      <c r="E9" s="11">
        <v>2700</v>
      </c>
      <c r="F9" s="11">
        <v>0</v>
      </c>
      <c r="G9" s="11">
        <v>5000</v>
      </c>
      <c r="H9" s="11">
        <v>5000</v>
      </c>
      <c r="I9" s="11">
        <v>5000</v>
      </c>
      <c r="J9" s="11">
        <v>0</v>
      </c>
      <c r="K9" s="11">
        <v>3000</v>
      </c>
      <c r="L9" s="11">
        <v>5000</v>
      </c>
      <c r="M9" s="11">
        <v>5000</v>
      </c>
      <c r="N9" s="22">
        <v>0</v>
      </c>
      <c r="O9" s="23">
        <f>SUM(C9:N9)</f>
        <v>34200</v>
      </c>
    </row>
    <row r="10" spans="2:15" x14ac:dyDescent="0.3">
      <c r="B10" s="6" t="s">
        <v>63</v>
      </c>
      <c r="C10" s="10">
        <f>+C8+C9-C7</f>
        <v>0</v>
      </c>
      <c r="D10" s="10">
        <f t="shared" ref="D10:H10" si="1">+D8+D9-D7</f>
        <v>0</v>
      </c>
      <c r="E10" s="10">
        <f t="shared" si="1"/>
        <v>0</v>
      </c>
      <c r="F10" s="10">
        <f t="shared" si="1"/>
        <v>0</v>
      </c>
      <c r="G10" s="10">
        <f t="shared" si="1"/>
        <v>1000</v>
      </c>
      <c r="H10" s="10">
        <f t="shared" si="1"/>
        <v>1000</v>
      </c>
      <c r="I10" s="10">
        <f>+I8+I9-I7</f>
        <v>0</v>
      </c>
      <c r="J10" s="10">
        <f t="shared" ref="J10:N10" si="2">+J8+J9-J7</f>
        <v>0</v>
      </c>
      <c r="K10" s="10">
        <f t="shared" si="2"/>
        <v>3000</v>
      </c>
      <c r="L10" s="10">
        <f t="shared" si="2"/>
        <v>3000</v>
      </c>
      <c r="M10" s="10">
        <f t="shared" si="2"/>
        <v>0</v>
      </c>
      <c r="N10" s="20">
        <f t="shared" si="2"/>
        <v>0</v>
      </c>
      <c r="O10" s="21"/>
    </row>
    <row r="11" spans="2:15" x14ac:dyDescent="0.3">
      <c r="B11" s="12" t="s">
        <v>64</v>
      </c>
      <c r="C11" s="11">
        <v>0</v>
      </c>
      <c r="D11" s="11">
        <v>1</v>
      </c>
      <c r="E11" s="11">
        <v>1</v>
      </c>
      <c r="F11" s="11">
        <v>0</v>
      </c>
      <c r="G11" s="11">
        <v>1</v>
      </c>
      <c r="H11" s="11">
        <v>1</v>
      </c>
      <c r="I11" s="11">
        <v>1</v>
      </c>
      <c r="J11" s="11">
        <v>0</v>
      </c>
      <c r="K11" s="11">
        <v>1</v>
      </c>
      <c r="L11" s="11">
        <v>1</v>
      </c>
      <c r="M11" s="11">
        <v>1</v>
      </c>
      <c r="N11" s="11">
        <v>0</v>
      </c>
      <c r="O11" s="23"/>
    </row>
    <row r="12" spans="2:15" x14ac:dyDescent="0.3">
      <c r="B12" s="6" t="s">
        <v>65</v>
      </c>
      <c r="C12" s="10">
        <f>C11*$C$2</f>
        <v>0</v>
      </c>
      <c r="D12" s="10">
        <f>D11*$C$2</f>
        <v>50000</v>
      </c>
      <c r="E12" s="10">
        <f t="shared" ref="D12:N12" si="3">E11*$C$2</f>
        <v>50000</v>
      </c>
      <c r="F12" s="10">
        <f t="shared" si="3"/>
        <v>0</v>
      </c>
      <c r="G12" s="10">
        <f t="shared" si="3"/>
        <v>50000</v>
      </c>
      <c r="H12" s="10">
        <f t="shared" si="3"/>
        <v>50000</v>
      </c>
      <c r="I12" s="10">
        <f t="shared" si="3"/>
        <v>50000</v>
      </c>
      <c r="J12" s="10">
        <f t="shared" si="3"/>
        <v>0</v>
      </c>
      <c r="K12" s="10">
        <f t="shared" si="3"/>
        <v>50000</v>
      </c>
      <c r="L12" s="10">
        <f t="shared" si="3"/>
        <v>50000</v>
      </c>
      <c r="M12" s="10">
        <f t="shared" si="3"/>
        <v>50000</v>
      </c>
      <c r="N12" s="10">
        <f t="shared" si="3"/>
        <v>0</v>
      </c>
      <c r="O12" s="21">
        <f>SUM(C12:N12)</f>
        <v>400000</v>
      </c>
    </row>
    <row r="13" spans="2:15" ht="15" thickBot="1" x14ac:dyDescent="0.35">
      <c r="B13" s="24" t="s">
        <v>66</v>
      </c>
      <c r="C13" s="25">
        <f>C10*$C$3</f>
        <v>0</v>
      </c>
      <c r="D13" s="25">
        <f>D10*$C$3</f>
        <v>0</v>
      </c>
      <c r="E13" s="25">
        <f t="shared" ref="D13:N13" si="4">E10*$C$3</f>
        <v>0</v>
      </c>
      <c r="F13" s="25">
        <f t="shared" si="4"/>
        <v>0</v>
      </c>
      <c r="G13" s="25">
        <f t="shared" si="4"/>
        <v>10000</v>
      </c>
      <c r="H13" s="25">
        <f t="shared" si="4"/>
        <v>10000</v>
      </c>
      <c r="I13" s="25">
        <f t="shared" si="4"/>
        <v>0</v>
      </c>
      <c r="J13" s="25">
        <f t="shared" si="4"/>
        <v>0</v>
      </c>
      <c r="K13" s="25">
        <f t="shared" si="4"/>
        <v>30000</v>
      </c>
      <c r="L13" s="25">
        <f t="shared" si="4"/>
        <v>30000</v>
      </c>
      <c r="M13" s="25">
        <f t="shared" si="4"/>
        <v>0</v>
      </c>
      <c r="N13" s="25">
        <f t="shared" si="4"/>
        <v>0</v>
      </c>
      <c r="O13" s="26">
        <f>SUM(C13:N13)</f>
        <v>80000</v>
      </c>
    </row>
    <row r="14" spans="2:15" ht="15" thickBot="1" x14ac:dyDescent="0.35">
      <c r="B14" s="8" t="s">
        <v>67</v>
      </c>
      <c r="C14" s="27">
        <f>SUM(C12:C13)</f>
        <v>0</v>
      </c>
      <c r="D14" s="27">
        <f t="shared" ref="D14:H14" si="5">SUM(D12:D13)</f>
        <v>50000</v>
      </c>
      <c r="E14" s="27">
        <f t="shared" si="5"/>
        <v>50000</v>
      </c>
      <c r="F14" s="27">
        <f t="shared" si="5"/>
        <v>0</v>
      </c>
      <c r="G14" s="27">
        <f t="shared" si="5"/>
        <v>60000</v>
      </c>
      <c r="H14" s="27">
        <f t="shared" si="5"/>
        <v>60000</v>
      </c>
      <c r="I14" s="27">
        <f>SUM(I12:I13)</f>
        <v>50000</v>
      </c>
      <c r="J14" s="27">
        <f t="shared" ref="J14:N14" si="6">SUM(J12:J13)</f>
        <v>0</v>
      </c>
      <c r="K14" s="27">
        <f t="shared" si="6"/>
        <v>80000</v>
      </c>
      <c r="L14" s="27">
        <f t="shared" si="6"/>
        <v>80000</v>
      </c>
      <c r="M14" s="27">
        <f t="shared" si="6"/>
        <v>50000</v>
      </c>
      <c r="N14" s="28">
        <f t="shared" si="6"/>
        <v>0</v>
      </c>
      <c r="O14" s="29">
        <f>+O12+O13</f>
        <v>480000</v>
      </c>
    </row>
    <row r="15" spans="2:15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2:15" x14ac:dyDescent="0.3">
      <c r="B16" s="4" t="s">
        <v>83</v>
      </c>
      <c r="C16" s="30">
        <f>+$G$2*C11</f>
        <v>0</v>
      </c>
      <c r="D16" s="30">
        <f t="shared" ref="D16:N16" si="7">+$G$2*D11</f>
        <v>5000</v>
      </c>
      <c r="E16" s="30">
        <f t="shared" si="7"/>
        <v>5000</v>
      </c>
      <c r="F16" s="30">
        <f t="shared" si="7"/>
        <v>0</v>
      </c>
      <c r="G16" s="30">
        <f t="shared" si="7"/>
        <v>5000</v>
      </c>
      <c r="H16" s="30">
        <f t="shared" si="7"/>
        <v>5000</v>
      </c>
      <c r="I16" s="30">
        <f t="shared" si="7"/>
        <v>5000</v>
      </c>
      <c r="J16" s="30">
        <f t="shared" si="7"/>
        <v>0</v>
      </c>
      <c r="K16" s="30">
        <f t="shared" si="7"/>
        <v>5000</v>
      </c>
      <c r="L16" s="30">
        <f t="shared" si="7"/>
        <v>5000</v>
      </c>
      <c r="M16" s="30">
        <f t="shared" si="7"/>
        <v>5000</v>
      </c>
      <c r="N16" s="30">
        <f t="shared" si="7"/>
        <v>0</v>
      </c>
      <c r="O16" s="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6F4F-BDC4-4B30-9952-89FB123FCF89}">
  <sheetPr filterMode="1"/>
  <dimension ref="A1:O58"/>
  <sheetViews>
    <sheetView workbookViewId="0">
      <selection activeCell="E3" sqref="E3"/>
    </sheetView>
  </sheetViews>
  <sheetFormatPr defaultRowHeight="14.4" x14ac:dyDescent="0.3"/>
  <cols>
    <col min="2" max="2" width="39.6640625" bestFit="1" customWidth="1"/>
  </cols>
  <sheetData>
    <row r="1" spans="1:15" x14ac:dyDescent="0.3">
      <c r="A1" s="13" t="s">
        <v>52</v>
      </c>
      <c r="B1" s="13" t="s">
        <v>22</v>
      </c>
      <c r="C1" s="13" t="s">
        <v>51</v>
      </c>
      <c r="D1" s="13" t="s">
        <v>70</v>
      </c>
      <c r="E1" s="13" t="s">
        <v>71</v>
      </c>
      <c r="F1" s="13" t="s">
        <v>72</v>
      </c>
      <c r="G1" s="13" t="s">
        <v>73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78</v>
      </c>
      <c r="M1" s="13" t="s">
        <v>79</v>
      </c>
      <c r="N1" s="13" t="s">
        <v>80</v>
      </c>
      <c r="O1" s="13" t="s">
        <v>81</v>
      </c>
    </row>
    <row r="2" spans="1:15" x14ac:dyDescent="0.3">
      <c r="A2" s="7" t="s">
        <v>27</v>
      </c>
      <c r="B2" s="7" t="s">
        <v>28</v>
      </c>
      <c r="C2" s="7" t="s">
        <v>0</v>
      </c>
      <c r="D2" s="7">
        <v>0</v>
      </c>
      <c r="E2" s="7">
        <v>400</v>
      </c>
      <c r="F2" s="7">
        <v>400</v>
      </c>
      <c r="G2" s="7">
        <v>0</v>
      </c>
      <c r="H2" s="7">
        <v>0</v>
      </c>
      <c r="I2" s="7">
        <v>500</v>
      </c>
      <c r="J2" s="7">
        <v>200</v>
      </c>
      <c r="K2" s="7">
        <v>0</v>
      </c>
      <c r="L2" s="7">
        <v>0</v>
      </c>
      <c r="M2" s="7">
        <v>500</v>
      </c>
      <c r="N2" s="7">
        <v>300</v>
      </c>
      <c r="O2" s="7">
        <v>0</v>
      </c>
    </row>
    <row r="3" spans="1:15" x14ac:dyDescent="0.3">
      <c r="A3" s="7" t="s">
        <v>29</v>
      </c>
      <c r="B3" s="7" t="s">
        <v>30</v>
      </c>
      <c r="C3" s="7" t="s">
        <v>0</v>
      </c>
      <c r="D3" s="7">
        <v>0</v>
      </c>
      <c r="E3" s="7">
        <v>400</v>
      </c>
      <c r="F3" s="7">
        <v>400</v>
      </c>
      <c r="G3" s="7">
        <v>0</v>
      </c>
      <c r="H3" s="7">
        <v>0</v>
      </c>
      <c r="I3" s="7">
        <v>500</v>
      </c>
      <c r="J3" s="7">
        <v>200</v>
      </c>
      <c r="K3" s="7">
        <v>0</v>
      </c>
      <c r="L3" s="7">
        <v>0</v>
      </c>
      <c r="M3" s="7">
        <v>500</v>
      </c>
      <c r="N3" s="7">
        <v>300</v>
      </c>
      <c r="O3" s="7">
        <v>0</v>
      </c>
    </row>
    <row r="4" spans="1:15" x14ac:dyDescent="0.3">
      <c r="A4" s="7" t="s">
        <v>33</v>
      </c>
      <c r="B4" s="7" t="s">
        <v>34</v>
      </c>
      <c r="C4" s="7" t="s">
        <v>0</v>
      </c>
      <c r="D4" s="7">
        <v>0</v>
      </c>
      <c r="E4" s="7">
        <v>400</v>
      </c>
      <c r="F4" s="7">
        <v>400</v>
      </c>
      <c r="G4" s="7">
        <v>0</v>
      </c>
      <c r="H4" s="7">
        <v>0</v>
      </c>
      <c r="I4" s="7">
        <v>500</v>
      </c>
      <c r="J4" s="7">
        <v>0</v>
      </c>
      <c r="K4" s="7">
        <v>0</v>
      </c>
      <c r="L4" s="7">
        <v>0</v>
      </c>
      <c r="M4" s="7">
        <v>500</v>
      </c>
      <c r="N4" s="7">
        <v>400</v>
      </c>
      <c r="O4" s="7">
        <v>0</v>
      </c>
    </row>
    <row r="5" spans="1:15" x14ac:dyDescent="0.3">
      <c r="A5" s="7" t="s">
        <v>35</v>
      </c>
      <c r="B5" s="14" t="s">
        <v>36</v>
      </c>
      <c r="C5" s="7" t="s">
        <v>0</v>
      </c>
      <c r="D5" s="7">
        <v>0</v>
      </c>
      <c r="E5" s="7">
        <v>700</v>
      </c>
      <c r="F5" s="7">
        <v>800</v>
      </c>
      <c r="G5" s="7">
        <v>0</v>
      </c>
      <c r="H5" s="7">
        <v>0</v>
      </c>
      <c r="I5" s="7">
        <v>700</v>
      </c>
      <c r="J5" s="7">
        <v>500</v>
      </c>
      <c r="K5" s="7">
        <v>0</v>
      </c>
      <c r="L5" s="7">
        <v>0</v>
      </c>
      <c r="M5" s="7">
        <v>1000</v>
      </c>
      <c r="N5" s="7">
        <v>500</v>
      </c>
      <c r="O5" s="7">
        <v>0</v>
      </c>
    </row>
    <row r="6" spans="1:15" x14ac:dyDescent="0.3">
      <c r="A6" s="7" t="s">
        <v>37</v>
      </c>
      <c r="B6" s="14" t="s">
        <v>38</v>
      </c>
      <c r="C6" s="7" t="s">
        <v>0</v>
      </c>
      <c r="D6" s="7">
        <v>0</v>
      </c>
      <c r="E6" s="7">
        <v>1800</v>
      </c>
      <c r="F6" s="7">
        <v>1200</v>
      </c>
      <c r="G6" s="7">
        <v>0</v>
      </c>
      <c r="H6" s="7">
        <v>2000</v>
      </c>
      <c r="I6" s="7">
        <v>3000</v>
      </c>
      <c r="J6" s="7">
        <v>3000</v>
      </c>
      <c r="K6" s="7">
        <v>0</v>
      </c>
      <c r="L6" s="7">
        <v>0</v>
      </c>
      <c r="M6" s="7">
        <v>3000</v>
      </c>
      <c r="N6" s="7">
        <v>5000</v>
      </c>
      <c r="O6" s="7">
        <v>0</v>
      </c>
    </row>
    <row r="7" spans="1:15" x14ac:dyDescent="0.3">
      <c r="A7" s="7" t="s">
        <v>23</v>
      </c>
      <c r="B7" s="7" t="s">
        <v>24</v>
      </c>
      <c r="C7" s="7" t="s">
        <v>0</v>
      </c>
      <c r="D7" s="7">
        <v>0</v>
      </c>
      <c r="E7" s="7">
        <v>1000</v>
      </c>
      <c r="F7" s="7">
        <v>1000</v>
      </c>
      <c r="G7" s="7">
        <v>0</v>
      </c>
      <c r="H7" s="7">
        <v>0</v>
      </c>
      <c r="I7" s="7">
        <v>1000</v>
      </c>
      <c r="J7" s="7">
        <v>500</v>
      </c>
      <c r="K7" s="7">
        <v>0</v>
      </c>
      <c r="L7" s="7">
        <v>0</v>
      </c>
      <c r="M7" s="7">
        <v>1000</v>
      </c>
      <c r="N7" s="7">
        <v>1000</v>
      </c>
      <c r="O7" s="7">
        <v>0</v>
      </c>
    </row>
    <row r="8" spans="1:15" x14ac:dyDescent="0.3">
      <c r="A8" s="7" t="s">
        <v>25</v>
      </c>
      <c r="B8" s="7" t="s">
        <v>26</v>
      </c>
      <c r="C8" s="7" t="s">
        <v>0</v>
      </c>
      <c r="D8" s="7">
        <v>0</v>
      </c>
      <c r="E8" s="7">
        <v>1000</v>
      </c>
      <c r="F8" s="7">
        <v>500</v>
      </c>
      <c r="G8" s="7">
        <v>0</v>
      </c>
      <c r="H8" s="7">
        <v>500</v>
      </c>
      <c r="I8" s="7">
        <v>1000</v>
      </c>
      <c r="J8" s="7">
        <v>300</v>
      </c>
      <c r="K8" s="7">
        <v>0</v>
      </c>
      <c r="L8" s="7">
        <v>0</v>
      </c>
      <c r="M8" s="7">
        <v>1000</v>
      </c>
      <c r="N8" s="7">
        <v>500</v>
      </c>
      <c r="O8" s="7">
        <v>0</v>
      </c>
    </row>
    <row r="9" spans="1:15" x14ac:dyDescent="0.3">
      <c r="A9" s="7" t="s">
        <v>31</v>
      </c>
      <c r="B9" s="14" t="s">
        <v>32</v>
      </c>
      <c r="C9" s="7" t="s">
        <v>0</v>
      </c>
      <c r="D9" s="7">
        <v>0</v>
      </c>
      <c r="E9" s="7">
        <v>1000</v>
      </c>
      <c r="F9" s="7">
        <v>1000</v>
      </c>
      <c r="G9" s="7">
        <v>0</v>
      </c>
      <c r="H9" s="7">
        <v>500</v>
      </c>
      <c r="I9" s="7">
        <v>1000</v>
      </c>
      <c r="J9" s="7">
        <v>0</v>
      </c>
      <c r="K9" s="7">
        <v>0</v>
      </c>
      <c r="L9" s="7">
        <v>0</v>
      </c>
      <c r="M9" s="7">
        <v>1000</v>
      </c>
      <c r="N9" s="7">
        <v>800</v>
      </c>
      <c r="O9" s="7">
        <v>0</v>
      </c>
    </row>
    <row r="10" spans="1:15" x14ac:dyDescent="0.3">
      <c r="A10" s="7" t="s">
        <v>39</v>
      </c>
      <c r="B10" s="14" t="s">
        <v>40</v>
      </c>
      <c r="C10" s="7" t="s">
        <v>0</v>
      </c>
      <c r="D10" s="7">
        <v>0</v>
      </c>
      <c r="E10" s="7">
        <v>600</v>
      </c>
      <c r="F10" s="7">
        <v>0</v>
      </c>
      <c r="G10" s="7">
        <v>0</v>
      </c>
      <c r="H10" s="7">
        <v>0</v>
      </c>
      <c r="I10" s="7">
        <v>550</v>
      </c>
      <c r="J10" s="7">
        <v>0</v>
      </c>
      <c r="K10" s="7">
        <v>0</v>
      </c>
      <c r="L10" s="7">
        <v>0</v>
      </c>
      <c r="M10" s="7">
        <v>700</v>
      </c>
      <c r="N10" s="7">
        <v>0</v>
      </c>
      <c r="O10" s="7">
        <v>0</v>
      </c>
    </row>
    <row r="11" spans="1:15" x14ac:dyDescent="0.3">
      <c r="A11" s="7" t="s">
        <v>41</v>
      </c>
      <c r="B11" s="14" t="s">
        <v>42</v>
      </c>
      <c r="C11" s="7" t="s">
        <v>0</v>
      </c>
      <c r="D11" s="7">
        <v>0</v>
      </c>
      <c r="E11" s="7">
        <v>500</v>
      </c>
      <c r="F11" s="7">
        <v>500</v>
      </c>
      <c r="G11" s="7">
        <v>0</v>
      </c>
      <c r="H11" s="7">
        <v>500</v>
      </c>
      <c r="I11" s="7">
        <v>300</v>
      </c>
      <c r="J11" s="7">
        <v>0</v>
      </c>
      <c r="K11" s="7">
        <v>0</v>
      </c>
      <c r="L11" s="7">
        <v>0</v>
      </c>
      <c r="M11" s="7">
        <v>1000</v>
      </c>
      <c r="N11" s="7">
        <v>200</v>
      </c>
      <c r="O11" s="7">
        <v>0</v>
      </c>
    </row>
    <row r="12" spans="1:15" x14ac:dyDescent="0.3">
      <c r="A12" s="7" t="s">
        <v>43</v>
      </c>
      <c r="B12" s="14" t="s">
        <v>44</v>
      </c>
      <c r="C12" s="7" t="s">
        <v>0</v>
      </c>
      <c r="D12" s="7">
        <v>0</v>
      </c>
      <c r="E12" s="7">
        <v>200</v>
      </c>
      <c r="F12" s="7">
        <v>0</v>
      </c>
      <c r="G12" s="7">
        <v>0</v>
      </c>
      <c r="H12" s="7">
        <v>0</v>
      </c>
      <c r="I12" s="7">
        <v>200</v>
      </c>
      <c r="J12" s="7">
        <v>0</v>
      </c>
      <c r="K12" s="7">
        <v>0</v>
      </c>
      <c r="L12" s="7">
        <v>0</v>
      </c>
      <c r="M12" s="7">
        <v>200</v>
      </c>
      <c r="N12" s="7">
        <v>0</v>
      </c>
      <c r="O12" s="7">
        <v>0</v>
      </c>
    </row>
    <row r="13" spans="1:15" x14ac:dyDescent="0.3">
      <c r="A13" s="7" t="s">
        <v>45</v>
      </c>
      <c r="B13" s="14" t="s">
        <v>46</v>
      </c>
      <c r="C13" s="7" t="s">
        <v>0</v>
      </c>
      <c r="D13" s="7">
        <v>0</v>
      </c>
      <c r="E13" s="7">
        <v>200</v>
      </c>
      <c r="F13" s="7">
        <v>0</v>
      </c>
      <c r="G13" s="7">
        <v>0</v>
      </c>
      <c r="H13" s="7">
        <v>0</v>
      </c>
      <c r="I13" s="7">
        <v>150</v>
      </c>
      <c r="J13" s="7">
        <v>0</v>
      </c>
      <c r="K13" s="7">
        <v>0</v>
      </c>
      <c r="L13" s="7">
        <v>0</v>
      </c>
      <c r="M13" s="7">
        <v>200</v>
      </c>
      <c r="N13" s="7">
        <v>0</v>
      </c>
      <c r="O13" s="7">
        <v>0</v>
      </c>
    </row>
    <row r="14" spans="1:15" x14ac:dyDescent="0.3">
      <c r="A14" s="7" t="s">
        <v>47</v>
      </c>
      <c r="B14" s="14" t="s">
        <v>48</v>
      </c>
      <c r="C14" s="7" t="s">
        <v>0</v>
      </c>
      <c r="D14" s="7">
        <v>0</v>
      </c>
      <c r="E14" s="7">
        <v>100</v>
      </c>
      <c r="F14" s="7">
        <v>0</v>
      </c>
      <c r="G14" s="7">
        <v>0</v>
      </c>
      <c r="H14" s="7">
        <v>0</v>
      </c>
      <c r="I14" s="7">
        <v>150</v>
      </c>
      <c r="J14" s="7">
        <v>0</v>
      </c>
      <c r="K14" s="7">
        <v>0</v>
      </c>
      <c r="L14" s="7">
        <v>0</v>
      </c>
      <c r="M14" s="7">
        <v>100</v>
      </c>
      <c r="N14" s="7">
        <v>0</v>
      </c>
      <c r="O14" s="7">
        <v>0</v>
      </c>
    </row>
    <row r="15" spans="1:15" x14ac:dyDescent="0.3">
      <c r="A15" s="7" t="s">
        <v>49</v>
      </c>
      <c r="B15" s="14" t="s">
        <v>50</v>
      </c>
      <c r="C15" s="7" t="s">
        <v>0</v>
      </c>
      <c r="D15" s="7">
        <v>0</v>
      </c>
      <c r="E15" s="7">
        <v>600</v>
      </c>
      <c r="F15" s="7">
        <v>600</v>
      </c>
      <c r="G15" s="7">
        <v>0</v>
      </c>
      <c r="H15" s="7">
        <v>0</v>
      </c>
      <c r="I15" s="7">
        <v>500</v>
      </c>
      <c r="J15" s="7">
        <v>500</v>
      </c>
      <c r="K15" s="7">
        <v>0</v>
      </c>
      <c r="L15" s="7">
        <v>0</v>
      </c>
      <c r="M15" s="7">
        <v>700</v>
      </c>
      <c r="N15" s="7">
        <v>500</v>
      </c>
      <c r="O15" s="7">
        <v>0</v>
      </c>
    </row>
    <row r="16" spans="1:15" hidden="1" x14ac:dyDescent="0.3">
      <c r="A16" s="7" t="s">
        <v>23</v>
      </c>
      <c r="B16" s="7" t="s">
        <v>24</v>
      </c>
      <c r="C16" s="7" t="s">
        <v>56</v>
      </c>
      <c r="D16" s="7">
        <v>0</v>
      </c>
      <c r="E16" s="32">
        <v>500</v>
      </c>
      <c r="F16" s="7">
        <v>300</v>
      </c>
      <c r="G16" s="7">
        <v>0</v>
      </c>
      <c r="H16" s="7">
        <v>0</v>
      </c>
      <c r="I16" s="32">
        <v>500</v>
      </c>
      <c r="J16" s="7">
        <v>0</v>
      </c>
      <c r="K16" s="7">
        <v>0</v>
      </c>
      <c r="L16" s="7">
        <v>0</v>
      </c>
      <c r="M16" s="32">
        <v>500</v>
      </c>
      <c r="N16" s="7">
        <v>300</v>
      </c>
      <c r="O16" s="7">
        <v>0</v>
      </c>
    </row>
    <row r="17" spans="1:15" hidden="1" x14ac:dyDescent="0.3">
      <c r="A17" s="7" t="s">
        <v>25</v>
      </c>
      <c r="B17" s="7" t="s">
        <v>26</v>
      </c>
      <c r="C17" s="7" t="s">
        <v>56</v>
      </c>
      <c r="D17" s="7">
        <v>0</v>
      </c>
      <c r="E17" s="32">
        <v>500</v>
      </c>
      <c r="F17" s="7">
        <v>500</v>
      </c>
      <c r="G17" s="7">
        <v>0</v>
      </c>
      <c r="H17" s="7">
        <v>0</v>
      </c>
      <c r="I17" s="32">
        <v>800</v>
      </c>
      <c r="J17" s="7">
        <v>0</v>
      </c>
      <c r="K17" s="7">
        <v>0</v>
      </c>
      <c r="L17" s="7">
        <v>0</v>
      </c>
      <c r="M17" s="32">
        <v>1000</v>
      </c>
      <c r="N17" s="7">
        <v>0</v>
      </c>
      <c r="O17" s="7">
        <v>0</v>
      </c>
    </row>
    <row r="18" spans="1:15" hidden="1" x14ac:dyDescent="0.3">
      <c r="A18" s="7" t="s">
        <v>29</v>
      </c>
      <c r="B18" s="7" t="s">
        <v>30</v>
      </c>
      <c r="C18" s="7" t="s">
        <v>56</v>
      </c>
      <c r="D18" s="7">
        <v>0</v>
      </c>
      <c r="E18" s="32">
        <v>600</v>
      </c>
      <c r="F18" s="7">
        <v>0</v>
      </c>
      <c r="G18" s="7">
        <v>0</v>
      </c>
      <c r="H18" s="7">
        <v>0</v>
      </c>
      <c r="I18" s="32">
        <v>500</v>
      </c>
      <c r="J18" s="7">
        <v>0</v>
      </c>
      <c r="K18" s="7">
        <v>0</v>
      </c>
      <c r="L18" s="7">
        <v>0</v>
      </c>
      <c r="M18" s="32">
        <v>700</v>
      </c>
      <c r="N18" s="7">
        <v>0</v>
      </c>
      <c r="O18" s="7">
        <v>0</v>
      </c>
    </row>
    <row r="19" spans="1:15" hidden="1" x14ac:dyDescent="0.3">
      <c r="A19" s="7" t="s">
        <v>31</v>
      </c>
      <c r="B19" s="7" t="s">
        <v>32</v>
      </c>
      <c r="C19" s="7" t="s">
        <v>56</v>
      </c>
      <c r="D19" s="7">
        <v>0</v>
      </c>
      <c r="E19" s="32">
        <v>500</v>
      </c>
      <c r="F19" s="7">
        <v>500</v>
      </c>
      <c r="G19" s="7">
        <v>0</v>
      </c>
      <c r="H19" s="7">
        <v>0</v>
      </c>
      <c r="I19" s="32">
        <v>800</v>
      </c>
      <c r="J19" s="7">
        <v>0</v>
      </c>
      <c r="K19" s="7">
        <v>0</v>
      </c>
      <c r="L19" s="7">
        <v>0</v>
      </c>
      <c r="M19" s="32">
        <v>800</v>
      </c>
      <c r="N19" s="7">
        <v>0</v>
      </c>
      <c r="O19" s="7">
        <v>0</v>
      </c>
    </row>
    <row r="20" spans="1:15" hidden="1" x14ac:dyDescent="0.3">
      <c r="A20" s="7" t="s">
        <v>27</v>
      </c>
      <c r="B20" s="7" t="s">
        <v>28</v>
      </c>
      <c r="C20" s="7" t="s">
        <v>56</v>
      </c>
      <c r="D20" s="7">
        <v>0</v>
      </c>
      <c r="E20" s="32">
        <v>500</v>
      </c>
      <c r="F20" s="7">
        <v>0</v>
      </c>
      <c r="G20" s="7">
        <v>0</v>
      </c>
      <c r="H20" s="7">
        <v>0</v>
      </c>
      <c r="I20" s="32">
        <v>600</v>
      </c>
      <c r="J20" s="7">
        <v>0</v>
      </c>
      <c r="K20" s="7">
        <v>0</v>
      </c>
      <c r="L20" s="7">
        <v>0</v>
      </c>
      <c r="M20" s="32">
        <v>500</v>
      </c>
      <c r="N20" s="7">
        <v>0</v>
      </c>
      <c r="O20" s="7">
        <v>0</v>
      </c>
    </row>
    <row r="21" spans="1:15" hidden="1" x14ac:dyDescent="0.3">
      <c r="A21" s="7" t="s">
        <v>37</v>
      </c>
      <c r="B21" s="14" t="s">
        <v>38</v>
      </c>
      <c r="C21" s="7" t="s">
        <v>56</v>
      </c>
      <c r="D21" s="7">
        <v>0</v>
      </c>
      <c r="E21" s="32">
        <v>500</v>
      </c>
      <c r="F21" s="7">
        <v>300</v>
      </c>
      <c r="G21" s="7">
        <v>0</v>
      </c>
      <c r="H21" s="7">
        <v>600</v>
      </c>
      <c r="I21" s="32">
        <v>400</v>
      </c>
      <c r="J21" s="7">
        <v>1000</v>
      </c>
      <c r="K21" s="7">
        <v>0</v>
      </c>
      <c r="L21" s="7">
        <v>0</v>
      </c>
      <c r="M21" s="32">
        <v>500</v>
      </c>
      <c r="N21" s="7">
        <v>1000</v>
      </c>
      <c r="O21" s="7">
        <v>0</v>
      </c>
    </row>
    <row r="22" spans="1:15" hidden="1" x14ac:dyDescent="0.3">
      <c r="A22" s="7" t="s">
        <v>33</v>
      </c>
      <c r="B22" s="14" t="s">
        <v>34</v>
      </c>
      <c r="C22" s="7" t="s">
        <v>56</v>
      </c>
      <c r="D22" s="7">
        <v>0</v>
      </c>
      <c r="E22" s="32">
        <v>500</v>
      </c>
      <c r="F22" s="7">
        <v>0</v>
      </c>
      <c r="G22" s="7">
        <v>0</v>
      </c>
      <c r="H22" s="7">
        <v>0</v>
      </c>
      <c r="I22" s="32">
        <v>400</v>
      </c>
      <c r="J22" s="7">
        <v>0</v>
      </c>
      <c r="K22" s="7">
        <v>0</v>
      </c>
      <c r="L22" s="7">
        <v>0</v>
      </c>
      <c r="M22" s="32">
        <v>600</v>
      </c>
      <c r="N22" s="7">
        <v>0</v>
      </c>
      <c r="O22" s="7">
        <v>0</v>
      </c>
    </row>
    <row r="23" spans="1:15" hidden="1" x14ac:dyDescent="0.3">
      <c r="A23" s="7" t="s">
        <v>35</v>
      </c>
      <c r="B23" s="14" t="s">
        <v>36</v>
      </c>
      <c r="C23" s="7" t="s">
        <v>56</v>
      </c>
      <c r="D23" s="7">
        <v>0</v>
      </c>
      <c r="E23" s="32">
        <v>500</v>
      </c>
      <c r="F23" s="7">
        <v>300</v>
      </c>
      <c r="G23" s="7">
        <v>0</v>
      </c>
      <c r="H23" s="7">
        <v>0</v>
      </c>
      <c r="I23" s="32">
        <v>500</v>
      </c>
      <c r="J23" s="7">
        <v>500</v>
      </c>
      <c r="K23" s="7">
        <v>0</v>
      </c>
      <c r="L23" s="7">
        <v>0</v>
      </c>
      <c r="M23" s="32">
        <v>500</v>
      </c>
      <c r="N23" s="7">
        <v>500</v>
      </c>
      <c r="O23" s="7">
        <v>0</v>
      </c>
    </row>
    <row r="24" spans="1:15" hidden="1" x14ac:dyDescent="0.3">
      <c r="A24" s="7" t="s">
        <v>39</v>
      </c>
      <c r="B24" s="14" t="s">
        <v>40</v>
      </c>
      <c r="C24" s="7" t="s">
        <v>56</v>
      </c>
      <c r="D24" s="7">
        <v>0</v>
      </c>
      <c r="E24" s="32">
        <v>250</v>
      </c>
      <c r="F24" s="7">
        <v>0</v>
      </c>
      <c r="G24" s="7">
        <v>0</v>
      </c>
      <c r="H24" s="7">
        <v>0</v>
      </c>
      <c r="I24" s="32">
        <v>200</v>
      </c>
      <c r="J24" s="7">
        <v>0</v>
      </c>
      <c r="K24" s="7">
        <v>0</v>
      </c>
      <c r="L24" s="7">
        <v>0</v>
      </c>
      <c r="M24" s="32">
        <v>400</v>
      </c>
      <c r="N24" s="7">
        <v>0</v>
      </c>
      <c r="O24" s="7">
        <v>0</v>
      </c>
    </row>
    <row r="25" spans="1:15" hidden="1" x14ac:dyDescent="0.3">
      <c r="A25" s="7" t="s">
        <v>41</v>
      </c>
      <c r="B25" s="14" t="s">
        <v>42</v>
      </c>
      <c r="C25" s="7" t="s">
        <v>56</v>
      </c>
      <c r="D25" s="7">
        <v>0</v>
      </c>
      <c r="E25" s="32">
        <v>500</v>
      </c>
      <c r="F25" s="7">
        <v>0</v>
      </c>
      <c r="G25" s="7">
        <v>0</v>
      </c>
      <c r="H25" s="7">
        <v>0</v>
      </c>
      <c r="I25" s="32">
        <v>500</v>
      </c>
      <c r="J25" s="7">
        <v>200</v>
      </c>
      <c r="K25" s="7">
        <v>0</v>
      </c>
      <c r="L25" s="7">
        <v>0</v>
      </c>
      <c r="M25" s="32">
        <v>600</v>
      </c>
      <c r="N25" s="7">
        <v>0</v>
      </c>
      <c r="O25" s="7">
        <v>0</v>
      </c>
    </row>
    <row r="26" spans="1:15" hidden="1" x14ac:dyDescent="0.3">
      <c r="A26" s="7" t="s">
        <v>43</v>
      </c>
      <c r="B26" s="14" t="s">
        <v>44</v>
      </c>
      <c r="C26" s="7" t="s">
        <v>56</v>
      </c>
      <c r="D26" s="7">
        <v>0</v>
      </c>
      <c r="E26" s="32">
        <v>100</v>
      </c>
      <c r="F26" s="7">
        <v>0</v>
      </c>
      <c r="G26" s="7">
        <v>0</v>
      </c>
      <c r="H26" s="7">
        <v>0</v>
      </c>
      <c r="I26" s="32">
        <v>100</v>
      </c>
      <c r="J26" s="7">
        <v>0</v>
      </c>
      <c r="K26" s="7">
        <v>0</v>
      </c>
      <c r="L26" s="7">
        <v>0</v>
      </c>
      <c r="M26" s="32">
        <v>100</v>
      </c>
      <c r="N26" s="7">
        <v>0</v>
      </c>
      <c r="O26" s="7">
        <v>0</v>
      </c>
    </row>
    <row r="27" spans="1:15" hidden="1" x14ac:dyDescent="0.3">
      <c r="A27" s="7" t="s">
        <v>45</v>
      </c>
      <c r="B27" s="14" t="s">
        <v>46</v>
      </c>
      <c r="C27" s="7" t="s">
        <v>56</v>
      </c>
      <c r="D27" s="7">
        <v>0</v>
      </c>
      <c r="E27" s="32">
        <v>100</v>
      </c>
      <c r="F27" s="7">
        <v>0</v>
      </c>
      <c r="G27" s="7">
        <v>0</v>
      </c>
      <c r="H27" s="7">
        <v>0</v>
      </c>
      <c r="I27" s="32">
        <v>150</v>
      </c>
      <c r="J27" s="7">
        <v>0</v>
      </c>
      <c r="K27" s="7">
        <v>0</v>
      </c>
      <c r="L27" s="7">
        <v>0</v>
      </c>
      <c r="M27" s="32">
        <v>100</v>
      </c>
      <c r="N27" s="7">
        <v>0</v>
      </c>
      <c r="O27" s="7">
        <v>0</v>
      </c>
    </row>
    <row r="28" spans="1:15" hidden="1" x14ac:dyDescent="0.3">
      <c r="A28" s="7" t="s">
        <v>47</v>
      </c>
      <c r="B28" s="14" t="s">
        <v>48</v>
      </c>
      <c r="C28" s="7" t="s">
        <v>56</v>
      </c>
      <c r="D28" s="7">
        <v>0</v>
      </c>
      <c r="E28" s="32">
        <v>200</v>
      </c>
      <c r="F28" s="7">
        <v>0</v>
      </c>
      <c r="G28" s="7">
        <v>0</v>
      </c>
      <c r="H28" s="7">
        <v>0</v>
      </c>
      <c r="I28" s="32">
        <v>150</v>
      </c>
      <c r="J28" s="7">
        <v>0</v>
      </c>
      <c r="K28" s="7">
        <v>0</v>
      </c>
      <c r="L28" s="7">
        <v>0</v>
      </c>
      <c r="M28" s="32">
        <v>150</v>
      </c>
      <c r="N28" s="7">
        <v>0</v>
      </c>
      <c r="O28" s="7">
        <v>0</v>
      </c>
    </row>
    <row r="29" spans="1:15" hidden="1" x14ac:dyDescent="0.3">
      <c r="A29" s="7" t="s">
        <v>49</v>
      </c>
      <c r="B29" s="14" t="s">
        <v>50</v>
      </c>
      <c r="C29" s="7" t="s">
        <v>56</v>
      </c>
      <c r="D29" s="7">
        <v>0</v>
      </c>
      <c r="E29" s="32">
        <v>400</v>
      </c>
      <c r="F29" s="7">
        <v>400</v>
      </c>
      <c r="G29" s="7">
        <v>0</v>
      </c>
      <c r="H29" s="7">
        <v>0</v>
      </c>
      <c r="I29" s="32">
        <v>700</v>
      </c>
      <c r="J29" s="7">
        <v>0</v>
      </c>
      <c r="K29" s="7">
        <v>0</v>
      </c>
      <c r="L29" s="7">
        <v>0</v>
      </c>
      <c r="M29" s="32">
        <v>700</v>
      </c>
      <c r="N29" s="7">
        <v>0</v>
      </c>
      <c r="O29" s="7">
        <v>0</v>
      </c>
    </row>
    <row r="30" spans="1:15" hidden="1" x14ac:dyDescent="0.3">
      <c r="A30" s="7" t="s">
        <v>23</v>
      </c>
      <c r="B30" s="7" t="s">
        <v>24</v>
      </c>
      <c r="C30" s="7" t="s">
        <v>57</v>
      </c>
      <c r="D30" s="7">
        <v>0</v>
      </c>
      <c r="E30" s="32">
        <v>500</v>
      </c>
      <c r="F30" s="7">
        <v>0</v>
      </c>
      <c r="G30" s="7">
        <v>0</v>
      </c>
      <c r="H30" s="7">
        <v>0</v>
      </c>
      <c r="I30" s="32">
        <v>400</v>
      </c>
      <c r="J30" s="7">
        <v>0</v>
      </c>
      <c r="K30" s="7">
        <v>0</v>
      </c>
      <c r="L30" s="7">
        <v>0</v>
      </c>
      <c r="M30" s="32">
        <v>600</v>
      </c>
      <c r="N30" s="7">
        <v>0</v>
      </c>
      <c r="O30" s="7">
        <v>0</v>
      </c>
    </row>
    <row r="31" spans="1:15" hidden="1" x14ac:dyDescent="0.3">
      <c r="A31" s="7" t="s">
        <v>25</v>
      </c>
      <c r="B31" s="7" t="s">
        <v>26</v>
      </c>
      <c r="C31" s="7" t="s">
        <v>57</v>
      </c>
      <c r="D31" s="7">
        <v>0</v>
      </c>
      <c r="E31" s="32">
        <v>500</v>
      </c>
      <c r="F31" s="7">
        <v>0</v>
      </c>
      <c r="G31" s="7">
        <v>0</v>
      </c>
      <c r="H31" s="7">
        <v>0</v>
      </c>
      <c r="I31" s="32">
        <v>500</v>
      </c>
      <c r="J31" s="7">
        <v>0</v>
      </c>
      <c r="K31" s="7">
        <v>0</v>
      </c>
      <c r="L31" s="7">
        <v>0</v>
      </c>
      <c r="M31" s="32">
        <v>600</v>
      </c>
      <c r="N31" s="7">
        <v>0</v>
      </c>
      <c r="O31" s="7">
        <v>0</v>
      </c>
    </row>
    <row r="32" spans="1:15" hidden="1" x14ac:dyDescent="0.3">
      <c r="A32" s="7" t="s">
        <v>27</v>
      </c>
      <c r="B32" s="7" t="s">
        <v>28</v>
      </c>
      <c r="C32" s="7" t="s">
        <v>57</v>
      </c>
      <c r="D32" s="7">
        <v>0</v>
      </c>
      <c r="E32" s="32">
        <v>400</v>
      </c>
      <c r="F32" s="7">
        <v>0</v>
      </c>
      <c r="G32" s="7">
        <v>0</v>
      </c>
      <c r="H32" s="7">
        <v>0</v>
      </c>
      <c r="I32" s="32">
        <v>300</v>
      </c>
      <c r="J32" s="7">
        <v>0</v>
      </c>
      <c r="K32" s="7">
        <v>0</v>
      </c>
      <c r="L32" s="7">
        <v>0</v>
      </c>
      <c r="M32" s="32">
        <v>300</v>
      </c>
      <c r="N32" s="7">
        <v>0</v>
      </c>
      <c r="O32" s="7">
        <v>0</v>
      </c>
    </row>
    <row r="33" spans="1:15" hidden="1" x14ac:dyDescent="0.3">
      <c r="A33" s="7" t="s">
        <v>29</v>
      </c>
      <c r="B33" s="7" t="s">
        <v>30</v>
      </c>
      <c r="C33" s="7" t="s">
        <v>57</v>
      </c>
      <c r="D33" s="7">
        <v>0</v>
      </c>
      <c r="E33" s="32">
        <v>300</v>
      </c>
      <c r="F33" s="7">
        <v>0</v>
      </c>
      <c r="G33" s="7">
        <v>0</v>
      </c>
      <c r="H33" s="7">
        <v>0</v>
      </c>
      <c r="I33" s="32">
        <v>200</v>
      </c>
      <c r="J33" s="7">
        <v>0</v>
      </c>
      <c r="K33" s="7">
        <v>0</v>
      </c>
      <c r="L33" s="7">
        <v>0</v>
      </c>
      <c r="M33" s="32">
        <v>350</v>
      </c>
      <c r="N33" s="7">
        <v>0</v>
      </c>
      <c r="O33" s="7">
        <v>0</v>
      </c>
    </row>
    <row r="34" spans="1:15" hidden="1" x14ac:dyDescent="0.3">
      <c r="A34" s="7" t="s">
        <v>35</v>
      </c>
      <c r="B34" s="14" t="s">
        <v>36</v>
      </c>
      <c r="C34" s="7" t="s">
        <v>57</v>
      </c>
      <c r="D34" s="7">
        <v>0</v>
      </c>
      <c r="E34" s="32">
        <v>500</v>
      </c>
      <c r="F34" s="7">
        <v>200</v>
      </c>
      <c r="G34" s="7">
        <v>0</v>
      </c>
      <c r="H34" s="7">
        <v>0</v>
      </c>
      <c r="I34" s="32">
        <v>500</v>
      </c>
      <c r="J34" s="7">
        <v>300</v>
      </c>
      <c r="K34" s="7">
        <v>0</v>
      </c>
      <c r="L34" s="7">
        <v>0</v>
      </c>
      <c r="M34" s="32">
        <v>500</v>
      </c>
      <c r="N34" s="7">
        <v>300</v>
      </c>
      <c r="O34" s="7">
        <v>0</v>
      </c>
    </row>
    <row r="35" spans="1:15" hidden="1" x14ac:dyDescent="0.3">
      <c r="A35" s="7" t="s">
        <v>37</v>
      </c>
      <c r="B35" s="14" t="s">
        <v>38</v>
      </c>
      <c r="C35" s="7" t="s">
        <v>57</v>
      </c>
      <c r="D35" s="7">
        <v>0</v>
      </c>
      <c r="E35" s="32">
        <v>600</v>
      </c>
      <c r="F35" s="7">
        <v>600</v>
      </c>
      <c r="G35" s="7">
        <v>0</v>
      </c>
      <c r="H35" s="7">
        <v>700</v>
      </c>
      <c r="I35" s="32">
        <v>300</v>
      </c>
      <c r="J35" s="7">
        <v>1000</v>
      </c>
      <c r="K35" s="7">
        <v>0</v>
      </c>
      <c r="L35" s="7">
        <v>0</v>
      </c>
      <c r="M35" s="32">
        <v>500</v>
      </c>
      <c r="N35" s="7">
        <v>1000</v>
      </c>
      <c r="O35" s="7">
        <v>0</v>
      </c>
    </row>
    <row r="36" spans="1:15" hidden="1" x14ac:dyDescent="0.3">
      <c r="A36" s="7" t="s">
        <v>31</v>
      </c>
      <c r="B36" s="14" t="s">
        <v>32</v>
      </c>
      <c r="C36" s="7" t="s">
        <v>57</v>
      </c>
      <c r="D36" s="7">
        <v>0</v>
      </c>
      <c r="E36" s="32">
        <v>500</v>
      </c>
      <c r="F36" s="7">
        <v>0</v>
      </c>
      <c r="G36" s="7">
        <v>0</v>
      </c>
      <c r="H36" s="7">
        <v>0</v>
      </c>
      <c r="I36" s="32">
        <v>500</v>
      </c>
      <c r="J36" s="7">
        <v>0</v>
      </c>
      <c r="K36" s="7">
        <v>0</v>
      </c>
      <c r="L36" s="7">
        <v>0</v>
      </c>
      <c r="M36" s="32">
        <v>600</v>
      </c>
      <c r="N36" s="7">
        <v>0</v>
      </c>
      <c r="O36" s="7">
        <v>0</v>
      </c>
    </row>
    <row r="37" spans="1:15" hidden="1" x14ac:dyDescent="0.3">
      <c r="A37" s="7" t="s">
        <v>33</v>
      </c>
      <c r="B37" s="14" t="s">
        <v>34</v>
      </c>
      <c r="C37" s="7" t="s">
        <v>57</v>
      </c>
      <c r="D37" s="7">
        <v>0</v>
      </c>
      <c r="E37" s="32">
        <v>400</v>
      </c>
      <c r="F37" s="7">
        <v>0</v>
      </c>
      <c r="G37" s="7">
        <v>0</v>
      </c>
      <c r="H37" s="7">
        <v>0</v>
      </c>
      <c r="I37" s="32">
        <v>400</v>
      </c>
      <c r="J37" s="7">
        <v>0</v>
      </c>
      <c r="K37" s="7">
        <v>0</v>
      </c>
      <c r="L37" s="7">
        <v>0</v>
      </c>
      <c r="M37" s="32">
        <v>400</v>
      </c>
      <c r="N37" s="7">
        <v>0</v>
      </c>
      <c r="O37" s="7">
        <v>0</v>
      </c>
    </row>
    <row r="38" spans="1:15" hidden="1" x14ac:dyDescent="0.3">
      <c r="A38" s="7" t="s">
        <v>39</v>
      </c>
      <c r="B38" s="14" t="s">
        <v>40</v>
      </c>
      <c r="C38" s="7" t="s">
        <v>57</v>
      </c>
      <c r="D38" s="7">
        <v>0</v>
      </c>
      <c r="E38" s="32">
        <v>250</v>
      </c>
      <c r="F38" s="7">
        <v>0</v>
      </c>
      <c r="G38" s="7">
        <v>0</v>
      </c>
      <c r="H38" s="7">
        <v>0</v>
      </c>
      <c r="I38" s="32">
        <v>200</v>
      </c>
      <c r="J38" s="7">
        <v>0</v>
      </c>
      <c r="K38" s="7">
        <v>0</v>
      </c>
      <c r="L38" s="7">
        <v>0</v>
      </c>
      <c r="M38" s="32">
        <v>350</v>
      </c>
      <c r="N38" s="7">
        <v>0</v>
      </c>
      <c r="O38" s="7">
        <v>0</v>
      </c>
    </row>
    <row r="39" spans="1:15" hidden="1" x14ac:dyDescent="0.3">
      <c r="A39" s="7" t="s">
        <v>41</v>
      </c>
      <c r="B39" s="14" t="s">
        <v>42</v>
      </c>
      <c r="C39" s="7" t="s">
        <v>57</v>
      </c>
      <c r="D39" s="7">
        <v>0</v>
      </c>
      <c r="E39" s="32">
        <v>500</v>
      </c>
      <c r="F39" s="7">
        <v>0</v>
      </c>
      <c r="G39" s="7">
        <v>0</v>
      </c>
      <c r="H39" s="7">
        <v>0</v>
      </c>
      <c r="I39" s="32">
        <v>500</v>
      </c>
      <c r="J39" s="7">
        <v>0</v>
      </c>
      <c r="K39" s="7">
        <v>0</v>
      </c>
      <c r="L39" s="7">
        <v>0</v>
      </c>
      <c r="M39" s="32">
        <v>500</v>
      </c>
      <c r="N39" s="7">
        <v>0</v>
      </c>
      <c r="O39" s="7">
        <v>0</v>
      </c>
    </row>
    <row r="40" spans="1:15" hidden="1" x14ac:dyDescent="0.3">
      <c r="A40" s="7" t="s">
        <v>43</v>
      </c>
      <c r="B40" s="14" t="s">
        <v>44</v>
      </c>
      <c r="C40" s="7" t="s">
        <v>57</v>
      </c>
      <c r="D40" s="7">
        <v>0</v>
      </c>
      <c r="E40" s="32">
        <v>100</v>
      </c>
      <c r="F40" s="7">
        <v>0</v>
      </c>
      <c r="G40" s="7">
        <v>0</v>
      </c>
      <c r="H40" s="7">
        <v>0</v>
      </c>
      <c r="I40" s="32">
        <v>100</v>
      </c>
      <c r="J40" s="7">
        <v>0</v>
      </c>
      <c r="K40" s="7">
        <v>0</v>
      </c>
      <c r="L40" s="7">
        <v>0</v>
      </c>
      <c r="M40" s="32">
        <v>100</v>
      </c>
      <c r="N40" s="7">
        <v>0</v>
      </c>
      <c r="O40" s="7">
        <v>0</v>
      </c>
    </row>
    <row r="41" spans="1:15" hidden="1" x14ac:dyDescent="0.3">
      <c r="A41" s="7" t="s">
        <v>45</v>
      </c>
      <c r="B41" s="14" t="s">
        <v>46</v>
      </c>
      <c r="C41" s="7" t="s">
        <v>57</v>
      </c>
      <c r="D41" s="7">
        <v>0</v>
      </c>
      <c r="E41" s="32">
        <v>100</v>
      </c>
      <c r="F41" s="7">
        <v>0</v>
      </c>
      <c r="G41" s="7">
        <v>0</v>
      </c>
      <c r="H41" s="7">
        <v>0</v>
      </c>
      <c r="I41" s="32">
        <v>100</v>
      </c>
      <c r="J41" s="7">
        <v>0</v>
      </c>
      <c r="K41" s="7">
        <v>0</v>
      </c>
      <c r="L41" s="7">
        <v>0</v>
      </c>
      <c r="M41" s="32">
        <v>100</v>
      </c>
      <c r="N41" s="7">
        <v>0</v>
      </c>
      <c r="O41" s="7">
        <v>0</v>
      </c>
    </row>
    <row r="42" spans="1:15" hidden="1" x14ac:dyDescent="0.3">
      <c r="A42" s="7" t="s">
        <v>47</v>
      </c>
      <c r="B42" s="14" t="s">
        <v>48</v>
      </c>
      <c r="C42" s="7" t="s">
        <v>57</v>
      </c>
      <c r="D42" s="7">
        <v>0</v>
      </c>
      <c r="E42" s="32">
        <v>100</v>
      </c>
      <c r="F42" s="7">
        <v>0</v>
      </c>
      <c r="G42" s="7">
        <v>0</v>
      </c>
      <c r="H42" s="7">
        <v>0</v>
      </c>
      <c r="I42" s="32">
        <v>50</v>
      </c>
      <c r="J42" s="7">
        <v>0</v>
      </c>
      <c r="K42" s="7">
        <v>0</v>
      </c>
      <c r="L42" s="7">
        <v>0</v>
      </c>
      <c r="M42" s="32">
        <v>100</v>
      </c>
      <c r="N42" s="7">
        <v>0</v>
      </c>
      <c r="O42" s="7">
        <v>0</v>
      </c>
    </row>
    <row r="43" spans="1:15" hidden="1" x14ac:dyDescent="0.3">
      <c r="A43" s="7" t="s">
        <v>49</v>
      </c>
      <c r="B43" s="14" t="s">
        <v>50</v>
      </c>
      <c r="C43" s="7" t="s">
        <v>57</v>
      </c>
      <c r="D43" s="7">
        <v>0</v>
      </c>
      <c r="E43" s="32">
        <v>500</v>
      </c>
      <c r="F43" s="7">
        <v>0</v>
      </c>
      <c r="G43" s="7">
        <v>0</v>
      </c>
      <c r="H43" s="7">
        <v>0</v>
      </c>
      <c r="I43" s="32">
        <v>500</v>
      </c>
      <c r="J43" s="7">
        <v>0</v>
      </c>
      <c r="K43" s="7">
        <v>0</v>
      </c>
      <c r="L43" s="7">
        <v>0</v>
      </c>
      <c r="M43" s="32">
        <v>500</v>
      </c>
      <c r="N43" s="7">
        <v>0</v>
      </c>
      <c r="O43" s="7">
        <v>0</v>
      </c>
    </row>
    <row r="44" spans="1:15" hidden="1" x14ac:dyDescent="0.3">
      <c r="A44" s="7" t="s">
        <v>25</v>
      </c>
      <c r="B44" s="7" t="s">
        <v>26</v>
      </c>
      <c r="C44" s="7" t="s">
        <v>58</v>
      </c>
      <c r="D44" s="7">
        <v>0</v>
      </c>
      <c r="E44" s="32">
        <v>500</v>
      </c>
      <c r="F44" s="7">
        <v>500</v>
      </c>
      <c r="G44" s="7">
        <v>0</v>
      </c>
      <c r="H44" s="7">
        <v>0</v>
      </c>
      <c r="I44" s="32">
        <v>800</v>
      </c>
      <c r="J44" s="7">
        <v>0</v>
      </c>
      <c r="K44" s="7">
        <v>0</v>
      </c>
      <c r="L44" s="7">
        <v>0</v>
      </c>
      <c r="M44" s="32">
        <v>500</v>
      </c>
      <c r="N44" s="7">
        <v>400</v>
      </c>
      <c r="O44" s="7">
        <v>0</v>
      </c>
    </row>
    <row r="45" spans="1:15" hidden="1" x14ac:dyDescent="0.3">
      <c r="A45" s="7" t="s">
        <v>29</v>
      </c>
      <c r="B45" s="7" t="s">
        <v>30</v>
      </c>
      <c r="C45" s="7" t="s">
        <v>58</v>
      </c>
      <c r="D45" s="7">
        <v>0</v>
      </c>
      <c r="E45" s="32">
        <v>300</v>
      </c>
      <c r="F45" s="7">
        <v>0</v>
      </c>
      <c r="G45" s="7">
        <v>0</v>
      </c>
      <c r="H45" s="7">
        <v>0</v>
      </c>
      <c r="I45" s="32">
        <v>200</v>
      </c>
      <c r="J45" s="7">
        <v>0</v>
      </c>
      <c r="K45" s="7">
        <v>0</v>
      </c>
      <c r="L45" s="7">
        <v>0</v>
      </c>
      <c r="M45" s="32">
        <v>350</v>
      </c>
      <c r="N45" s="7">
        <v>0</v>
      </c>
      <c r="O45" s="7">
        <v>0</v>
      </c>
    </row>
    <row r="46" spans="1:15" hidden="1" x14ac:dyDescent="0.3">
      <c r="A46" s="7" t="s">
        <v>31</v>
      </c>
      <c r="B46" s="7" t="s">
        <v>32</v>
      </c>
      <c r="C46" s="7" t="s">
        <v>58</v>
      </c>
      <c r="D46" s="7">
        <v>0</v>
      </c>
      <c r="E46" s="32">
        <v>500</v>
      </c>
      <c r="F46" s="7">
        <v>0</v>
      </c>
      <c r="G46" s="7">
        <v>0</v>
      </c>
      <c r="H46" s="7">
        <v>0</v>
      </c>
      <c r="I46" s="32">
        <v>400</v>
      </c>
      <c r="J46" s="7">
        <v>0</v>
      </c>
      <c r="K46" s="7">
        <v>0</v>
      </c>
      <c r="L46" s="7">
        <v>0</v>
      </c>
      <c r="M46" s="32">
        <v>500</v>
      </c>
      <c r="N46" s="7">
        <v>0</v>
      </c>
      <c r="O46" s="7">
        <v>0</v>
      </c>
    </row>
    <row r="47" spans="1:15" hidden="1" x14ac:dyDescent="0.3">
      <c r="A47" s="7" t="s">
        <v>23</v>
      </c>
      <c r="B47" s="7" t="s">
        <v>24</v>
      </c>
      <c r="C47" s="7" t="s">
        <v>58</v>
      </c>
      <c r="D47" s="7">
        <v>0</v>
      </c>
      <c r="E47" s="32">
        <v>500</v>
      </c>
      <c r="F47" s="7">
        <v>200</v>
      </c>
      <c r="G47" s="7">
        <v>0</v>
      </c>
      <c r="H47" s="7">
        <v>0</v>
      </c>
      <c r="I47" s="32">
        <v>600</v>
      </c>
      <c r="J47" s="7">
        <v>0</v>
      </c>
      <c r="K47" s="7">
        <v>0</v>
      </c>
      <c r="L47" s="7">
        <v>0</v>
      </c>
      <c r="M47" s="32">
        <v>600</v>
      </c>
      <c r="N47" s="7">
        <v>0</v>
      </c>
      <c r="O47" s="7">
        <v>0</v>
      </c>
    </row>
    <row r="48" spans="1:15" hidden="1" x14ac:dyDescent="0.3">
      <c r="A48" s="7" t="s">
        <v>27</v>
      </c>
      <c r="B48" s="7" t="s">
        <v>28</v>
      </c>
      <c r="C48" s="7" t="s">
        <v>58</v>
      </c>
      <c r="D48" s="7">
        <v>0</v>
      </c>
      <c r="E48" s="32">
        <v>300</v>
      </c>
      <c r="F48" s="7">
        <v>0</v>
      </c>
      <c r="G48" s="7">
        <v>0</v>
      </c>
      <c r="H48" s="7">
        <v>0</v>
      </c>
      <c r="I48" s="32">
        <v>500</v>
      </c>
      <c r="J48" s="7">
        <v>0</v>
      </c>
      <c r="K48" s="7">
        <v>0</v>
      </c>
      <c r="L48" s="7">
        <v>0</v>
      </c>
      <c r="M48" s="32">
        <v>300</v>
      </c>
      <c r="N48" s="7">
        <v>0</v>
      </c>
      <c r="O48" s="7">
        <v>0</v>
      </c>
    </row>
    <row r="49" spans="1:15" hidden="1" x14ac:dyDescent="0.3">
      <c r="A49" s="7" t="s">
        <v>37</v>
      </c>
      <c r="B49" s="14" t="s">
        <v>38</v>
      </c>
      <c r="C49" s="7" t="s">
        <v>58</v>
      </c>
      <c r="D49" s="7">
        <v>0</v>
      </c>
      <c r="E49" s="32">
        <v>600</v>
      </c>
      <c r="F49" s="7">
        <v>600</v>
      </c>
      <c r="G49" s="7">
        <v>0</v>
      </c>
      <c r="H49" s="7">
        <v>700</v>
      </c>
      <c r="I49" s="32">
        <v>1300</v>
      </c>
      <c r="J49" s="7">
        <v>1000</v>
      </c>
      <c r="K49" s="7">
        <v>0</v>
      </c>
      <c r="L49" s="7">
        <v>0</v>
      </c>
      <c r="M49" s="32">
        <v>1000</v>
      </c>
      <c r="N49" s="7">
        <v>1000</v>
      </c>
      <c r="O49" s="7">
        <v>0</v>
      </c>
    </row>
    <row r="50" spans="1:15" hidden="1" x14ac:dyDescent="0.3">
      <c r="A50" s="7" t="s">
        <v>33</v>
      </c>
      <c r="B50" s="14" t="s">
        <v>34</v>
      </c>
      <c r="C50" s="7" t="s">
        <v>58</v>
      </c>
      <c r="D50" s="7">
        <v>0</v>
      </c>
      <c r="E50" s="32">
        <v>500</v>
      </c>
      <c r="F50" s="7">
        <v>0</v>
      </c>
      <c r="G50" s="7">
        <v>0</v>
      </c>
      <c r="H50" s="7">
        <v>0</v>
      </c>
      <c r="I50" s="32">
        <v>500</v>
      </c>
      <c r="J50" s="7">
        <v>0</v>
      </c>
      <c r="K50" s="7">
        <v>0</v>
      </c>
      <c r="L50" s="7">
        <v>0</v>
      </c>
      <c r="M50" s="32">
        <v>600</v>
      </c>
      <c r="N50" s="7">
        <v>0</v>
      </c>
      <c r="O50" s="7">
        <v>0</v>
      </c>
    </row>
    <row r="51" spans="1:15" hidden="1" x14ac:dyDescent="0.3">
      <c r="A51" s="7" t="s">
        <v>35</v>
      </c>
      <c r="B51" s="14" t="s">
        <v>36</v>
      </c>
      <c r="C51" s="7" t="s">
        <v>58</v>
      </c>
      <c r="D51" s="7">
        <v>0</v>
      </c>
      <c r="E51" s="32">
        <v>500</v>
      </c>
      <c r="F51" s="7">
        <v>0</v>
      </c>
      <c r="G51" s="7">
        <v>0</v>
      </c>
      <c r="H51" s="7">
        <v>0</v>
      </c>
      <c r="I51" s="32">
        <v>600</v>
      </c>
      <c r="J51" s="7">
        <v>0</v>
      </c>
      <c r="K51" s="7">
        <v>0</v>
      </c>
      <c r="L51" s="7">
        <v>0</v>
      </c>
      <c r="M51" s="32">
        <v>500</v>
      </c>
      <c r="N51" s="7">
        <v>0</v>
      </c>
      <c r="O51" s="7">
        <v>0</v>
      </c>
    </row>
    <row r="52" spans="1:15" hidden="1" x14ac:dyDescent="0.3">
      <c r="A52" s="7" t="s">
        <v>39</v>
      </c>
      <c r="B52" s="14" t="s">
        <v>40</v>
      </c>
      <c r="C52" s="7" t="s">
        <v>58</v>
      </c>
      <c r="D52" s="7">
        <v>0</v>
      </c>
      <c r="E52" s="32">
        <v>400</v>
      </c>
      <c r="F52" s="7">
        <v>0</v>
      </c>
      <c r="G52" s="7">
        <v>0</v>
      </c>
      <c r="H52" s="7">
        <v>0</v>
      </c>
      <c r="I52" s="32">
        <v>350</v>
      </c>
      <c r="J52" s="7">
        <v>0</v>
      </c>
      <c r="K52" s="7">
        <v>0</v>
      </c>
      <c r="L52" s="7">
        <v>0</v>
      </c>
      <c r="M52" s="32">
        <v>450</v>
      </c>
      <c r="N52" s="7">
        <v>0</v>
      </c>
      <c r="O52" s="7">
        <v>0</v>
      </c>
    </row>
    <row r="53" spans="1:15" hidden="1" x14ac:dyDescent="0.3">
      <c r="A53" s="7" t="s">
        <v>41</v>
      </c>
      <c r="B53" s="14" t="s">
        <v>42</v>
      </c>
      <c r="C53" s="7" t="s">
        <v>58</v>
      </c>
      <c r="D53" s="7">
        <v>0</v>
      </c>
      <c r="E53" s="32">
        <v>500</v>
      </c>
      <c r="F53" s="7">
        <v>0</v>
      </c>
      <c r="G53" s="7">
        <v>0</v>
      </c>
      <c r="H53" s="7">
        <v>0</v>
      </c>
      <c r="I53" s="32">
        <v>500</v>
      </c>
      <c r="J53" s="7">
        <v>0</v>
      </c>
      <c r="K53" s="7">
        <v>0</v>
      </c>
      <c r="L53" s="7">
        <v>0</v>
      </c>
      <c r="M53" s="32">
        <v>500</v>
      </c>
      <c r="N53" s="7">
        <v>0</v>
      </c>
      <c r="O53" s="7">
        <v>0</v>
      </c>
    </row>
    <row r="54" spans="1:15" hidden="1" x14ac:dyDescent="0.3">
      <c r="A54" s="7" t="s">
        <v>43</v>
      </c>
      <c r="B54" s="14" t="s">
        <v>44</v>
      </c>
      <c r="C54" s="7" t="s">
        <v>58</v>
      </c>
      <c r="D54" s="7">
        <v>0</v>
      </c>
      <c r="E54" s="32">
        <v>100</v>
      </c>
      <c r="F54" s="7">
        <v>0</v>
      </c>
      <c r="G54" s="7">
        <v>0</v>
      </c>
      <c r="H54" s="7">
        <v>0</v>
      </c>
      <c r="I54" s="32">
        <v>100</v>
      </c>
      <c r="J54" s="7">
        <v>0</v>
      </c>
      <c r="K54" s="7">
        <v>0</v>
      </c>
      <c r="L54" s="7">
        <v>0</v>
      </c>
      <c r="M54" s="32">
        <v>100</v>
      </c>
      <c r="N54" s="7">
        <v>0</v>
      </c>
      <c r="O54" s="7">
        <v>0</v>
      </c>
    </row>
    <row r="55" spans="1:15" hidden="1" x14ac:dyDescent="0.3">
      <c r="A55" s="7" t="s">
        <v>45</v>
      </c>
      <c r="B55" s="14" t="s">
        <v>46</v>
      </c>
      <c r="C55" s="7" t="s">
        <v>58</v>
      </c>
      <c r="D55" s="7">
        <v>0</v>
      </c>
      <c r="E55" s="32">
        <v>100</v>
      </c>
      <c r="F55" s="7">
        <v>0</v>
      </c>
      <c r="G55" s="7">
        <v>0</v>
      </c>
      <c r="H55" s="7">
        <v>0</v>
      </c>
      <c r="I55" s="32">
        <v>100</v>
      </c>
      <c r="J55" s="7">
        <v>0</v>
      </c>
      <c r="K55" s="7">
        <v>0</v>
      </c>
      <c r="L55" s="7">
        <v>0</v>
      </c>
      <c r="M55" s="32">
        <v>100</v>
      </c>
      <c r="N55" s="7">
        <v>0</v>
      </c>
      <c r="O55" s="7">
        <v>0</v>
      </c>
    </row>
    <row r="56" spans="1:15" hidden="1" x14ac:dyDescent="0.3">
      <c r="A56" s="7" t="s">
        <v>47</v>
      </c>
      <c r="B56" s="14" t="s">
        <v>48</v>
      </c>
      <c r="C56" s="7" t="s">
        <v>58</v>
      </c>
      <c r="D56" s="7">
        <v>0</v>
      </c>
      <c r="E56" s="32">
        <v>100</v>
      </c>
      <c r="F56" s="7">
        <v>0</v>
      </c>
      <c r="G56" s="7">
        <v>0</v>
      </c>
      <c r="H56" s="7">
        <v>0</v>
      </c>
      <c r="I56" s="32">
        <v>150</v>
      </c>
      <c r="J56" s="7">
        <v>0</v>
      </c>
      <c r="K56" s="7">
        <v>0</v>
      </c>
      <c r="L56" s="7">
        <v>0</v>
      </c>
      <c r="M56" s="32">
        <v>150</v>
      </c>
      <c r="N56" s="7">
        <v>0</v>
      </c>
      <c r="O56" s="7">
        <v>0</v>
      </c>
    </row>
    <row r="57" spans="1:15" hidden="1" x14ac:dyDescent="0.3">
      <c r="A57" s="7" t="s">
        <v>49</v>
      </c>
      <c r="B57" s="14" t="s">
        <v>50</v>
      </c>
      <c r="C57" s="7" t="s">
        <v>58</v>
      </c>
      <c r="D57" s="7">
        <v>0</v>
      </c>
      <c r="E57" s="32">
        <v>500</v>
      </c>
      <c r="F57" s="7">
        <v>0</v>
      </c>
      <c r="G57" s="7">
        <v>0</v>
      </c>
      <c r="H57" s="7">
        <v>0</v>
      </c>
      <c r="I57" s="32">
        <v>500</v>
      </c>
      <c r="J57" s="7">
        <v>0</v>
      </c>
      <c r="K57" s="7">
        <v>0</v>
      </c>
      <c r="L57" s="7">
        <v>0</v>
      </c>
      <c r="M57" s="32">
        <v>600</v>
      </c>
      <c r="N57" s="7">
        <v>0</v>
      </c>
      <c r="O57" s="7">
        <v>0</v>
      </c>
    </row>
    <row r="58" spans="1:15" hidden="1" x14ac:dyDescent="0.3">
      <c r="D58">
        <f>SUM(D2:D57)</f>
        <v>0</v>
      </c>
      <c r="E58">
        <f>SUM(E2:E57)</f>
        <v>25200</v>
      </c>
      <c r="F58">
        <f>SUM(F2:F57)</f>
        <v>11200</v>
      </c>
      <c r="G58">
        <f t="shared" ref="G58:O58" si="0">SUM(G2:G57)</f>
        <v>0</v>
      </c>
      <c r="H58">
        <f t="shared" si="0"/>
        <v>5500</v>
      </c>
      <c r="I58">
        <f t="shared" si="0"/>
        <v>27500</v>
      </c>
      <c r="J58">
        <f t="shared" si="0"/>
        <v>9200</v>
      </c>
      <c r="K58">
        <f t="shared" si="0"/>
        <v>0</v>
      </c>
      <c r="L58">
        <f t="shared" si="0"/>
        <v>0</v>
      </c>
      <c r="M58">
        <f t="shared" si="0"/>
        <v>30300</v>
      </c>
      <c r="N58">
        <f t="shared" si="0"/>
        <v>14000</v>
      </c>
      <c r="O58">
        <f t="shared" si="0"/>
        <v>0</v>
      </c>
    </row>
  </sheetData>
  <autoFilter ref="A1:O58" xr:uid="{39CB6F4F-BDC4-4B30-9952-89FB123FCF89}">
    <filterColumn colId="2">
      <filters>
        <filter val="Delhi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CaseStudy</vt:lpstr>
      <vt:lpstr>Demand Plan</vt:lpstr>
      <vt:lpstr>Production</vt:lpstr>
      <vt:lpstr>SupplyPlan</vt:lpstr>
      <vt:lpstr>CaseStudy!Print_Area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cp:lastPrinted>2025-12-06T11:42:17Z</cp:lastPrinted>
  <dcterms:created xsi:type="dcterms:W3CDTF">2024-11-19T12:19:18Z</dcterms:created>
  <dcterms:modified xsi:type="dcterms:W3CDTF">2026-01-12T10:50:24Z</dcterms:modified>
</cp:coreProperties>
</file>