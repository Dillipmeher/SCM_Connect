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l\Mohit\Training\SCM Training\Case Studies\Supply Chain-Risk Management\"/>
    </mc:Choice>
  </mc:AlternateContent>
  <xr:revisionPtr revIDLastSave="0" documentId="13_ncr:1_{9A8FCBE2-D399-4818-8049-0D63CAB2D4C4}" xr6:coauthVersionLast="47" xr6:coauthVersionMax="47" xr10:uidLastSave="{00000000-0000-0000-0000-000000000000}"/>
  <bookViews>
    <workbookView xWindow="-108" yWindow="-108" windowWidth="23256" windowHeight="12456" xr2:uid="{F5782114-7DED-452F-B9E6-7E988A379D1B}"/>
  </bookViews>
  <sheets>
    <sheet name="Case Study" sheetId="12" r:id="rId1"/>
    <sheet name="Solution" sheetId="1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14" l="1"/>
  <c r="H44" i="14"/>
  <c r="H45" i="14"/>
  <c r="F44" i="14"/>
  <c r="F45" i="14"/>
  <c r="H43" i="14"/>
  <c r="G48" i="14"/>
  <c r="E44" i="14"/>
  <c r="E45" i="14"/>
  <c r="E46" i="14"/>
  <c r="F46" i="14" s="1"/>
  <c r="E47" i="14"/>
  <c r="F47" i="14" s="1"/>
  <c r="H47" i="14" s="1"/>
  <c r="E43" i="14"/>
  <c r="C44" i="14"/>
  <c r="C45" i="14"/>
  <c r="C48" i="14" s="1"/>
  <c r="C46" i="14"/>
  <c r="C47" i="14"/>
  <c r="C43" i="14"/>
  <c r="C38" i="14"/>
  <c r="F28" i="14"/>
  <c r="F24" i="14"/>
  <c r="F25" i="14"/>
  <c r="F26" i="14"/>
  <c r="F27" i="14"/>
  <c r="F23" i="14"/>
  <c r="I15" i="14"/>
  <c r="I16" i="14"/>
  <c r="I17" i="14"/>
  <c r="I18" i="14"/>
  <c r="I14" i="14"/>
  <c r="E16" i="14"/>
  <c r="E17" i="14"/>
  <c r="E18" i="14"/>
  <c r="E15" i="14"/>
  <c r="E14" i="14"/>
  <c r="H46" i="14" l="1"/>
  <c r="H48" i="14" s="1"/>
  <c r="F48" i="14"/>
  <c r="E48" i="14"/>
</calcChain>
</file>

<file path=xl/sharedStrings.xml><?xml version="1.0" encoding="utf-8"?>
<sst xmlns="http://schemas.openxmlformats.org/spreadsheetml/2006/main" count="128" uniqueCount="65">
  <si>
    <t>Case Study: Supply Chain Risk Management</t>
  </si>
  <si>
    <t>Satvik Foods is a mid sized FMCG company supplying packaged foods across North India.</t>
  </si>
  <si>
    <t>They currently operate with</t>
  </si>
  <si>
    <t>2 key raw material suppliers</t>
  </si>
  <si>
    <t>1 manufacturing plant</t>
  </si>
  <si>
    <t>3 warehouses</t>
  </si>
  <si>
    <t>Outsourced transportation</t>
  </si>
  <si>
    <t>Top Management of Satvik Foods wants to quantitatively assess</t>
  </si>
  <si>
    <t>Supply Chain Risks</t>
  </si>
  <si>
    <t>a. Supply Chain Risks</t>
  </si>
  <si>
    <t>They have an ERP on which all transactions are recorded</t>
  </si>
  <si>
    <t>Category</t>
  </si>
  <si>
    <t>Risk</t>
  </si>
  <si>
    <t>Risk Code</t>
  </si>
  <si>
    <t>Supply Risk</t>
  </si>
  <si>
    <t>Dependency on few Raw Material Suppliers</t>
  </si>
  <si>
    <t>R1</t>
  </si>
  <si>
    <t>Demand Risk</t>
  </si>
  <si>
    <t>Demand Surge during festivals</t>
  </si>
  <si>
    <t>R2</t>
  </si>
  <si>
    <t>Logistics Risk</t>
  </si>
  <si>
    <t>Transportation delays</t>
  </si>
  <si>
    <t>R3</t>
  </si>
  <si>
    <t>Operational Risk</t>
  </si>
  <si>
    <t>Manufacturing Plant Breakdown</t>
  </si>
  <si>
    <t>R4</t>
  </si>
  <si>
    <t>IT Risks</t>
  </si>
  <si>
    <t>ERP System Failure</t>
  </si>
  <si>
    <t>R5</t>
  </si>
  <si>
    <t>Probability (P)</t>
  </si>
  <si>
    <t>Impact (I)</t>
  </si>
  <si>
    <t>Risk Score (P x I)</t>
  </si>
  <si>
    <t>Risk Prioritization</t>
  </si>
  <si>
    <t>Score</t>
  </si>
  <si>
    <t>Priority</t>
  </si>
  <si>
    <t>Critical</t>
  </si>
  <si>
    <t>High</t>
  </si>
  <si>
    <t>Medium</t>
  </si>
  <si>
    <t>Low</t>
  </si>
  <si>
    <t>Financial Impact Estimation</t>
  </si>
  <si>
    <t>Est Loss 
(INR Crores)</t>
  </si>
  <si>
    <t>Probability (%)</t>
  </si>
  <si>
    <t>Expected Risk Cost
(INR Crores)</t>
  </si>
  <si>
    <t>Total</t>
  </si>
  <si>
    <t>Total Expected Annual Risk Cost</t>
  </si>
  <si>
    <t>Risk Mitigation Strategy &amp; Cost</t>
  </si>
  <si>
    <t>Mitigation Strategy</t>
  </si>
  <si>
    <t>Mitigation Cost 
(INR Crores)</t>
  </si>
  <si>
    <t>Increase number of Suppliers</t>
  </si>
  <si>
    <t>Multiple LSP Contracts</t>
  </si>
  <si>
    <t>Safety Stock (warehouse) + Demand Sensing</t>
  </si>
  <si>
    <t>Preventive Maintenance + Safety Stock (Plant)</t>
  </si>
  <si>
    <t>IT Backup System</t>
  </si>
  <si>
    <t>Total Risk Mitigation Cost</t>
  </si>
  <si>
    <t>Cost Benefit Analysis</t>
  </si>
  <si>
    <t>ERC (Pre-Mitigation)
(INR Crores)</t>
  </si>
  <si>
    <t>Reduced ERC (Post Mitigation)
(INR Crores)</t>
  </si>
  <si>
    <t>Risk Reduction Benefit
(INR Crores)</t>
  </si>
  <si>
    <t>Net Benefit 
(INR Crores)</t>
  </si>
  <si>
    <t>Risk Reduction
(%)</t>
  </si>
  <si>
    <t>Satvik Foods Supply Chain department has identified some of the potential risks</t>
  </si>
  <si>
    <t>Their Finance department has estimated the Potential Loss arising out of these risks</t>
  </si>
  <si>
    <t>c. Financial Impact post Mitigation actions</t>
  </si>
  <si>
    <t>b. Risk Mitigation Strategy</t>
  </si>
  <si>
    <t>Risk Assessment (Risk Matrix)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</si>
</sst>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4" xfId="0" quotePrefix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quotePrefix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2" fontId="0" fillId="0" borderId="6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9" fontId="0" fillId="0" borderId="5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9" fontId="0" fillId="0" borderId="11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2" fontId="1" fillId="0" borderId="9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2" fontId="0" fillId="0" borderId="26" xfId="0" applyNumberFormat="1" applyBorder="1" applyAlignment="1">
      <alignment vertical="center"/>
    </xf>
    <xf numFmtId="2" fontId="0" fillId="0" borderId="27" xfId="0" applyNumberFormat="1" applyBorder="1" applyAlignment="1">
      <alignment vertical="center"/>
    </xf>
    <xf numFmtId="2" fontId="0" fillId="0" borderId="28" xfId="0" applyNumberFormat="1" applyBorder="1" applyAlignment="1">
      <alignment vertical="center"/>
    </xf>
    <xf numFmtId="2" fontId="1" fillId="0" borderId="19" xfId="0" applyNumberFormat="1" applyFont="1" applyBorder="1" applyAlignment="1">
      <alignment vertical="center"/>
    </xf>
    <xf numFmtId="0" fontId="1" fillId="2" borderId="23" xfId="0" applyFont="1" applyFill="1" applyBorder="1" applyAlignment="1">
      <alignment vertical="center" wrapText="1"/>
    </xf>
    <xf numFmtId="2" fontId="0" fillId="0" borderId="29" xfId="0" applyNumberFormat="1" applyBorder="1" applyAlignment="1">
      <alignment vertical="center"/>
    </xf>
    <xf numFmtId="2" fontId="0" fillId="0" borderId="30" xfId="0" applyNumberFormat="1" applyBorder="1" applyAlignment="1">
      <alignment vertical="center"/>
    </xf>
    <xf numFmtId="2" fontId="0" fillId="0" borderId="31" xfId="0" applyNumberForma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3" xfId="0" applyNumberFormat="1" applyBorder="1" applyAlignment="1">
      <alignment vertical="center"/>
    </xf>
    <xf numFmtId="2" fontId="0" fillId="0" borderId="22" xfId="0" applyNumberFormat="1" applyBorder="1" applyAlignment="1">
      <alignment horizontal="center" vertical="center"/>
    </xf>
    <xf numFmtId="9" fontId="0" fillId="0" borderId="18" xfId="0" applyNumberFormat="1" applyBorder="1" applyAlignment="1">
      <alignment vertical="center"/>
    </xf>
    <xf numFmtId="2" fontId="0" fillId="0" borderId="5" xfId="0" applyNumberFormat="1" applyBorder="1" applyAlignment="1">
      <alignment horizontal="center" vertical="center"/>
    </xf>
    <xf numFmtId="9" fontId="0" fillId="0" borderId="6" xfId="0" applyNumberFormat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2" fontId="0" fillId="0" borderId="21" xfId="0" applyNumberForma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2" fontId="0" fillId="0" borderId="4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0" borderId="10" xfId="0" applyNumberForma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0" fillId="0" borderId="4" xfId="0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1</xdr:row>
      <xdr:rowOff>19050</xdr:rowOff>
    </xdr:from>
    <xdr:to>
      <xdr:col>0</xdr:col>
      <xdr:colOff>2050377</xdr:colOff>
      <xdr:row>2</xdr:row>
      <xdr:rowOff>181163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4D040-E43E-405B-9E4B-BE9F16AFF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217170"/>
          <a:ext cx="1995864" cy="360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EB8-E22B-44B2-B78D-80B593D7AD96}">
  <dimension ref="A6:B34"/>
  <sheetViews>
    <sheetView tabSelected="1" zoomScale="115" zoomScaleNormal="115" workbookViewId="0">
      <selection activeCell="B29" sqref="B29"/>
    </sheetView>
  </sheetViews>
  <sheetFormatPr defaultRowHeight="15.6" x14ac:dyDescent="0.3"/>
  <cols>
    <col min="1" max="1" width="37.33203125" style="9" customWidth="1"/>
    <col min="2" max="2" width="14.44140625" style="9" customWidth="1"/>
    <col min="3" max="3" width="13.5546875" style="9" customWidth="1"/>
    <col min="4" max="9" width="11.5546875" style="9" customWidth="1"/>
    <col min="10" max="10" width="8.88671875" style="9"/>
    <col min="11" max="11" width="10" style="9" bestFit="1" customWidth="1"/>
    <col min="12" max="16384" width="8.88671875" style="9"/>
  </cols>
  <sheetData>
    <row r="6" spans="1:1" x14ac:dyDescent="0.3">
      <c r="A6" s="8" t="s">
        <v>0</v>
      </c>
    </row>
    <row r="7" spans="1:1" x14ac:dyDescent="0.3">
      <c r="A7" s="8"/>
    </row>
    <row r="8" spans="1:1" x14ac:dyDescent="0.3">
      <c r="A8" s="9" t="s">
        <v>1</v>
      </c>
    </row>
    <row r="9" spans="1:1" x14ac:dyDescent="0.3">
      <c r="A9" s="9" t="s">
        <v>2</v>
      </c>
    </row>
    <row r="10" spans="1:1" x14ac:dyDescent="0.3">
      <c r="A10" s="83" t="s">
        <v>3</v>
      </c>
    </row>
    <row r="11" spans="1:1" x14ac:dyDescent="0.3">
      <c r="A11" s="83" t="s">
        <v>4</v>
      </c>
    </row>
    <row r="12" spans="1:1" x14ac:dyDescent="0.3">
      <c r="A12" s="83" t="s">
        <v>5</v>
      </c>
    </row>
    <row r="13" spans="1:1" x14ac:dyDescent="0.3">
      <c r="A13" s="83" t="s">
        <v>6</v>
      </c>
    </row>
    <row r="14" spans="1:1" x14ac:dyDescent="0.3">
      <c r="A14" s="83" t="s">
        <v>10</v>
      </c>
    </row>
    <row r="16" spans="1:1" x14ac:dyDescent="0.3">
      <c r="A16" s="9" t="s">
        <v>60</v>
      </c>
    </row>
    <row r="17" spans="1:2" x14ac:dyDescent="0.3">
      <c r="A17" s="80" t="s">
        <v>15</v>
      </c>
    </row>
    <row r="18" spans="1:2" x14ac:dyDescent="0.3">
      <c r="A18" s="80" t="s">
        <v>18</v>
      </c>
    </row>
    <row r="19" spans="1:2" x14ac:dyDescent="0.3">
      <c r="A19" s="80" t="s">
        <v>21</v>
      </c>
    </row>
    <row r="20" spans="1:2" x14ac:dyDescent="0.3">
      <c r="A20" s="80" t="s">
        <v>24</v>
      </c>
    </row>
    <row r="21" spans="1:2" x14ac:dyDescent="0.3">
      <c r="A21" s="80" t="s">
        <v>27</v>
      </c>
    </row>
    <row r="23" spans="1:2" ht="16.2" thickBot="1" x14ac:dyDescent="0.35">
      <c r="A23" s="9" t="s">
        <v>61</v>
      </c>
    </row>
    <row r="24" spans="1:2" ht="29.4" thickBot="1" x14ac:dyDescent="0.35">
      <c r="A24" s="85" t="s">
        <v>12</v>
      </c>
      <c r="B24" s="33" t="s">
        <v>40</v>
      </c>
    </row>
    <row r="25" spans="1:2" x14ac:dyDescent="0.3">
      <c r="A25" s="84" t="s">
        <v>15</v>
      </c>
      <c r="B25" s="30">
        <v>3</v>
      </c>
    </row>
    <row r="26" spans="1:2" x14ac:dyDescent="0.3">
      <c r="A26" s="81" t="s">
        <v>18</v>
      </c>
      <c r="B26" s="31">
        <v>2</v>
      </c>
    </row>
    <row r="27" spans="1:2" x14ac:dyDescent="0.3">
      <c r="A27" s="81" t="s">
        <v>21</v>
      </c>
      <c r="B27" s="31">
        <v>1.2</v>
      </c>
    </row>
    <row r="28" spans="1:2" x14ac:dyDescent="0.3">
      <c r="A28" s="81" t="s">
        <v>24</v>
      </c>
      <c r="B28" s="31">
        <v>2.5</v>
      </c>
    </row>
    <row r="29" spans="1:2" ht="16.2" thickBot="1" x14ac:dyDescent="0.35">
      <c r="A29" s="82" t="s">
        <v>27</v>
      </c>
      <c r="B29" s="32">
        <v>1</v>
      </c>
    </row>
    <row r="31" spans="1:2" x14ac:dyDescent="0.3">
      <c r="A31" s="9" t="s">
        <v>7</v>
      </c>
    </row>
    <row r="32" spans="1:2" x14ac:dyDescent="0.3">
      <c r="A32" s="9" t="s">
        <v>9</v>
      </c>
    </row>
    <row r="33" spans="1:1" x14ac:dyDescent="0.3">
      <c r="A33" s="9" t="s">
        <v>63</v>
      </c>
    </row>
    <row r="34" spans="1:1" x14ac:dyDescent="0.3">
      <c r="A34" s="9" t="s">
        <v>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F884-8B43-4D48-8369-57EAB5086C28}">
  <dimension ref="A2:J48"/>
  <sheetViews>
    <sheetView zoomScale="115" zoomScaleNormal="115" workbookViewId="0">
      <selection activeCell="A41" sqref="A41"/>
    </sheetView>
  </sheetViews>
  <sheetFormatPr defaultRowHeight="16.8" customHeight="1" x14ac:dyDescent="0.3"/>
  <cols>
    <col min="1" max="1" width="15.109375" style="1" customWidth="1"/>
    <col min="2" max="2" width="38.44140625" style="1" customWidth="1"/>
    <col min="3" max="3" width="13.88671875" style="15" bestFit="1" customWidth="1"/>
    <col min="4" max="4" width="14.109375" style="1" customWidth="1"/>
    <col min="5" max="5" width="15.5546875" style="1" customWidth="1"/>
    <col min="6" max="6" width="16.6640625" style="1" bestFit="1" customWidth="1"/>
    <col min="7" max="7" width="16.109375" style="1" customWidth="1"/>
    <col min="8" max="8" width="13.21875" style="1" customWidth="1"/>
    <col min="9" max="9" width="8.88671875" style="1"/>
    <col min="10" max="10" width="12.6640625" style="1" customWidth="1"/>
    <col min="11" max="16384" width="8.88671875" style="1"/>
  </cols>
  <sheetData>
    <row r="2" spans="1:10" ht="16.8" customHeight="1" x14ac:dyDescent="0.3">
      <c r="A2" s="2" t="s">
        <v>8</v>
      </c>
    </row>
    <row r="3" spans="1:10" ht="16.8" customHeight="1" thickBot="1" x14ac:dyDescent="0.35"/>
    <row r="4" spans="1:10" ht="16.8" customHeight="1" thickBot="1" x14ac:dyDescent="0.35">
      <c r="A4" s="10" t="s">
        <v>11</v>
      </c>
      <c r="B4" s="11" t="s">
        <v>12</v>
      </c>
      <c r="C4" s="16" t="s">
        <v>13</v>
      </c>
    </row>
    <row r="5" spans="1:10" ht="16.8" customHeight="1" x14ac:dyDescent="0.3">
      <c r="A5" s="5" t="s">
        <v>14</v>
      </c>
      <c r="B5" s="6" t="s">
        <v>15</v>
      </c>
      <c r="C5" s="17" t="s">
        <v>16</v>
      </c>
    </row>
    <row r="6" spans="1:10" ht="16.8" customHeight="1" x14ac:dyDescent="0.3">
      <c r="A6" s="4" t="s">
        <v>17</v>
      </c>
      <c r="B6" s="3" t="s">
        <v>18</v>
      </c>
      <c r="C6" s="18" t="s">
        <v>19</v>
      </c>
    </row>
    <row r="7" spans="1:10" ht="16.8" customHeight="1" x14ac:dyDescent="0.3">
      <c r="A7" s="4" t="s">
        <v>20</v>
      </c>
      <c r="B7" s="3" t="s">
        <v>21</v>
      </c>
      <c r="C7" s="18" t="s">
        <v>22</v>
      </c>
    </row>
    <row r="8" spans="1:10" ht="16.8" customHeight="1" x14ac:dyDescent="0.3">
      <c r="A8" s="4" t="s">
        <v>23</v>
      </c>
      <c r="B8" s="3" t="s">
        <v>24</v>
      </c>
      <c r="C8" s="18" t="s">
        <v>25</v>
      </c>
    </row>
    <row r="9" spans="1:10" ht="16.8" customHeight="1" thickBot="1" x14ac:dyDescent="0.35">
      <c r="A9" s="13" t="s">
        <v>26</v>
      </c>
      <c r="B9" s="14" t="s">
        <v>27</v>
      </c>
      <c r="C9" s="19" t="s">
        <v>28</v>
      </c>
    </row>
    <row r="12" spans="1:10" ht="16.8" customHeight="1" thickBot="1" x14ac:dyDescent="0.35">
      <c r="A12" s="2" t="s">
        <v>64</v>
      </c>
      <c r="H12" s="2" t="s">
        <v>32</v>
      </c>
      <c r="J12" s="15"/>
    </row>
    <row r="13" spans="1:10" ht="16.8" customHeight="1" thickBot="1" x14ac:dyDescent="0.35">
      <c r="A13" s="10" t="s">
        <v>13</v>
      </c>
      <c r="B13" s="11" t="s">
        <v>12</v>
      </c>
      <c r="C13" s="26" t="s">
        <v>29</v>
      </c>
      <c r="D13" s="26" t="s">
        <v>30</v>
      </c>
      <c r="E13" s="16" t="s">
        <v>31</v>
      </c>
      <c r="H13" s="10" t="s">
        <v>13</v>
      </c>
      <c r="I13" s="26" t="s">
        <v>33</v>
      </c>
      <c r="J13" s="16" t="s">
        <v>34</v>
      </c>
    </row>
    <row r="14" spans="1:10" ht="16.8" customHeight="1" x14ac:dyDescent="0.3">
      <c r="A14" s="23" t="s">
        <v>16</v>
      </c>
      <c r="B14" s="6" t="s">
        <v>14</v>
      </c>
      <c r="C14" s="24">
        <v>5</v>
      </c>
      <c r="D14" s="24">
        <v>5</v>
      </c>
      <c r="E14" s="17">
        <f>+C14*D14</f>
        <v>25</v>
      </c>
      <c r="H14" s="23" t="s">
        <v>16</v>
      </c>
      <c r="I14" s="24">
        <f>+E14</f>
        <v>25</v>
      </c>
      <c r="J14" s="17" t="s">
        <v>35</v>
      </c>
    </row>
    <row r="15" spans="1:10" ht="16.8" customHeight="1" x14ac:dyDescent="0.3">
      <c r="A15" s="4" t="s">
        <v>19</v>
      </c>
      <c r="B15" s="3" t="s">
        <v>17</v>
      </c>
      <c r="C15" s="20">
        <v>5</v>
      </c>
      <c r="D15" s="20">
        <v>4</v>
      </c>
      <c r="E15" s="18">
        <f>+C15*D15</f>
        <v>20</v>
      </c>
      <c r="H15" s="4" t="s">
        <v>19</v>
      </c>
      <c r="I15" s="24">
        <f t="shared" ref="I15:I18" si="0">+E15</f>
        <v>20</v>
      </c>
      <c r="J15" s="18" t="s">
        <v>36</v>
      </c>
    </row>
    <row r="16" spans="1:10" ht="16.8" customHeight="1" x14ac:dyDescent="0.3">
      <c r="A16" s="4" t="s">
        <v>22</v>
      </c>
      <c r="B16" s="3" t="s">
        <v>20</v>
      </c>
      <c r="C16" s="20">
        <v>4</v>
      </c>
      <c r="D16" s="20">
        <v>3</v>
      </c>
      <c r="E16" s="18">
        <f t="shared" ref="E16:E18" si="1">+C16*D16</f>
        <v>12</v>
      </c>
      <c r="H16" s="4" t="s">
        <v>22</v>
      </c>
      <c r="I16" s="24">
        <f t="shared" si="0"/>
        <v>12</v>
      </c>
      <c r="J16" s="18" t="s">
        <v>37</v>
      </c>
    </row>
    <row r="17" spans="1:10" ht="16.8" customHeight="1" x14ac:dyDescent="0.3">
      <c r="A17" s="4" t="s">
        <v>25</v>
      </c>
      <c r="B17" s="3" t="s">
        <v>23</v>
      </c>
      <c r="C17" s="20">
        <v>2</v>
      </c>
      <c r="D17" s="20">
        <v>5</v>
      </c>
      <c r="E17" s="18">
        <f t="shared" si="1"/>
        <v>10</v>
      </c>
      <c r="H17" s="4" t="s">
        <v>25</v>
      </c>
      <c r="I17" s="24">
        <f t="shared" si="0"/>
        <v>10</v>
      </c>
      <c r="J17" s="18" t="s">
        <v>37</v>
      </c>
    </row>
    <row r="18" spans="1:10" ht="16.8" customHeight="1" thickBot="1" x14ac:dyDescent="0.35">
      <c r="A18" s="13" t="s">
        <v>28</v>
      </c>
      <c r="B18" s="14" t="s">
        <v>26</v>
      </c>
      <c r="C18" s="22">
        <v>2</v>
      </c>
      <c r="D18" s="22">
        <v>4</v>
      </c>
      <c r="E18" s="19">
        <f t="shared" si="1"/>
        <v>8</v>
      </c>
      <c r="H18" s="13" t="s">
        <v>28</v>
      </c>
      <c r="I18" s="27">
        <f t="shared" si="0"/>
        <v>8</v>
      </c>
      <c r="J18" s="19" t="s">
        <v>38</v>
      </c>
    </row>
    <row r="21" spans="1:10" ht="16.8" customHeight="1" thickBot="1" x14ac:dyDescent="0.35">
      <c r="A21" s="2" t="s">
        <v>39</v>
      </c>
    </row>
    <row r="22" spans="1:10" ht="29.4" thickBot="1" x14ac:dyDescent="0.35">
      <c r="A22" s="10" t="s">
        <v>13</v>
      </c>
      <c r="B22" s="11" t="s">
        <v>12</v>
      </c>
      <c r="C22" s="59" t="s">
        <v>40</v>
      </c>
      <c r="D22" s="11" t="s">
        <v>29</v>
      </c>
      <c r="E22" s="12" t="s">
        <v>41</v>
      </c>
      <c r="F22" s="47" t="s">
        <v>42</v>
      </c>
    </row>
    <row r="23" spans="1:10" ht="16.8" customHeight="1" x14ac:dyDescent="0.3">
      <c r="A23" s="23" t="s">
        <v>16</v>
      </c>
      <c r="B23" s="6" t="s">
        <v>14</v>
      </c>
      <c r="C23" s="57">
        <v>3</v>
      </c>
      <c r="D23" s="24">
        <v>5</v>
      </c>
      <c r="E23" s="58">
        <v>1</v>
      </c>
      <c r="F23" s="48">
        <f>+C23*E23</f>
        <v>3</v>
      </c>
    </row>
    <row r="24" spans="1:10" ht="16.8" customHeight="1" x14ac:dyDescent="0.3">
      <c r="A24" s="4" t="s">
        <v>19</v>
      </c>
      <c r="B24" s="3" t="s">
        <v>17</v>
      </c>
      <c r="C24" s="53">
        <v>2</v>
      </c>
      <c r="D24" s="20">
        <v>5</v>
      </c>
      <c r="E24" s="54">
        <v>1</v>
      </c>
      <c r="F24" s="49">
        <f t="shared" ref="F24:F27" si="2">+C24*E24</f>
        <v>2</v>
      </c>
    </row>
    <row r="25" spans="1:10" ht="16.8" customHeight="1" x14ac:dyDescent="0.3">
      <c r="A25" s="4" t="s">
        <v>22</v>
      </c>
      <c r="B25" s="3" t="s">
        <v>20</v>
      </c>
      <c r="C25" s="53">
        <v>1.2</v>
      </c>
      <c r="D25" s="20">
        <v>4</v>
      </c>
      <c r="E25" s="54">
        <v>0.8</v>
      </c>
      <c r="F25" s="49">
        <f t="shared" si="2"/>
        <v>0.96</v>
      </c>
    </row>
    <row r="26" spans="1:10" ht="16.8" customHeight="1" x14ac:dyDescent="0.3">
      <c r="A26" s="4" t="s">
        <v>25</v>
      </c>
      <c r="B26" s="3" t="s">
        <v>23</v>
      </c>
      <c r="C26" s="53">
        <v>2.5</v>
      </c>
      <c r="D26" s="20">
        <v>2</v>
      </c>
      <c r="E26" s="54">
        <v>0.4</v>
      </c>
      <c r="F26" s="49">
        <f t="shared" si="2"/>
        <v>1</v>
      </c>
    </row>
    <row r="27" spans="1:10" ht="16.8" customHeight="1" thickBot="1" x14ac:dyDescent="0.35">
      <c r="A27" s="13" t="s">
        <v>28</v>
      </c>
      <c r="B27" s="14" t="s">
        <v>26</v>
      </c>
      <c r="C27" s="55">
        <v>1</v>
      </c>
      <c r="D27" s="22">
        <v>2</v>
      </c>
      <c r="E27" s="56">
        <v>0.4</v>
      </c>
      <c r="F27" s="50">
        <f t="shared" si="2"/>
        <v>0.4</v>
      </c>
    </row>
    <row r="28" spans="1:10" ht="16.8" customHeight="1" thickBot="1" x14ac:dyDescent="0.35">
      <c r="A28" s="51" t="s">
        <v>44</v>
      </c>
      <c r="B28" s="52"/>
      <c r="C28" s="52"/>
      <c r="D28" s="52"/>
      <c r="E28" s="52"/>
      <c r="F28" s="46">
        <f>SUM(F23:F27)</f>
        <v>7.36</v>
      </c>
    </row>
    <row r="31" spans="1:10" ht="16.8" customHeight="1" thickBot="1" x14ac:dyDescent="0.35">
      <c r="A31" s="2" t="s">
        <v>45</v>
      </c>
    </row>
    <row r="32" spans="1:10" ht="43.8" thickBot="1" x14ac:dyDescent="0.35">
      <c r="A32" s="10" t="s">
        <v>13</v>
      </c>
      <c r="B32" s="11" t="s">
        <v>46</v>
      </c>
      <c r="C32" s="29" t="s">
        <v>47</v>
      </c>
    </row>
    <row r="33" spans="1:8" ht="16.8" customHeight="1" x14ac:dyDescent="0.3">
      <c r="A33" s="28" t="s">
        <v>16</v>
      </c>
      <c r="B33" s="21" t="s">
        <v>48</v>
      </c>
      <c r="C33" s="61">
        <v>0.8</v>
      </c>
    </row>
    <row r="34" spans="1:8" ht="16.8" customHeight="1" x14ac:dyDescent="0.3">
      <c r="A34" s="4" t="s">
        <v>19</v>
      </c>
      <c r="B34" s="3" t="s">
        <v>50</v>
      </c>
      <c r="C34" s="31">
        <v>0.5</v>
      </c>
    </row>
    <row r="35" spans="1:8" ht="16.8" customHeight="1" x14ac:dyDescent="0.3">
      <c r="A35" s="4" t="s">
        <v>22</v>
      </c>
      <c r="B35" s="3" t="s">
        <v>49</v>
      </c>
      <c r="C35" s="31">
        <v>0.3</v>
      </c>
    </row>
    <row r="36" spans="1:8" ht="16.8" customHeight="1" x14ac:dyDescent="0.3">
      <c r="A36" s="4" t="s">
        <v>25</v>
      </c>
      <c r="B36" s="3" t="s">
        <v>51</v>
      </c>
      <c r="C36" s="31">
        <v>0.6</v>
      </c>
    </row>
    <row r="37" spans="1:8" ht="16.8" customHeight="1" thickBot="1" x14ac:dyDescent="0.35">
      <c r="A37" s="13" t="s">
        <v>28</v>
      </c>
      <c r="B37" s="14" t="s">
        <v>52</v>
      </c>
      <c r="C37" s="32">
        <v>0.2</v>
      </c>
    </row>
    <row r="38" spans="1:8" ht="16.8" customHeight="1" thickBot="1" x14ac:dyDescent="0.35">
      <c r="A38" s="51" t="s">
        <v>53</v>
      </c>
      <c r="B38" s="62"/>
      <c r="C38" s="63">
        <f>SUM(C33:C37)</f>
        <v>2.4000000000000004</v>
      </c>
    </row>
    <row r="41" spans="1:8" ht="16.8" customHeight="1" thickBot="1" x14ac:dyDescent="0.35">
      <c r="A41" s="2" t="s">
        <v>54</v>
      </c>
    </row>
    <row r="42" spans="1:8" ht="43.8" thickBot="1" x14ac:dyDescent="0.35">
      <c r="A42" s="10" t="s">
        <v>13</v>
      </c>
      <c r="B42" s="42" t="s">
        <v>12</v>
      </c>
      <c r="C42" s="67" t="s">
        <v>55</v>
      </c>
      <c r="D42" s="60" t="s">
        <v>59</v>
      </c>
      <c r="E42" s="29" t="s">
        <v>56</v>
      </c>
      <c r="F42" s="67" t="s">
        <v>57</v>
      </c>
      <c r="G42" s="33" t="s">
        <v>47</v>
      </c>
      <c r="H42" s="66" t="s">
        <v>58</v>
      </c>
    </row>
    <row r="43" spans="1:8" ht="16.8" customHeight="1" x14ac:dyDescent="0.3">
      <c r="A43" s="23" t="s">
        <v>16</v>
      </c>
      <c r="B43" s="72" t="s">
        <v>14</v>
      </c>
      <c r="C43" s="76">
        <f>F23</f>
        <v>3</v>
      </c>
      <c r="D43" s="36">
        <v>0.6</v>
      </c>
      <c r="E43" s="37">
        <f>+C43*D43</f>
        <v>1.7999999999999998</v>
      </c>
      <c r="F43" s="68">
        <f>+C43-E43</f>
        <v>1.2000000000000002</v>
      </c>
      <c r="G43" s="30">
        <v>0.8</v>
      </c>
      <c r="H43" s="43">
        <f>+F43-G43</f>
        <v>0.40000000000000013</v>
      </c>
    </row>
    <row r="44" spans="1:8" ht="16.8" customHeight="1" x14ac:dyDescent="0.3">
      <c r="A44" s="4" t="s">
        <v>19</v>
      </c>
      <c r="B44" s="73" t="s">
        <v>17</v>
      </c>
      <c r="C44" s="77">
        <f t="shared" ref="C44:C47" si="3">F24</f>
        <v>2</v>
      </c>
      <c r="D44" s="34">
        <v>0.5</v>
      </c>
      <c r="E44" s="35">
        <f t="shared" ref="E44:E47" si="4">+C44*D44</f>
        <v>1</v>
      </c>
      <c r="F44" s="69">
        <f t="shared" ref="F44:F47" si="5">+C44-E44</f>
        <v>1</v>
      </c>
      <c r="G44" s="31">
        <v>0.5</v>
      </c>
      <c r="H44" s="44">
        <f t="shared" ref="H44:H47" si="6">+F44-G44</f>
        <v>0.5</v>
      </c>
    </row>
    <row r="45" spans="1:8" ht="16.8" customHeight="1" x14ac:dyDescent="0.3">
      <c r="A45" s="4" t="s">
        <v>22</v>
      </c>
      <c r="B45" s="73" t="s">
        <v>20</v>
      </c>
      <c r="C45" s="77">
        <f t="shared" si="3"/>
        <v>0.96</v>
      </c>
      <c r="D45" s="34">
        <v>0.6</v>
      </c>
      <c r="E45" s="35">
        <f t="shared" si="4"/>
        <v>0.57599999999999996</v>
      </c>
      <c r="F45" s="69">
        <f t="shared" si="5"/>
        <v>0.38400000000000001</v>
      </c>
      <c r="G45" s="31">
        <v>0.3</v>
      </c>
      <c r="H45" s="44">
        <f t="shared" si="6"/>
        <v>8.4000000000000019E-2</v>
      </c>
    </row>
    <row r="46" spans="1:8" ht="16.8" customHeight="1" x14ac:dyDescent="0.3">
      <c r="A46" s="4" t="s">
        <v>25</v>
      </c>
      <c r="B46" s="73" t="s">
        <v>23</v>
      </c>
      <c r="C46" s="77">
        <f t="shared" si="3"/>
        <v>1</v>
      </c>
      <c r="D46" s="34">
        <v>0.4</v>
      </c>
      <c r="E46" s="35">
        <f t="shared" si="4"/>
        <v>0.4</v>
      </c>
      <c r="F46" s="69">
        <f t="shared" si="5"/>
        <v>0.6</v>
      </c>
      <c r="G46" s="31">
        <v>0.6</v>
      </c>
      <c r="H46" s="44">
        <f t="shared" si="6"/>
        <v>0</v>
      </c>
    </row>
    <row r="47" spans="1:8" ht="16.8" customHeight="1" thickBot="1" x14ac:dyDescent="0.35">
      <c r="A47" s="7" t="s">
        <v>28</v>
      </c>
      <c r="B47" s="74" t="s">
        <v>26</v>
      </c>
      <c r="C47" s="78">
        <f t="shared" si="3"/>
        <v>0.4</v>
      </c>
      <c r="D47" s="38">
        <v>0.3</v>
      </c>
      <c r="E47" s="39">
        <f t="shared" si="4"/>
        <v>0.12</v>
      </c>
      <c r="F47" s="70">
        <f t="shared" si="5"/>
        <v>0.28000000000000003</v>
      </c>
      <c r="G47" s="64">
        <v>0.2</v>
      </c>
      <c r="H47" s="45">
        <f t="shared" si="6"/>
        <v>8.0000000000000016E-2</v>
      </c>
    </row>
    <row r="48" spans="1:8" ht="16.8" customHeight="1" thickBot="1" x14ac:dyDescent="0.35">
      <c r="A48" s="41" t="s">
        <v>43</v>
      </c>
      <c r="B48" s="75"/>
      <c r="C48" s="79">
        <f>SUM(C43:C47)</f>
        <v>7.36</v>
      </c>
      <c r="D48" s="25"/>
      <c r="E48" s="40">
        <f>SUM(E43:E47)</f>
        <v>3.8959999999999999</v>
      </c>
      <c r="F48" s="71">
        <f>SUM(F43:F47)</f>
        <v>3.4640000000000004</v>
      </c>
      <c r="G48" s="65">
        <f>SUM(G43:G47)</f>
        <v>2.4000000000000004</v>
      </c>
      <c r="H48" s="46">
        <f>SUM(H43:H47)</f>
        <v>1.0640000000000003</v>
      </c>
    </row>
  </sheetData>
  <mergeCells count="3">
    <mergeCell ref="A28:E28"/>
    <mergeCell ref="A38:B38"/>
    <mergeCell ref="A48:B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Study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Gauba</dc:creator>
  <cp:lastModifiedBy>Mohit Gauba</cp:lastModifiedBy>
  <dcterms:created xsi:type="dcterms:W3CDTF">2020-04-21T09:16:29Z</dcterms:created>
  <dcterms:modified xsi:type="dcterms:W3CDTF">2026-03-09T04:20:24Z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026907a7-707d-4be6-92f2-e66dc7ee90f4</vt:lpwstr>
  </property>
</Properties>
</file>