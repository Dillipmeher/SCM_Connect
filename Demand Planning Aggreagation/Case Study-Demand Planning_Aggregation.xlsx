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Dell\Mohit\Training\SCM Training\Case Studies\Demand Planning-Aggregation\"/>
    </mc:Choice>
  </mc:AlternateContent>
  <xr:revisionPtr revIDLastSave="0" documentId="13_ncr:1_{F36545B0-80A5-483B-90E2-7BF2B57CB6B5}" xr6:coauthVersionLast="47" xr6:coauthVersionMax="47" xr10:uidLastSave="{00000000-0000-0000-0000-000000000000}"/>
  <bookViews>
    <workbookView xWindow="-108" yWindow="-108" windowWidth="23256" windowHeight="12456" activeTab="6" xr2:uid="{8AEC61FD-898C-4F41-B79A-81B49ECB0EEB}"/>
  </bookViews>
  <sheets>
    <sheet name="CaseStudy" sheetId="5" r:id="rId1"/>
    <sheet name="Data" sheetId="64" r:id="rId2"/>
    <sheet name="Pivot" sheetId="66" r:id="rId3"/>
    <sheet name="SKU" sheetId="68" r:id="rId4"/>
    <sheet name="Location" sheetId="71" r:id="rId5"/>
    <sheet name="Time" sheetId="73" r:id="rId6"/>
    <sheet name="Solution" sheetId="65" r:id="rId7"/>
  </sheets>
  <definedNames>
    <definedName name="_xlnm._FilterDatabase" localSheetId="1" hidden="1">Data!$A$3:$E$468</definedName>
    <definedName name="_xlnm.Print_Area" localSheetId="0">CaseStudy!$A$1:$J$28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" i="65" l="1"/>
  <c r="W5" i="65"/>
  <c r="S29" i="65"/>
  <c r="S28" i="65"/>
  <c r="S27" i="65"/>
  <c r="S10" i="65"/>
  <c r="K22" i="65"/>
  <c r="K23" i="65"/>
  <c r="K24" i="65" s="1"/>
  <c r="K10" i="65"/>
  <c r="C17" i="65"/>
  <c r="S23" i="65"/>
  <c r="S24" i="65" s="1"/>
  <c r="C24" i="65"/>
  <c r="E29" i="65" s="1"/>
  <c r="O4" i="65"/>
  <c r="AA4" i="65" s="1"/>
  <c r="N4" i="65"/>
  <c r="Z4" i="65" s="1"/>
  <c r="Z5" i="65" s="1"/>
  <c r="M4" i="65"/>
  <c r="Y4" i="65" s="1"/>
  <c r="L4" i="65"/>
  <c r="X4" i="65" s="1"/>
  <c r="X5" i="65" s="1"/>
  <c r="K4" i="65"/>
  <c r="W4" i="65" s="1"/>
  <c r="L10" i="65"/>
  <c r="X10" i="65" s="1"/>
  <c r="M10" i="65"/>
  <c r="Y10" i="65" s="1"/>
  <c r="N10" i="65"/>
  <c r="Z10" i="65" s="1"/>
  <c r="Z11" i="65" s="1"/>
  <c r="O10" i="65"/>
  <c r="AA10" i="65" s="1"/>
  <c r="D17" i="65"/>
  <c r="E17" i="65"/>
  <c r="F17" i="65"/>
  <c r="G17" i="65"/>
  <c r="D18" i="65"/>
  <c r="E18" i="65"/>
  <c r="F18" i="65"/>
  <c r="G18" i="65"/>
  <c r="D19" i="65"/>
  <c r="E19" i="65"/>
  <c r="F19" i="65"/>
  <c r="G19" i="65"/>
  <c r="C18" i="65"/>
  <c r="C19" i="65"/>
  <c r="N27" i="65" l="1"/>
  <c r="K27" i="65"/>
  <c r="C27" i="65"/>
  <c r="L27" i="65"/>
  <c r="M27" i="65"/>
  <c r="O27" i="65"/>
  <c r="AA11" i="65"/>
  <c r="AA18" i="65" s="1"/>
  <c r="AA17" i="65"/>
  <c r="AA12" i="65"/>
  <c r="AA6" i="65"/>
  <c r="AA19" i="65" s="1"/>
  <c r="AA5" i="65"/>
  <c r="N17" i="65"/>
  <c r="X17" i="65"/>
  <c r="X11" i="65"/>
  <c r="X18" i="65" s="1"/>
  <c r="X12" i="65"/>
  <c r="W6" i="65"/>
  <c r="Y5" i="65"/>
  <c r="Y6" i="65"/>
  <c r="Z18" i="65"/>
  <c r="Y17" i="65"/>
  <c r="Y12" i="65"/>
  <c r="Y19" i="65" s="1"/>
  <c r="Y11" i="65"/>
  <c r="W10" i="65"/>
  <c r="F27" i="65"/>
  <c r="F29" i="65"/>
  <c r="Z6" i="65"/>
  <c r="G27" i="65"/>
  <c r="G29" i="65"/>
  <c r="C28" i="65"/>
  <c r="D28" i="65"/>
  <c r="Z17" i="65"/>
  <c r="X6" i="65"/>
  <c r="Z12" i="65"/>
  <c r="E28" i="65"/>
  <c r="C29" i="65"/>
  <c r="G28" i="65"/>
  <c r="D27" i="65"/>
  <c r="D29" i="65"/>
  <c r="F28" i="65"/>
  <c r="E27" i="65"/>
  <c r="L17" i="65"/>
  <c r="O17" i="65"/>
  <c r="K17" i="65"/>
  <c r="S4" i="65"/>
  <c r="M17" i="65"/>
  <c r="S17" i="65" l="1"/>
  <c r="P27" i="65"/>
  <c r="H27" i="65"/>
  <c r="Z19" i="65"/>
  <c r="H29" i="65"/>
  <c r="W12" i="65"/>
  <c r="W19" i="65" s="1"/>
  <c r="W17" i="65"/>
  <c r="W18" i="65"/>
  <c r="H28" i="65"/>
  <c r="Y18" i="65"/>
  <c r="X19" i="65"/>
  <c r="H30" i="65" l="1"/>
  <c r="P28" i="65" l="1"/>
</calcChain>
</file>

<file path=xl/sharedStrings.xml><?xml version="1.0" encoding="utf-8"?>
<sst xmlns="http://schemas.openxmlformats.org/spreadsheetml/2006/main" count="1160" uniqueCount="57">
  <si>
    <t>Date</t>
  </si>
  <si>
    <t>SKU</t>
  </si>
  <si>
    <t>Location</t>
  </si>
  <si>
    <t>Demand</t>
  </si>
  <si>
    <t>Large</t>
  </si>
  <si>
    <t>Store1</t>
  </si>
  <si>
    <t>Medium</t>
  </si>
  <si>
    <t>Small</t>
  </si>
  <si>
    <t>Store2</t>
  </si>
  <si>
    <t>Store3</t>
  </si>
  <si>
    <t>Store4</t>
  </si>
  <si>
    <t>Store5</t>
  </si>
  <si>
    <t>Demand Data</t>
  </si>
  <si>
    <t>Avg Daily Demand</t>
  </si>
  <si>
    <t>Row Labels</t>
  </si>
  <si>
    <t>Sum of Demand</t>
  </si>
  <si>
    <t>Grand Total</t>
  </si>
  <si>
    <t>Column Labels</t>
  </si>
  <si>
    <t>Average of Demand</t>
  </si>
  <si>
    <t>Total Average of Demand</t>
  </si>
  <si>
    <t>Total StdDevp of Demand</t>
  </si>
  <si>
    <t>StdDevp of Demand</t>
  </si>
  <si>
    <t>Values</t>
  </si>
  <si>
    <t>Std Dev</t>
  </si>
  <si>
    <t>CV</t>
  </si>
  <si>
    <t>Combined</t>
  </si>
  <si>
    <t>DC</t>
  </si>
  <si>
    <t>Week</t>
  </si>
  <si>
    <t>SKU Aggregation</t>
  </si>
  <si>
    <t>Location Aggregation</t>
  </si>
  <si>
    <t>Time Aggregation</t>
  </si>
  <si>
    <t>Daily</t>
  </si>
  <si>
    <t>Weekly</t>
  </si>
  <si>
    <t>Case Study: Demand Planning</t>
  </si>
  <si>
    <t>Mug Life, is a coffee chain with 5 stores located in Delhi</t>
  </si>
  <si>
    <t>Apart from various food and beverages on their menu, they are famous for their brewed coffee</t>
  </si>
  <si>
    <t>They offer coffee to their customers in 3 cup sizes : Large, Medium and Small</t>
  </si>
  <si>
    <t>All three cup sizes have lids on them to keep the coffee hot</t>
  </si>
  <si>
    <t>Currently, the lid sizes of each of the coffee mug are different as per the cup size</t>
  </si>
  <si>
    <t>They want to change the cup design in a way such that lids for all the cup sizes remains the same</t>
  </si>
  <si>
    <t>Mug Life's Supply Chain department has come up with an idea to change the cup design</t>
  </si>
  <si>
    <t>Another idea that their Supply Chain Department is evaluating is to have a Centralized DC for these 5 Stores</t>
  </si>
  <si>
    <t>CSL</t>
  </si>
  <si>
    <t>Lead Time</t>
  </si>
  <si>
    <t>Days</t>
  </si>
  <si>
    <t>k</t>
  </si>
  <si>
    <t>Total</t>
  </si>
  <si>
    <t>(All)</t>
  </si>
  <si>
    <t>Mug Life has a POS System in place which captures Demand accurately for all SKUs</t>
  </si>
  <si>
    <t>Their Supply Chain team has collated the data for the month of Jan 2026 across all Stores</t>
  </si>
  <si>
    <t>As a Supply Chain Head, you want to assess the following</t>
  </si>
  <si>
    <t>a. Current Demand Pattern across SKU, Location and Time</t>
  </si>
  <si>
    <t>b. Impact of Aggregation of Cup Lids</t>
  </si>
  <si>
    <t>c. Impact of Aggregation of Inventory Locations</t>
  </si>
  <si>
    <t>As Is Situation</t>
  </si>
  <si>
    <t>Avg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</si>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</sst>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2" applyNumberFormat="1" applyFont="1" applyAlignment="1">
      <alignment horizontal="center" vertical="center"/>
    </xf>
    <xf numFmtId="165" fontId="0" fillId="0" borderId="0" xfId="2" applyNumberFormat="1" applyFont="1" applyAlignment="1">
      <alignment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10" fontId="0" fillId="0" borderId="0" xfId="0" applyNumberFormat="1" applyAlignment="1">
      <alignment vertical="center"/>
    </xf>
    <xf numFmtId="9" fontId="0" fillId="0" borderId="0" xfId="3" applyFont="1" applyAlignment="1">
      <alignment vertical="center"/>
    </xf>
  </cellXfs>
  <cellStyles count="4">
    <cellStyle name="Comma" xfId="2" builtinId="3"/>
    <cellStyle name="Normal" xfId="0" builtinId="0"/>
    <cellStyle name="Normal 2" xfId="1" xr:uid="{BE979A20-B484-4986-A3F6-28186FEA8850}"/>
    <cellStyle name="Percent" xfId="3" builtinId="5"/>
  </cellStyles>
  <dxfs count="4">
    <dxf>
      <alignment horizontal="center"/>
    </dxf>
    <dxf>
      <alignment horizontal="center"/>
    </dxf>
    <dxf>
      <alignment horizontal="center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Study-Demand Planning_Aggregation.xlsx]SKU!PivotTable3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SKU!$B$4:$B$5</c:f>
              <c:strCache>
                <c:ptCount val="1"/>
                <c:pt idx="0">
                  <c:v>Large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SKU!$A$6:$A$37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SKU!$B$6:$B$37</c:f>
              <c:numCache>
                <c:formatCode>General</c:formatCode>
                <c:ptCount val="31"/>
                <c:pt idx="0">
                  <c:v>331</c:v>
                </c:pt>
                <c:pt idx="1">
                  <c:v>304</c:v>
                </c:pt>
                <c:pt idx="2">
                  <c:v>251</c:v>
                </c:pt>
                <c:pt idx="3">
                  <c:v>378</c:v>
                </c:pt>
                <c:pt idx="4">
                  <c:v>376</c:v>
                </c:pt>
                <c:pt idx="5">
                  <c:v>379</c:v>
                </c:pt>
                <c:pt idx="6">
                  <c:v>323</c:v>
                </c:pt>
                <c:pt idx="7">
                  <c:v>351</c:v>
                </c:pt>
                <c:pt idx="8">
                  <c:v>446</c:v>
                </c:pt>
                <c:pt idx="9">
                  <c:v>359</c:v>
                </c:pt>
                <c:pt idx="10">
                  <c:v>443</c:v>
                </c:pt>
                <c:pt idx="11">
                  <c:v>319</c:v>
                </c:pt>
                <c:pt idx="12">
                  <c:v>411</c:v>
                </c:pt>
                <c:pt idx="13">
                  <c:v>359</c:v>
                </c:pt>
                <c:pt idx="14">
                  <c:v>384</c:v>
                </c:pt>
                <c:pt idx="15">
                  <c:v>510</c:v>
                </c:pt>
                <c:pt idx="16">
                  <c:v>225</c:v>
                </c:pt>
                <c:pt idx="17">
                  <c:v>296</c:v>
                </c:pt>
                <c:pt idx="18">
                  <c:v>459</c:v>
                </c:pt>
                <c:pt idx="19">
                  <c:v>452</c:v>
                </c:pt>
                <c:pt idx="20">
                  <c:v>489</c:v>
                </c:pt>
                <c:pt idx="21">
                  <c:v>360</c:v>
                </c:pt>
                <c:pt idx="22">
                  <c:v>427</c:v>
                </c:pt>
                <c:pt idx="23">
                  <c:v>265</c:v>
                </c:pt>
                <c:pt idx="24">
                  <c:v>279</c:v>
                </c:pt>
                <c:pt idx="25">
                  <c:v>420</c:v>
                </c:pt>
                <c:pt idx="26">
                  <c:v>282</c:v>
                </c:pt>
                <c:pt idx="27">
                  <c:v>390</c:v>
                </c:pt>
                <c:pt idx="28">
                  <c:v>418</c:v>
                </c:pt>
                <c:pt idx="29">
                  <c:v>328</c:v>
                </c:pt>
                <c:pt idx="30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3-462B-8186-9713AB8D2EA0}"/>
            </c:ext>
          </c:extLst>
        </c:ser>
        <c:ser>
          <c:idx val="1"/>
          <c:order val="1"/>
          <c:tx>
            <c:strRef>
              <c:f>SKU!$C$4:$C$5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SKU!$A$6:$A$37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SKU!$C$6:$C$37</c:f>
              <c:numCache>
                <c:formatCode>General</c:formatCode>
                <c:ptCount val="31"/>
                <c:pt idx="0">
                  <c:v>2362</c:v>
                </c:pt>
                <c:pt idx="1">
                  <c:v>2509</c:v>
                </c:pt>
                <c:pt idx="2">
                  <c:v>2237</c:v>
                </c:pt>
                <c:pt idx="3">
                  <c:v>3021</c:v>
                </c:pt>
                <c:pt idx="4">
                  <c:v>2206</c:v>
                </c:pt>
                <c:pt idx="5">
                  <c:v>2034</c:v>
                </c:pt>
                <c:pt idx="6">
                  <c:v>2405</c:v>
                </c:pt>
                <c:pt idx="7">
                  <c:v>2337</c:v>
                </c:pt>
                <c:pt idx="8">
                  <c:v>2470</c:v>
                </c:pt>
                <c:pt idx="9">
                  <c:v>2671</c:v>
                </c:pt>
                <c:pt idx="10">
                  <c:v>2949</c:v>
                </c:pt>
                <c:pt idx="11">
                  <c:v>3149</c:v>
                </c:pt>
                <c:pt idx="12">
                  <c:v>2827</c:v>
                </c:pt>
                <c:pt idx="13">
                  <c:v>2404</c:v>
                </c:pt>
                <c:pt idx="14">
                  <c:v>2739</c:v>
                </c:pt>
                <c:pt idx="15">
                  <c:v>3107</c:v>
                </c:pt>
                <c:pt idx="16">
                  <c:v>3125</c:v>
                </c:pt>
                <c:pt idx="17">
                  <c:v>1930</c:v>
                </c:pt>
                <c:pt idx="18">
                  <c:v>2866</c:v>
                </c:pt>
                <c:pt idx="19">
                  <c:v>2683</c:v>
                </c:pt>
                <c:pt idx="20">
                  <c:v>2513</c:v>
                </c:pt>
                <c:pt idx="21">
                  <c:v>2267</c:v>
                </c:pt>
                <c:pt idx="22">
                  <c:v>2422</c:v>
                </c:pt>
                <c:pt idx="23">
                  <c:v>2920</c:v>
                </c:pt>
                <c:pt idx="24">
                  <c:v>2900</c:v>
                </c:pt>
                <c:pt idx="25">
                  <c:v>3022</c:v>
                </c:pt>
                <c:pt idx="26">
                  <c:v>2112</c:v>
                </c:pt>
                <c:pt idx="27">
                  <c:v>2267</c:v>
                </c:pt>
                <c:pt idx="28">
                  <c:v>2880</c:v>
                </c:pt>
                <c:pt idx="29">
                  <c:v>2197</c:v>
                </c:pt>
                <c:pt idx="30">
                  <c:v>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A3-462B-8186-9713AB8D2EA0}"/>
            </c:ext>
          </c:extLst>
        </c:ser>
        <c:ser>
          <c:idx val="2"/>
          <c:order val="2"/>
          <c:tx>
            <c:strRef>
              <c:f>SKU!$D$4:$D$5</c:f>
              <c:strCache>
                <c:ptCount val="1"/>
                <c:pt idx="0">
                  <c:v>Small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SKU!$A$6:$A$37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SKU!$D$6:$D$37</c:f>
              <c:numCache>
                <c:formatCode>General</c:formatCode>
                <c:ptCount val="31"/>
                <c:pt idx="0">
                  <c:v>851</c:v>
                </c:pt>
                <c:pt idx="1">
                  <c:v>1213</c:v>
                </c:pt>
                <c:pt idx="2">
                  <c:v>883</c:v>
                </c:pt>
                <c:pt idx="3">
                  <c:v>1062</c:v>
                </c:pt>
                <c:pt idx="4">
                  <c:v>1049</c:v>
                </c:pt>
                <c:pt idx="5">
                  <c:v>920</c:v>
                </c:pt>
                <c:pt idx="6">
                  <c:v>1036</c:v>
                </c:pt>
                <c:pt idx="7">
                  <c:v>851</c:v>
                </c:pt>
                <c:pt idx="8">
                  <c:v>1071</c:v>
                </c:pt>
                <c:pt idx="9">
                  <c:v>949</c:v>
                </c:pt>
                <c:pt idx="10">
                  <c:v>1186</c:v>
                </c:pt>
                <c:pt idx="11">
                  <c:v>1004</c:v>
                </c:pt>
                <c:pt idx="12">
                  <c:v>984</c:v>
                </c:pt>
                <c:pt idx="13">
                  <c:v>853</c:v>
                </c:pt>
                <c:pt idx="14">
                  <c:v>878</c:v>
                </c:pt>
                <c:pt idx="15">
                  <c:v>1209</c:v>
                </c:pt>
                <c:pt idx="16">
                  <c:v>1215</c:v>
                </c:pt>
                <c:pt idx="17">
                  <c:v>1127</c:v>
                </c:pt>
                <c:pt idx="18">
                  <c:v>1155</c:v>
                </c:pt>
                <c:pt idx="19">
                  <c:v>1173</c:v>
                </c:pt>
                <c:pt idx="20">
                  <c:v>1022</c:v>
                </c:pt>
                <c:pt idx="21">
                  <c:v>1075</c:v>
                </c:pt>
                <c:pt idx="22">
                  <c:v>864</c:v>
                </c:pt>
                <c:pt idx="23">
                  <c:v>853</c:v>
                </c:pt>
                <c:pt idx="24">
                  <c:v>950</c:v>
                </c:pt>
                <c:pt idx="25">
                  <c:v>824</c:v>
                </c:pt>
                <c:pt idx="26">
                  <c:v>977</c:v>
                </c:pt>
                <c:pt idx="27">
                  <c:v>999</c:v>
                </c:pt>
                <c:pt idx="28">
                  <c:v>1116</c:v>
                </c:pt>
                <c:pt idx="29">
                  <c:v>1009</c:v>
                </c:pt>
                <c:pt idx="30">
                  <c:v>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A3-462B-8186-9713AB8D2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260015"/>
        <c:axId val="1907260495"/>
      </c:lineChart>
      <c:catAx>
        <c:axId val="190726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0495"/>
        <c:crosses val="autoZero"/>
        <c:auto val="1"/>
        <c:lblAlgn val="ctr"/>
        <c:lblOffset val="100"/>
        <c:noMultiLvlLbl val="0"/>
      </c:catAx>
      <c:valAx>
        <c:axId val="19072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Study-Demand Planning_Aggregation.xlsx]SKU!PivotTable5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SKU!$B$45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SKU!$A$46:$A$77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SKU!$B$46:$B$77</c:f>
              <c:numCache>
                <c:formatCode>General</c:formatCode>
                <c:ptCount val="31"/>
                <c:pt idx="0">
                  <c:v>3544</c:v>
                </c:pt>
                <c:pt idx="1">
                  <c:v>4026</c:v>
                </c:pt>
                <c:pt idx="2">
                  <c:v>3371</c:v>
                </c:pt>
                <c:pt idx="3">
                  <c:v>4461</c:v>
                </c:pt>
                <c:pt idx="4">
                  <c:v>3631</c:v>
                </c:pt>
                <c:pt idx="5">
                  <c:v>3333</c:v>
                </c:pt>
                <c:pt idx="6">
                  <c:v>3764</c:v>
                </c:pt>
                <c:pt idx="7">
                  <c:v>3539</c:v>
                </c:pt>
                <c:pt idx="8">
                  <c:v>3987</c:v>
                </c:pt>
                <c:pt idx="9">
                  <c:v>3979</c:v>
                </c:pt>
                <c:pt idx="10">
                  <c:v>4578</c:v>
                </c:pt>
                <c:pt idx="11">
                  <c:v>4472</c:v>
                </c:pt>
                <c:pt idx="12">
                  <c:v>4222</c:v>
                </c:pt>
                <c:pt idx="13">
                  <c:v>3616</c:v>
                </c:pt>
                <c:pt idx="14">
                  <c:v>4001</c:v>
                </c:pt>
                <c:pt idx="15">
                  <c:v>4826</c:v>
                </c:pt>
                <c:pt idx="16">
                  <c:v>4565</c:v>
                </c:pt>
                <c:pt idx="17">
                  <c:v>3353</c:v>
                </c:pt>
                <c:pt idx="18">
                  <c:v>4480</c:v>
                </c:pt>
                <c:pt idx="19">
                  <c:v>4308</c:v>
                </c:pt>
                <c:pt idx="20">
                  <c:v>4024</c:v>
                </c:pt>
                <c:pt idx="21">
                  <c:v>3702</c:v>
                </c:pt>
                <c:pt idx="22">
                  <c:v>3713</c:v>
                </c:pt>
                <c:pt idx="23">
                  <c:v>4038</c:v>
                </c:pt>
                <c:pt idx="24">
                  <c:v>4129</c:v>
                </c:pt>
                <c:pt idx="25">
                  <c:v>4266</c:v>
                </c:pt>
                <c:pt idx="26">
                  <c:v>3371</c:v>
                </c:pt>
                <c:pt idx="27">
                  <c:v>3656</c:v>
                </c:pt>
                <c:pt idx="28">
                  <c:v>4414</c:v>
                </c:pt>
                <c:pt idx="29">
                  <c:v>3534</c:v>
                </c:pt>
                <c:pt idx="30">
                  <c:v>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F-46AD-BD1C-38A3096CC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925071"/>
        <c:axId val="320923151"/>
      </c:lineChart>
      <c:catAx>
        <c:axId val="3209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3151"/>
        <c:crosses val="autoZero"/>
        <c:auto val="1"/>
        <c:lblAlgn val="ctr"/>
        <c:lblOffset val="100"/>
        <c:noMultiLvlLbl val="0"/>
      </c:catAx>
      <c:valAx>
        <c:axId val="3209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Study-Demand Planning_Aggregation.xlsx]Location!PivotTable3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Location!$B$4:$B$5</c:f>
              <c:strCache>
                <c:ptCount val="1"/>
                <c:pt idx="0">
                  <c:v>Store1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Location!$A$6:$A$37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Location!$B$6:$B$37</c:f>
              <c:numCache>
                <c:formatCode>General</c:formatCode>
                <c:ptCount val="31"/>
                <c:pt idx="0">
                  <c:v>560</c:v>
                </c:pt>
                <c:pt idx="1">
                  <c:v>845</c:v>
                </c:pt>
                <c:pt idx="2">
                  <c:v>568</c:v>
                </c:pt>
                <c:pt idx="3">
                  <c:v>857</c:v>
                </c:pt>
                <c:pt idx="4">
                  <c:v>946</c:v>
                </c:pt>
                <c:pt idx="5">
                  <c:v>1011</c:v>
                </c:pt>
                <c:pt idx="6">
                  <c:v>616</c:v>
                </c:pt>
                <c:pt idx="7">
                  <c:v>869</c:v>
                </c:pt>
                <c:pt idx="8">
                  <c:v>563</c:v>
                </c:pt>
                <c:pt idx="9">
                  <c:v>610</c:v>
                </c:pt>
                <c:pt idx="10">
                  <c:v>1093</c:v>
                </c:pt>
                <c:pt idx="11">
                  <c:v>830</c:v>
                </c:pt>
                <c:pt idx="12">
                  <c:v>745</c:v>
                </c:pt>
                <c:pt idx="13">
                  <c:v>463</c:v>
                </c:pt>
                <c:pt idx="14">
                  <c:v>1031</c:v>
                </c:pt>
                <c:pt idx="15">
                  <c:v>889</c:v>
                </c:pt>
                <c:pt idx="16">
                  <c:v>1041</c:v>
                </c:pt>
                <c:pt idx="17">
                  <c:v>662</c:v>
                </c:pt>
                <c:pt idx="18">
                  <c:v>987</c:v>
                </c:pt>
                <c:pt idx="19">
                  <c:v>681</c:v>
                </c:pt>
                <c:pt idx="20">
                  <c:v>708</c:v>
                </c:pt>
                <c:pt idx="21">
                  <c:v>426</c:v>
                </c:pt>
                <c:pt idx="22">
                  <c:v>549</c:v>
                </c:pt>
                <c:pt idx="23">
                  <c:v>816</c:v>
                </c:pt>
                <c:pt idx="24">
                  <c:v>760</c:v>
                </c:pt>
                <c:pt idx="25">
                  <c:v>695</c:v>
                </c:pt>
                <c:pt idx="26">
                  <c:v>666</c:v>
                </c:pt>
                <c:pt idx="27">
                  <c:v>918</c:v>
                </c:pt>
                <c:pt idx="28">
                  <c:v>803</c:v>
                </c:pt>
                <c:pt idx="29">
                  <c:v>540</c:v>
                </c:pt>
                <c:pt idx="30">
                  <c:v>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E-44F9-962D-05B727AB943A}"/>
            </c:ext>
          </c:extLst>
        </c:ser>
        <c:ser>
          <c:idx val="1"/>
          <c:order val="1"/>
          <c:tx>
            <c:strRef>
              <c:f>Location!$C$4:$C$5</c:f>
              <c:strCache>
                <c:ptCount val="1"/>
                <c:pt idx="0">
                  <c:v>Store2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Location!$A$6:$A$37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Location!$C$6:$C$37</c:f>
              <c:numCache>
                <c:formatCode>General</c:formatCode>
                <c:ptCount val="31"/>
                <c:pt idx="0">
                  <c:v>622</c:v>
                </c:pt>
                <c:pt idx="1">
                  <c:v>819</c:v>
                </c:pt>
                <c:pt idx="2">
                  <c:v>544</c:v>
                </c:pt>
                <c:pt idx="3">
                  <c:v>875</c:v>
                </c:pt>
                <c:pt idx="4">
                  <c:v>638</c:v>
                </c:pt>
                <c:pt idx="5">
                  <c:v>700</c:v>
                </c:pt>
                <c:pt idx="6">
                  <c:v>820</c:v>
                </c:pt>
                <c:pt idx="7">
                  <c:v>947</c:v>
                </c:pt>
                <c:pt idx="8">
                  <c:v>1026</c:v>
                </c:pt>
                <c:pt idx="9">
                  <c:v>724</c:v>
                </c:pt>
                <c:pt idx="10">
                  <c:v>1011</c:v>
                </c:pt>
                <c:pt idx="11">
                  <c:v>977</c:v>
                </c:pt>
                <c:pt idx="12">
                  <c:v>935</c:v>
                </c:pt>
                <c:pt idx="13">
                  <c:v>578</c:v>
                </c:pt>
                <c:pt idx="14">
                  <c:v>689</c:v>
                </c:pt>
                <c:pt idx="15">
                  <c:v>977</c:v>
                </c:pt>
                <c:pt idx="16">
                  <c:v>1033</c:v>
                </c:pt>
                <c:pt idx="17">
                  <c:v>740</c:v>
                </c:pt>
                <c:pt idx="18">
                  <c:v>1087</c:v>
                </c:pt>
                <c:pt idx="19">
                  <c:v>969</c:v>
                </c:pt>
                <c:pt idx="20">
                  <c:v>716</c:v>
                </c:pt>
                <c:pt idx="21">
                  <c:v>883</c:v>
                </c:pt>
                <c:pt idx="22">
                  <c:v>609</c:v>
                </c:pt>
                <c:pt idx="23">
                  <c:v>878</c:v>
                </c:pt>
                <c:pt idx="24">
                  <c:v>936</c:v>
                </c:pt>
                <c:pt idx="25">
                  <c:v>894</c:v>
                </c:pt>
                <c:pt idx="26">
                  <c:v>778</c:v>
                </c:pt>
                <c:pt idx="27">
                  <c:v>808</c:v>
                </c:pt>
                <c:pt idx="28">
                  <c:v>936</c:v>
                </c:pt>
                <c:pt idx="29">
                  <c:v>721</c:v>
                </c:pt>
                <c:pt idx="30">
                  <c:v>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7E-44F9-962D-05B727AB943A}"/>
            </c:ext>
          </c:extLst>
        </c:ser>
        <c:ser>
          <c:idx val="2"/>
          <c:order val="2"/>
          <c:tx>
            <c:strRef>
              <c:f>Location!$D$4:$D$5</c:f>
              <c:strCache>
                <c:ptCount val="1"/>
                <c:pt idx="0">
                  <c:v>Store3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Location!$A$6:$A$37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Location!$D$6:$D$37</c:f>
              <c:numCache>
                <c:formatCode>General</c:formatCode>
                <c:ptCount val="31"/>
                <c:pt idx="0">
                  <c:v>963</c:v>
                </c:pt>
                <c:pt idx="1">
                  <c:v>614</c:v>
                </c:pt>
                <c:pt idx="2">
                  <c:v>562</c:v>
                </c:pt>
                <c:pt idx="3">
                  <c:v>953</c:v>
                </c:pt>
                <c:pt idx="4">
                  <c:v>548</c:v>
                </c:pt>
                <c:pt idx="5">
                  <c:v>681</c:v>
                </c:pt>
                <c:pt idx="6">
                  <c:v>707</c:v>
                </c:pt>
                <c:pt idx="7">
                  <c:v>502</c:v>
                </c:pt>
                <c:pt idx="8">
                  <c:v>740</c:v>
                </c:pt>
                <c:pt idx="9">
                  <c:v>853</c:v>
                </c:pt>
                <c:pt idx="10">
                  <c:v>881</c:v>
                </c:pt>
                <c:pt idx="11">
                  <c:v>1001</c:v>
                </c:pt>
                <c:pt idx="12">
                  <c:v>1107</c:v>
                </c:pt>
                <c:pt idx="13">
                  <c:v>799</c:v>
                </c:pt>
                <c:pt idx="14">
                  <c:v>852</c:v>
                </c:pt>
                <c:pt idx="15">
                  <c:v>1019</c:v>
                </c:pt>
                <c:pt idx="16">
                  <c:v>735</c:v>
                </c:pt>
                <c:pt idx="17">
                  <c:v>557</c:v>
                </c:pt>
                <c:pt idx="18">
                  <c:v>756</c:v>
                </c:pt>
                <c:pt idx="19">
                  <c:v>1011</c:v>
                </c:pt>
                <c:pt idx="20">
                  <c:v>774</c:v>
                </c:pt>
                <c:pt idx="21">
                  <c:v>721</c:v>
                </c:pt>
                <c:pt idx="22">
                  <c:v>1042</c:v>
                </c:pt>
                <c:pt idx="23">
                  <c:v>918</c:v>
                </c:pt>
                <c:pt idx="24">
                  <c:v>476</c:v>
                </c:pt>
                <c:pt idx="25">
                  <c:v>1019</c:v>
                </c:pt>
                <c:pt idx="26">
                  <c:v>820</c:v>
                </c:pt>
                <c:pt idx="27">
                  <c:v>677</c:v>
                </c:pt>
                <c:pt idx="28">
                  <c:v>1078</c:v>
                </c:pt>
                <c:pt idx="29">
                  <c:v>903</c:v>
                </c:pt>
                <c:pt idx="30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7E-44F9-962D-05B727AB943A}"/>
            </c:ext>
          </c:extLst>
        </c:ser>
        <c:ser>
          <c:idx val="3"/>
          <c:order val="3"/>
          <c:tx>
            <c:strRef>
              <c:f>Location!$E$4:$E$5</c:f>
              <c:strCache>
                <c:ptCount val="1"/>
                <c:pt idx="0">
                  <c:v>Store4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Location!$A$6:$A$37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Location!$E$6:$E$37</c:f>
              <c:numCache>
                <c:formatCode>General</c:formatCode>
                <c:ptCount val="31"/>
                <c:pt idx="0">
                  <c:v>719</c:v>
                </c:pt>
                <c:pt idx="1">
                  <c:v>944</c:v>
                </c:pt>
                <c:pt idx="2">
                  <c:v>763</c:v>
                </c:pt>
                <c:pt idx="3">
                  <c:v>748</c:v>
                </c:pt>
                <c:pt idx="4">
                  <c:v>536</c:v>
                </c:pt>
                <c:pt idx="5">
                  <c:v>405</c:v>
                </c:pt>
                <c:pt idx="6">
                  <c:v>1058</c:v>
                </c:pt>
                <c:pt idx="7">
                  <c:v>659</c:v>
                </c:pt>
                <c:pt idx="8">
                  <c:v>665</c:v>
                </c:pt>
                <c:pt idx="9">
                  <c:v>987</c:v>
                </c:pt>
                <c:pt idx="10">
                  <c:v>826</c:v>
                </c:pt>
                <c:pt idx="11">
                  <c:v>1098</c:v>
                </c:pt>
                <c:pt idx="12">
                  <c:v>902</c:v>
                </c:pt>
                <c:pt idx="13">
                  <c:v>714</c:v>
                </c:pt>
                <c:pt idx="14">
                  <c:v>736</c:v>
                </c:pt>
                <c:pt idx="15">
                  <c:v>857</c:v>
                </c:pt>
                <c:pt idx="16">
                  <c:v>1036</c:v>
                </c:pt>
                <c:pt idx="17">
                  <c:v>759</c:v>
                </c:pt>
                <c:pt idx="18">
                  <c:v>852</c:v>
                </c:pt>
                <c:pt idx="19">
                  <c:v>545</c:v>
                </c:pt>
                <c:pt idx="20">
                  <c:v>936</c:v>
                </c:pt>
                <c:pt idx="21">
                  <c:v>648</c:v>
                </c:pt>
                <c:pt idx="22">
                  <c:v>742</c:v>
                </c:pt>
                <c:pt idx="23">
                  <c:v>653</c:v>
                </c:pt>
                <c:pt idx="24">
                  <c:v>989</c:v>
                </c:pt>
                <c:pt idx="25">
                  <c:v>997</c:v>
                </c:pt>
                <c:pt idx="26">
                  <c:v>479</c:v>
                </c:pt>
                <c:pt idx="27">
                  <c:v>567</c:v>
                </c:pt>
                <c:pt idx="28">
                  <c:v>681</c:v>
                </c:pt>
                <c:pt idx="29">
                  <c:v>589</c:v>
                </c:pt>
                <c:pt idx="30">
                  <c:v>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7E-44F9-962D-05B727AB943A}"/>
            </c:ext>
          </c:extLst>
        </c:ser>
        <c:ser>
          <c:idx val="4"/>
          <c:order val="4"/>
          <c:tx>
            <c:strRef>
              <c:f>Location!$F$4:$F$5</c:f>
              <c:strCache>
                <c:ptCount val="1"/>
                <c:pt idx="0">
                  <c:v>Store5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Location!$A$6:$A$37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Location!$F$6:$F$37</c:f>
              <c:numCache>
                <c:formatCode>General</c:formatCode>
                <c:ptCount val="31"/>
                <c:pt idx="0">
                  <c:v>680</c:v>
                </c:pt>
                <c:pt idx="1">
                  <c:v>804</c:v>
                </c:pt>
                <c:pt idx="2">
                  <c:v>934</c:v>
                </c:pt>
                <c:pt idx="3">
                  <c:v>1028</c:v>
                </c:pt>
                <c:pt idx="4">
                  <c:v>963</c:v>
                </c:pt>
                <c:pt idx="5">
                  <c:v>536</c:v>
                </c:pt>
                <c:pt idx="6">
                  <c:v>563</c:v>
                </c:pt>
                <c:pt idx="7">
                  <c:v>562</c:v>
                </c:pt>
                <c:pt idx="8">
                  <c:v>993</c:v>
                </c:pt>
                <c:pt idx="9">
                  <c:v>805</c:v>
                </c:pt>
                <c:pt idx="10">
                  <c:v>767</c:v>
                </c:pt>
                <c:pt idx="11">
                  <c:v>566</c:v>
                </c:pt>
                <c:pt idx="12">
                  <c:v>533</c:v>
                </c:pt>
                <c:pt idx="13">
                  <c:v>1062</c:v>
                </c:pt>
                <c:pt idx="14">
                  <c:v>693</c:v>
                </c:pt>
                <c:pt idx="15">
                  <c:v>1084</c:v>
                </c:pt>
                <c:pt idx="16">
                  <c:v>720</c:v>
                </c:pt>
                <c:pt idx="17">
                  <c:v>635</c:v>
                </c:pt>
                <c:pt idx="18">
                  <c:v>798</c:v>
                </c:pt>
                <c:pt idx="19">
                  <c:v>1102</c:v>
                </c:pt>
                <c:pt idx="20">
                  <c:v>890</c:v>
                </c:pt>
                <c:pt idx="21">
                  <c:v>1024</c:v>
                </c:pt>
                <c:pt idx="22">
                  <c:v>771</c:v>
                </c:pt>
                <c:pt idx="23">
                  <c:v>773</c:v>
                </c:pt>
                <c:pt idx="24">
                  <c:v>968</c:v>
                </c:pt>
                <c:pt idx="25">
                  <c:v>661</c:v>
                </c:pt>
                <c:pt idx="26">
                  <c:v>628</c:v>
                </c:pt>
                <c:pt idx="27">
                  <c:v>686</c:v>
                </c:pt>
                <c:pt idx="28">
                  <c:v>916</c:v>
                </c:pt>
                <c:pt idx="29">
                  <c:v>781</c:v>
                </c:pt>
                <c:pt idx="30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7E-44F9-962D-05B727AB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260015"/>
        <c:axId val="1907260495"/>
      </c:lineChart>
      <c:catAx>
        <c:axId val="190726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0495"/>
        <c:crosses val="autoZero"/>
        <c:auto val="1"/>
        <c:lblAlgn val="ctr"/>
        <c:lblOffset val="100"/>
        <c:noMultiLvlLbl val="0"/>
      </c:catAx>
      <c:valAx>
        <c:axId val="19072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Study-Demand Planning_Aggregation.xlsx]Location!PivotTable5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Location!$B$45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Location!$A$46:$A$77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Location!$B$46:$B$77</c:f>
              <c:numCache>
                <c:formatCode>General</c:formatCode>
                <c:ptCount val="31"/>
                <c:pt idx="0">
                  <c:v>3544</c:v>
                </c:pt>
                <c:pt idx="1">
                  <c:v>4026</c:v>
                </c:pt>
                <c:pt idx="2">
                  <c:v>3371</c:v>
                </c:pt>
                <c:pt idx="3">
                  <c:v>4461</c:v>
                </c:pt>
                <c:pt idx="4">
                  <c:v>3631</c:v>
                </c:pt>
                <c:pt idx="5">
                  <c:v>3333</c:v>
                </c:pt>
                <c:pt idx="6">
                  <c:v>3764</c:v>
                </c:pt>
                <c:pt idx="7">
                  <c:v>3539</c:v>
                </c:pt>
                <c:pt idx="8">
                  <c:v>3987</c:v>
                </c:pt>
                <c:pt idx="9">
                  <c:v>3979</c:v>
                </c:pt>
                <c:pt idx="10">
                  <c:v>4578</c:v>
                </c:pt>
                <c:pt idx="11">
                  <c:v>4472</c:v>
                </c:pt>
                <c:pt idx="12">
                  <c:v>4222</c:v>
                </c:pt>
                <c:pt idx="13">
                  <c:v>3616</c:v>
                </c:pt>
                <c:pt idx="14">
                  <c:v>4001</c:v>
                </c:pt>
                <c:pt idx="15">
                  <c:v>4826</c:v>
                </c:pt>
                <c:pt idx="16">
                  <c:v>4565</c:v>
                </c:pt>
                <c:pt idx="17">
                  <c:v>3353</c:v>
                </c:pt>
                <c:pt idx="18">
                  <c:v>4480</c:v>
                </c:pt>
                <c:pt idx="19">
                  <c:v>4308</c:v>
                </c:pt>
                <c:pt idx="20">
                  <c:v>4024</c:v>
                </c:pt>
                <c:pt idx="21">
                  <c:v>3702</c:v>
                </c:pt>
                <c:pt idx="22">
                  <c:v>3713</c:v>
                </c:pt>
                <c:pt idx="23">
                  <c:v>4038</c:v>
                </c:pt>
                <c:pt idx="24">
                  <c:v>4129</c:v>
                </c:pt>
                <c:pt idx="25">
                  <c:v>4266</c:v>
                </c:pt>
                <c:pt idx="26">
                  <c:v>3371</c:v>
                </c:pt>
                <c:pt idx="27">
                  <c:v>3656</c:v>
                </c:pt>
                <c:pt idx="28">
                  <c:v>4414</c:v>
                </c:pt>
                <c:pt idx="29">
                  <c:v>3534</c:v>
                </c:pt>
                <c:pt idx="30">
                  <c:v>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C-4433-B605-3D0D26EB1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925071"/>
        <c:axId val="320923151"/>
      </c:lineChart>
      <c:catAx>
        <c:axId val="3209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3151"/>
        <c:crosses val="autoZero"/>
        <c:auto val="1"/>
        <c:lblAlgn val="ctr"/>
        <c:lblOffset val="100"/>
        <c:noMultiLvlLbl val="0"/>
      </c:catAx>
      <c:valAx>
        <c:axId val="3209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Study-Demand Planning_Aggregation.xlsx]Time!PivotTable3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Time!$A$5:$A$36</c:f>
              <c:strCache>
                <c:ptCount val="31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</c:strCache>
            </c:strRef>
          </c:cat>
          <c:val>
            <c:numRef>
              <c:f>Time!$B$5:$B$36</c:f>
              <c:numCache>
                <c:formatCode>General</c:formatCode>
                <c:ptCount val="31"/>
                <c:pt idx="0">
                  <c:v>3544</c:v>
                </c:pt>
                <c:pt idx="1">
                  <c:v>4026</c:v>
                </c:pt>
                <c:pt idx="2">
                  <c:v>3371</c:v>
                </c:pt>
                <c:pt idx="3">
                  <c:v>4461</c:v>
                </c:pt>
                <c:pt idx="4">
                  <c:v>3631</c:v>
                </c:pt>
                <c:pt idx="5">
                  <c:v>3333</c:v>
                </c:pt>
                <c:pt idx="6">
                  <c:v>3764</c:v>
                </c:pt>
                <c:pt idx="7">
                  <c:v>3539</c:v>
                </c:pt>
                <c:pt idx="8">
                  <c:v>3987</c:v>
                </c:pt>
                <c:pt idx="9">
                  <c:v>3979</c:v>
                </c:pt>
                <c:pt idx="10">
                  <c:v>4578</c:v>
                </c:pt>
                <c:pt idx="11">
                  <c:v>4472</c:v>
                </c:pt>
                <c:pt idx="12">
                  <c:v>4222</c:v>
                </c:pt>
                <c:pt idx="13">
                  <c:v>3616</c:v>
                </c:pt>
                <c:pt idx="14">
                  <c:v>4001</c:v>
                </c:pt>
                <c:pt idx="15">
                  <c:v>4826</c:v>
                </c:pt>
                <c:pt idx="16">
                  <c:v>4565</c:v>
                </c:pt>
                <c:pt idx="17">
                  <c:v>3353</c:v>
                </c:pt>
                <c:pt idx="18">
                  <c:v>4480</c:v>
                </c:pt>
                <c:pt idx="19">
                  <c:v>4308</c:v>
                </c:pt>
                <c:pt idx="20">
                  <c:v>4024</c:v>
                </c:pt>
                <c:pt idx="21">
                  <c:v>3702</c:v>
                </c:pt>
                <c:pt idx="22">
                  <c:v>3713</c:v>
                </c:pt>
                <c:pt idx="23">
                  <c:v>4038</c:v>
                </c:pt>
                <c:pt idx="24">
                  <c:v>4129</c:v>
                </c:pt>
                <c:pt idx="25">
                  <c:v>4266</c:v>
                </c:pt>
                <c:pt idx="26">
                  <c:v>3371</c:v>
                </c:pt>
                <c:pt idx="27">
                  <c:v>3656</c:v>
                </c:pt>
                <c:pt idx="28">
                  <c:v>4414</c:v>
                </c:pt>
                <c:pt idx="29">
                  <c:v>3534</c:v>
                </c:pt>
                <c:pt idx="30">
                  <c:v>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3-4515-B0D8-2EFA61A73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260015"/>
        <c:axId val="1907260495"/>
      </c:lineChart>
      <c:catAx>
        <c:axId val="190726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0495"/>
        <c:crosses val="autoZero"/>
        <c:auto val="1"/>
        <c:lblAlgn val="ctr"/>
        <c:lblOffset val="100"/>
        <c:noMultiLvlLbl val="0"/>
      </c:catAx>
      <c:valAx>
        <c:axId val="19072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Study-Demand Planning_Aggregation.xlsx]Time!PivotTable5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Time!$A$46:$A$50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Time!$B$46:$B$50</c:f>
              <c:numCache>
                <c:formatCode>General</c:formatCode>
                <c:ptCount val="4"/>
                <c:pt idx="0">
                  <c:v>26130</c:v>
                </c:pt>
                <c:pt idx="1">
                  <c:v>28393</c:v>
                </c:pt>
                <c:pt idx="2">
                  <c:v>33259</c:v>
                </c:pt>
                <c:pt idx="3">
                  <c:v>27587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4-4916-9961-4B261DF32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925071"/>
        <c:axId val="320923151"/>
      </c:lineChart>
      <c:catAx>
        <c:axId val="3209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3151"/>
        <c:crosses val="autoZero"/>
        <c:auto val="1"/>
        <c:lblAlgn val="ctr"/>
        <c:lblOffset val="100"/>
        <c:noMultiLvlLbl val="0"/>
      </c:catAx>
      <c:valAx>
        <c:axId val="3209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1</xdr:row>
      <xdr:rowOff>19050</xdr:rowOff>
    </xdr:from>
    <xdr:to>
      <xdr:col>1</xdr:col>
      <xdr:colOff>250885</xdr:colOff>
      <xdr:row>2</xdr:row>
      <xdr:rowOff>181163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0CB05-9286-4219-BFFD-B8811A79B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203200"/>
          <a:ext cx="1994594" cy="371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2</xdr:row>
      <xdr:rowOff>15240</xdr:rowOff>
    </xdr:from>
    <xdr:to>
      <xdr:col>18</xdr:col>
      <xdr:colOff>76200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33EAF-1268-9A7A-DB34-7746ECEC3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</xdr:colOff>
      <xdr:row>37</xdr:row>
      <xdr:rowOff>175260</xdr:rowOff>
    </xdr:from>
    <xdr:to>
      <xdr:col>18</xdr:col>
      <xdr:colOff>60960</xdr:colOff>
      <xdr:row>61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B7A0C3-E8C2-BF0D-9DAE-A164AEE46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</xdr:colOff>
      <xdr:row>3</xdr:row>
      <xdr:rowOff>30480</xdr:rowOff>
    </xdr:from>
    <xdr:to>
      <xdr:col>21</xdr:col>
      <xdr:colOff>83820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61749-21DC-438E-BC4E-D259B5B32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39</xdr:row>
      <xdr:rowOff>3810</xdr:rowOff>
    </xdr:from>
    <xdr:to>
      <xdr:col>20</xdr:col>
      <xdr:colOff>426720</xdr:colOff>
      <xdr:row>63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D5607-D576-4B43-AC19-5FDECC33E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3</xdr:row>
      <xdr:rowOff>30480</xdr:rowOff>
    </xdr:from>
    <xdr:to>
      <xdr:col>20</xdr:col>
      <xdr:colOff>243840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01A37-05E3-4773-909F-8310EB246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39</xdr:row>
      <xdr:rowOff>3810</xdr:rowOff>
    </xdr:from>
    <xdr:to>
      <xdr:col>20</xdr:col>
      <xdr:colOff>426720</xdr:colOff>
      <xdr:row>63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8761D-C023-4C27-AB43-2BE6E578D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6.866793749999" createdVersion="8" refreshedVersion="8" minRefreshableVersion="3" recordCount="465" xr:uid="{6C49231A-1D53-453B-A752-3D9236F0625B}">
  <cacheSource type="worksheet">
    <worksheetSource ref="A3:D468" sheet="Data"/>
  </cacheSource>
  <cacheFields count="4">
    <cacheField name="Date" numFmtId="14">
      <sharedItems containsSemiMixedTypes="0" containsNonDate="0" containsDate="1" containsString="0" minDate="2026-01-01T00:00:00" maxDate="2026-02-01T00:00:00"/>
    </cacheField>
    <cacheField name="SKU" numFmtId="0">
      <sharedItems count="3">
        <s v="Large"/>
        <s v="Medium"/>
        <s v="Small"/>
      </sharedItems>
    </cacheField>
    <cacheField name="Location" numFmtId="0">
      <sharedItems count="5">
        <s v="Store1"/>
        <s v="Store2"/>
        <s v="Store3"/>
        <s v="Store4"/>
        <s v="Store5"/>
      </sharedItems>
    </cacheField>
    <cacheField name="Demand" numFmtId="0">
      <sharedItems containsSemiMixedTypes="0" containsString="0" containsNumber="1" containsInteger="1" minValue="25" maxValue="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7.40598171296" createdVersion="8" refreshedVersion="8" minRefreshableVersion="3" recordCount="465" xr:uid="{E647638A-1E40-438F-96E6-8D3D341C7BDF}">
  <cacheSource type="worksheet">
    <worksheetSource ref="A3:E468" sheet="Data"/>
  </cacheSource>
  <cacheFields count="5">
    <cacheField name="Date" numFmtId="14">
      <sharedItems containsSemiMixedTypes="0" containsNonDate="0" containsDate="1" containsString="0" minDate="2026-01-01T00:00:00" maxDate="2026-02-01T00:00:00" count="3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</sharedItems>
    </cacheField>
    <cacheField name="SKU" numFmtId="0">
      <sharedItems count="3">
        <s v="Large"/>
        <s v="Medium"/>
        <s v="Small"/>
      </sharedItems>
    </cacheField>
    <cacheField name="Location" numFmtId="0">
      <sharedItems count="5">
        <s v="Store1"/>
        <s v="Store2"/>
        <s v="Store3"/>
        <s v="Store4"/>
        <s v="Store5"/>
      </sharedItems>
    </cacheField>
    <cacheField name="Demand" numFmtId="0">
      <sharedItems containsSemiMixedTypes="0" containsString="0" containsNumber="1" containsInteger="1" minValue="25" maxValue="799"/>
    </cacheField>
    <cacheField name="Week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d v="2026-01-01T00:00:00"/>
    <x v="0"/>
    <x v="0"/>
    <n v="83"/>
  </r>
  <r>
    <d v="2026-01-02T00:00:00"/>
    <x v="0"/>
    <x v="0"/>
    <n v="63"/>
  </r>
  <r>
    <d v="2026-01-03T00:00:00"/>
    <x v="0"/>
    <x v="0"/>
    <n v="54"/>
  </r>
  <r>
    <d v="2026-01-04T00:00:00"/>
    <x v="0"/>
    <x v="0"/>
    <n v="99"/>
  </r>
  <r>
    <d v="2026-01-05T00:00:00"/>
    <x v="0"/>
    <x v="0"/>
    <n v="52"/>
  </r>
  <r>
    <d v="2026-01-06T00:00:00"/>
    <x v="0"/>
    <x v="0"/>
    <n v="101"/>
  </r>
  <r>
    <d v="2026-01-07T00:00:00"/>
    <x v="0"/>
    <x v="0"/>
    <n v="85"/>
  </r>
  <r>
    <d v="2026-01-08T00:00:00"/>
    <x v="0"/>
    <x v="0"/>
    <n v="75"/>
  </r>
  <r>
    <d v="2026-01-09T00:00:00"/>
    <x v="0"/>
    <x v="0"/>
    <n v="94"/>
  </r>
  <r>
    <d v="2026-01-10T00:00:00"/>
    <x v="0"/>
    <x v="0"/>
    <n v="28"/>
  </r>
  <r>
    <d v="2026-01-11T00:00:00"/>
    <x v="0"/>
    <x v="0"/>
    <n v="72"/>
  </r>
  <r>
    <d v="2026-01-12T00:00:00"/>
    <x v="0"/>
    <x v="0"/>
    <n v="63"/>
  </r>
  <r>
    <d v="2026-01-13T00:00:00"/>
    <x v="0"/>
    <x v="0"/>
    <n v="106"/>
  </r>
  <r>
    <d v="2026-01-14T00:00:00"/>
    <x v="0"/>
    <x v="0"/>
    <n v="92"/>
  </r>
  <r>
    <d v="2026-01-15T00:00:00"/>
    <x v="0"/>
    <x v="0"/>
    <n v="113"/>
  </r>
  <r>
    <d v="2026-01-16T00:00:00"/>
    <x v="0"/>
    <x v="0"/>
    <n v="120"/>
  </r>
  <r>
    <d v="2026-01-17T00:00:00"/>
    <x v="0"/>
    <x v="0"/>
    <n v="58"/>
  </r>
  <r>
    <d v="2026-01-18T00:00:00"/>
    <x v="0"/>
    <x v="0"/>
    <n v="47"/>
  </r>
  <r>
    <d v="2026-01-19T00:00:00"/>
    <x v="0"/>
    <x v="0"/>
    <n v="61"/>
  </r>
  <r>
    <d v="2026-01-20T00:00:00"/>
    <x v="0"/>
    <x v="0"/>
    <n v="105"/>
  </r>
  <r>
    <d v="2026-01-21T00:00:00"/>
    <x v="0"/>
    <x v="0"/>
    <n v="78"/>
  </r>
  <r>
    <d v="2026-01-22T00:00:00"/>
    <x v="0"/>
    <x v="0"/>
    <n v="39"/>
  </r>
  <r>
    <d v="2026-01-23T00:00:00"/>
    <x v="0"/>
    <x v="0"/>
    <n v="79"/>
  </r>
  <r>
    <d v="2026-01-24T00:00:00"/>
    <x v="0"/>
    <x v="0"/>
    <n v="79"/>
  </r>
  <r>
    <d v="2026-01-25T00:00:00"/>
    <x v="0"/>
    <x v="0"/>
    <n v="91"/>
  </r>
  <r>
    <d v="2026-01-26T00:00:00"/>
    <x v="0"/>
    <x v="0"/>
    <n v="35"/>
  </r>
  <r>
    <d v="2026-01-27T00:00:00"/>
    <x v="0"/>
    <x v="0"/>
    <n v="25"/>
  </r>
  <r>
    <d v="2026-01-28T00:00:00"/>
    <x v="0"/>
    <x v="0"/>
    <n v="52"/>
  </r>
  <r>
    <d v="2026-01-29T00:00:00"/>
    <x v="0"/>
    <x v="0"/>
    <n v="87"/>
  </r>
  <r>
    <d v="2026-01-30T00:00:00"/>
    <x v="0"/>
    <x v="0"/>
    <n v="95"/>
  </r>
  <r>
    <d v="2026-01-31T00:00:00"/>
    <x v="0"/>
    <x v="0"/>
    <n v="108"/>
  </r>
  <r>
    <d v="2026-01-01T00:00:00"/>
    <x v="1"/>
    <x v="0"/>
    <n v="289"/>
  </r>
  <r>
    <d v="2026-01-02T00:00:00"/>
    <x v="1"/>
    <x v="0"/>
    <n v="520"/>
  </r>
  <r>
    <d v="2026-01-03T00:00:00"/>
    <x v="1"/>
    <x v="0"/>
    <n v="323"/>
  </r>
  <r>
    <d v="2026-01-04T00:00:00"/>
    <x v="1"/>
    <x v="0"/>
    <n v="502"/>
  </r>
  <r>
    <d v="2026-01-05T00:00:00"/>
    <x v="1"/>
    <x v="0"/>
    <n v="631"/>
  </r>
  <r>
    <d v="2026-01-06T00:00:00"/>
    <x v="1"/>
    <x v="0"/>
    <n v="706"/>
  </r>
  <r>
    <d v="2026-01-07T00:00:00"/>
    <x v="1"/>
    <x v="0"/>
    <n v="276"/>
  </r>
  <r>
    <d v="2026-01-08T00:00:00"/>
    <x v="1"/>
    <x v="0"/>
    <n v="550"/>
  </r>
  <r>
    <d v="2026-01-09T00:00:00"/>
    <x v="1"/>
    <x v="0"/>
    <n v="312"/>
  </r>
  <r>
    <d v="2026-01-10T00:00:00"/>
    <x v="1"/>
    <x v="0"/>
    <n v="413"/>
  </r>
  <r>
    <d v="2026-01-11T00:00:00"/>
    <x v="1"/>
    <x v="0"/>
    <n v="794"/>
  </r>
  <r>
    <d v="2026-01-12T00:00:00"/>
    <x v="1"/>
    <x v="0"/>
    <n v="593"/>
  </r>
  <r>
    <d v="2026-01-13T00:00:00"/>
    <x v="1"/>
    <x v="0"/>
    <n v="389"/>
  </r>
  <r>
    <d v="2026-01-14T00:00:00"/>
    <x v="1"/>
    <x v="0"/>
    <n v="254"/>
  </r>
  <r>
    <d v="2026-01-15T00:00:00"/>
    <x v="1"/>
    <x v="0"/>
    <n v="757"/>
  </r>
  <r>
    <d v="2026-01-16T00:00:00"/>
    <x v="1"/>
    <x v="0"/>
    <n v="492"/>
  </r>
  <r>
    <d v="2026-01-17T00:00:00"/>
    <x v="1"/>
    <x v="0"/>
    <n v="709"/>
  </r>
  <r>
    <d v="2026-01-18T00:00:00"/>
    <x v="1"/>
    <x v="0"/>
    <n v="353"/>
  </r>
  <r>
    <d v="2026-01-19T00:00:00"/>
    <x v="1"/>
    <x v="0"/>
    <n v="724"/>
  </r>
  <r>
    <d v="2026-01-20T00:00:00"/>
    <x v="1"/>
    <x v="0"/>
    <n v="331"/>
  </r>
  <r>
    <d v="2026-01-21T00:00:00"/>
    <x v="1"/>
    <x v="0"/>
    <n v="439"/>
  </r>
  <r>
    <d v="2026-01-22T00:00:00"/>
    <x v="1"/>
    <x v="0"/>
    <n v="262"/>
  </r>
  <r>
    <d v="2026-01-23T00:00:00"/>
    <x v="1"/>
    <x v="0"/>
    <n v="267"/>
  </r>
  <r>
    <d v="2026-01-24T00:00:00"/>
    <x v="1"/>
    <x v="0"/>
    <n v="494"/>
  </r>
  <r>
    <d v="2026-01-25T00:00:00"/>
    <x v="1"/>
    <x v="0"/>
    <n v="435"/>
  </r>
  <r>
    <d v="2026-01-26T00:00:00"/>
    <x v="1"/>
    <x v="0"/>
    <n v="460"/>
  </r>
  <r>
    <d v="2026-01-27T00:00:00"/>
    <x v="1"/>
    <x v="0"/>
    <n v="366"/>
  </r>
  <r>
    <d v="2026-01-28T00:00:00"/>
    <x v="1"/>
    <x v="0"/>
    <n v="581"/>
  </r>
  <r>
    <d v="2026-01-29T00:00:00"/>
    <x v="1"/>
    <x v="0"/>
    <n v="458"/>
  </r>
  <r>
    <d v="2026-01-30T00:00:00"/>
    <x v="1"/>
    <x v="0"/>
    <n v="279"/>
  </r>
  <r>
    <d v="2026-01-31T00:00:00"/>
    <x v="1"/>
    <x v="0"/>
    <n v="734"/>
  </r>
  <r>
    <d v="2026-01-01T00:00:00"/>
    <x v="2"/>
    <x v="0"/>
    <n v="188"/>
  </r>
  <r>
    <d v="2026-01-02T00:00:00"/>
    <x v="2"/>
    <x v="0"/>
    <n v="262"/>
  </r>
  <r>
    <d v="2026-01-03T00:00:00"/>
    <x v="2"/>
    <x v="0"/>
    <n v="191"/>
  </r>
  <r>
    <d v="2026-01-04T00:00:00"/>
    <x v="2"/>
    <x v="0"/>
    <n v="256"/>
  </r>
  <r>
    <d v="2026-01-05T00:00:00"/>
    <x v="2"/>
    <x v="0"/>
    <n v="263"/>
  </r>
  <r>
    <d v="2026-01-06T00:00:00"/>
    <x v="2"/>
    <x v="0"/>
    <n v="204"/>
  </r>
  <r>
    <d v="2026-01-07T00:00:00"/>
    <x v="2"/>
    <x v="0"/>
    <n v="255"/>
  </r>
  <r>
    <d v="2026-01-08T00:00:00"/>
    <x v="2"/>
    <x v="0"/>
    <n v="244"/>
  </r>
  <r>
    <d v="2026-01-09T00:00:00"/>
    <x v="2"/>
    <x v="0"/>
    <n v="157"/>
  </r>
  <r>
    <d v="2026-01-10T00:00:00"/>
    <x v="2"/>
    <x v="0"/>
    <n v="169"/>
  </r>
  <r>
    <d v="2026-01-11T00:00:00"/>
    <x v="2"/>
    <x v="0"/>
    <n v="227"/>
  </r>
  <r>
    <d v="2026-01-12T00:00:00"/>
    <x v="2"/>
    <x v="0"/>
    <n v="174"/>
  </r>
  <r>
    <d v="2026-01-13T00:00:00"/>
    <x v="2"/>
    <x v="0"/>
    <n v="250"/>
  </r>
  <r>
    <d v="2026-01-14T00:00:00"/>
    <x v="2"/>
    <x v="0"/>
    <n v="117"/>
  </r>
  <r>
    <d v="2026-01-15T00:00:00"/>
    <x v="2"/>
    <x v="0"/>
    <n v="161"/>
  </r>
  <r>
    <d v="2026-01-16T00:00:00"/>
    <x v="2"/>
    <x v="0"/>
    <n v="277"/>
  </r>
  <r>
    <d v="2026-01-17T00:00:00"/>
    <x v="2"/>
    <x v="0"/>
    <n v="274"/>
  </r>
  <r>
    <d v="2026-01-18T00:00:00"/>
    <x v="2"/>
    <x v="0"/>
    <n v="262"/>
  </r>
  <r>
    <d v="2026-01-19T00:00:00"/>
    <x v="2"/>
    <x v="0"/>
    <n v="202"/>
  </r>
  <r>
    <d v="2026-01-20T00:00:00"/>
    <x v="2"/>
    <x v="0"/>
    <n v="245"/>
  </r>
  <r>
    <d v="2026-01-21T00:00:00"/>
    <x v="2"/>
    <x v="0"/>
    <n v="191"/>
  </r>
  <r>
    <d v="2026-01-22T00:00:00"/>
    <x v="2"/>
    <x v="0"/>
    <n v="125"/>
  </r>
  <r>
    <d v="2026-01-23T00:00:00"/>
    <x v="2"/>
    <x v="0"/>
    <n v="203"/>
  </r>
  <r>
    <d v="2026-01-24T00:00:00"/>
    <x v="2"/>
    <x v="0"/>
    <n v="243"/>
  </r>
  <r>
    <d v="2026-01-25T00:00:00"/>
    <x v="2"/>
    <x v="0"/>
    <n v="234"/>
  </r>
  <r>
    <d v="2026-01-26T00:00:00"/>
    <x v="2"/>
    <x v="0"/>
    <n v="200"/>
  </r>
  <r>
    <d v="2026-01-27T00:00:00"/>
    <x v="2"/>
    <x v="0"/>
    <n v="275"/>
  </r>
  <r>
    <d v="2026-01-28T00:00:00"/>
    <x v="2"/>
    <x v="0"/>
    <n v="285"/>
  </r>
  <r>
    <d v="2026-01-29T00:00:00"/>
    <x v="2"/>
    <x v="0"/>
    <n v="258"/>
  </r>
  <r>
    <d v="2026-01-30T00:00:00"/>
    <x v="2"/>
    <x v="0"/>
    <n v="166"/>
  </r>
  <r>
    <d v="2026-01-31T00:00:00"/>
    <x v="2"/>
    <x v="0"/>
    <n v="130"/>
  </r>
  <r>
    <d v="2026-01-01T00:00:00"/>
    <x v="0"/>
    <x v="1"/>
    <n v="56"/>
  </r>
  <r>
    <d v="2026-01-02T00:00:00"/>
    <x v="0"/>
    <x v="1"/>
    <n v="37"/>
  </r>
  <r>
    <d v="2026-01-03T00:00:00"/>
    <x v="0"/>
    <x v="1"/>
    <n v="39"/>
  </r>
  <r>
    <d v="2026-01-04T00:00:00"/>
    <x v="0"/>
    <x v="1"/>
    <n v="114"/>
  </r>
  <r>
    <d v="2026-01-05T00:00:00"/>
    <x v="0"/>
    <x v="1"/>
    <n v="105"/>
  </r>
  <r>
    <d v="2026-01-06T00:00:00"/>
    <x v="0"/>
    <x v="1"/>
    <n v="67"/>
  </r>
  <r>
    <d v="2026-01-07T00:00:00"/>
    <x v="0"/>
    <x v="1"/>
    <n v="71"/>
  </r>
  <r>
    <d v="2026-01-08T00:00:00"/>
    <x v="0"/>
    <x v="1"/>
    <n v="104"/>
  </r>
  <r>
    <d v="2026-01-09T00:00:00"/>
    <x v="0"/>
    <x v="1"/>
    <n v="99"/>
  </r>
  <r>
    <d v="2026-01-10T00:00:00"/>
    <x v="0"/>
    <x v="1"/>
    <n v="42"/>
  </r>
  <r>
    <d v="2026-01-11T00:00:00"/>
    <x v="0"/>
    <x v="1"/>
    <n v="119"/>
  </r>
  <r>
    <d v="2026-01-12T00:00:00"/>
    <x v="0"/>
    <x v="1"/>
    <n v="85"/>
  </r>
  <r>
    <d v="2026-01-13T00:00:00"/>
    <x v="0"/>
    <x v="1"/>
    <n v="61"/>
  </r>
  <r>
    <d v="2026-01-14T00:00:00"/>
    <x v="0"/>
    <x v="1"/>
    <n v="70"/>
  </r>
  <r>
    <d v="2026-01-15T00:00:00"/>
    <x v="0"/>
    <x v="1"/>
    <n v="101"/>
  </r>
  <r>
    <d v="2026-01-16T00:00:00"/>
    <x v="0"/>
    <x v="1"/>
    <n v="111"/>
  </r>
  <r>
    <d v="2026-01-17T00:00:00"/>
    <x v="0"/>
    <x v="1"/>
    <n v="30"/>
  </r>
  <r>
    <d v="2026-01-18T00:00:00"/>
    <x v="0"/>
    <x v="1"/>
    <n v="32"/>
  </r>
  <r>
    <d v="2026-01-19T00:00:00"/>
    <x v="0"/>
    <x v="1"/>
    <n v="99"/>
  </r>
  <r>
    <d v="2026-01-20T00:00:00"/>
    <x v="0"/>
    <x v="1"/>
    <n v="99"/>
  </r>
  <r>
    <d v="2026-01-21T00:00:00"/>
    <x v="0"/>
    <x v="1"/>
    <n v="112"/>
  </r>
  <r>
    <d v="2026-01-22T00:00:00"/>
    <x v="0"/>
    <x v="1"/>
    <n v="86"/>
  </r>
  <r>
    <d v="2026-01-23T00:00:00"/>
    <x v="0"/>
    <x v="1"/>
    <n v="119"/>
  </r>
  <r>
    <d v="2026-01-24T00:00:00"/>
    <x v="0"/>
    <x v="1"/>
    <n v="71"/>
  </r>
  <r>
    <d v="2026-01-25T00:00:00"/>
    <x v="0"/>
    <x v="1"/>
    <n v="69"/>
  </r>
  <r>
    <d v="2026-01-26T00:00:00"/>
    <x v="0"/>
    <x v="1"/>
    <n v="83"/>
  </r>
  <r>
    <d v="2026-01-27T00:00:00"/>
    <x v="0"/>
    <x v="1"/>
    <n v="75"/>
  </r>
  <r>
    <d v="2026-01-28T00:00:00"/>
    <x v="0"/>
    <x v="1"/>
    <n v="88"/>
  </r>
  <r>
    <d v="2026-01-29T00:00:00"/>
    <x v="0"/>
    <x v="1"/>
    <n v="105"/>
  </r>
  <r>
    <d v="2026-01-30T00:00:00"/>
    <x v="0"/>
    <x v="1"/>
    <n v="75"/>
  </r>
  <r>
    <d v="2026-01-31T00:00:00"/>
    <x v="0"/>
    <x v="1"/>
    <n v="110"/>
  </r>
  <r>
    <d v="2026-01-01T00:00:00"/>
    <x v="1"/>
    <x v="1"/>
    <n v="440"/>
  </r>
  <r>
    <d v="2026-01-02T00:00:00"/>
    <x v="1"/>
    <x v="1"/>
    <n v="642"/>
  </r>
  <r>
    <d v="2026-01-03T00:00:00"/>
    <x v="1"/>
    <x v="1"/>
    <n v="368"/>
  </r>
  <r>
    <d v="2026-01-04T00:00:00"/>
    <x v="1"/>
    <x v="1"/>
    <n v="649"/>
  </r>
  <r>
    <d v="2026-01-05T00:00:00"/>
    <x v="1"/>
    <x v="1"/>
    <n v="331"/>
  </r>
  <r>
    <d v="2026-01-06T00:00:00"/>
    <x v="1"/>
    <x v="1"/>
    <n v="361"/>
  </r>
  <r>
    <d v="2026-01-07T00:00:00"/>
    <x v="1"/>
    <x v="1"/>
    <n v="531"/>
  </r>
  <r>
    <d v="2026-01-08T00:00:00"/>
    <x v="1"/>
    <x v="1"/>
    <n v="704"/>
  </r>
  <r>
    <d v="2026-01-09T00:00:00"/>
    <x v="1"/>
    <x v="1"/>
    <n v="679"/>
  </r>
  <r>
    <d v="2026-01-10T00:00:00"/>
    <x v="1"/>
    <x v="1"/>
    <n v="482"/>
  </r>
  <r>
    <d v="2026-01-11T00:00:00"/>
    <x v="1"/>
    <x v="1"/>
    <n v="636"/>
  </r>
  <r>
    <d v="2026-01-12T00:00:00"/>
    <x v="1"/>
    <x v="1"/>
    <n v="711"/>
  </r>
  <r>
    <d v="2026-01-13T00:00:00"/>
    <x v="1"/>
    <x v="1"/>
    <n v="713"/>
  </r>
  <r>
    <d v="2026-01-14T00:00:00"/>
    <x v="1"/>
    <x v="1"/>
    <n v="389"/>
  </r>
  <r>
    <d v="2026-01-15T00:00:00"/>
    <x v="1"/>
    <x v="1"/>
    <n v="444"/>
  </r>
  <r>
    <d v="2026-01-16T00:00:00"/>
    <x v="1"/>
    <x v="1"/>
    <n v="655"/>
  </r>
  <r>
    <d v="2026-01-17T00:00:00"/>
    <x v="1"/>
    <x v="1"/>
    <n v="711"/>
  </r>
  <r>
    <d v="2026-01-18T00:00:00"/>
    <x v="1"/>
    <x v="1"/>
    <n v="448"/>
  </r>
  <r>
    <d v="2026-01-19T00:00:00"/>
    <x v="1"/>
    <x v="1"/>
    <n v="717"/>
  </r>
  <r>
    <d v="2026-01-20T00:00:00"/>
    <x v="1"/>
    <x v="1"/>
    <n v="608"/>
  </r>
  <r>
    <d v="2026-01-21T00:00:00"/>
    <x v="1"/>
    <x v="1"/>
    <n v="447"/>
  </r>
  <r>
    <d v="2026-01-22T00:00:00"/>
    <x v="1"/>
    <x v="1"/>
    <n v="546"/>
  </r>
  <r>
    <d v="2026-01-23T00:00:00"/>
    <x v="1"/>
    <x v="1"/>
    <n v="342"/>
  </r>
  <r>
    <d v="2026-01-24T00:00:00"/>
    <x v="1"/>
    <x v="1"/>
    <n v="640"/>
  </r>
  <r>
    <d v="2026-01-25T00:00:00"/>
    <x v="1"/>
    <x v="1"/>
    <n v="698"/>
  </r>
  <r>
    <d v="2026-01-26T00:00:00"/>
    <x v="1"/>
    <x v="1"/>
    <n v="691"/>
  </r>
  <r>
    <d v="2026-01-27T00:00:00"/>
    <x v="1"/>
    <x v="1"/>
    <n v="553"/>
  </r>
  <r>
    <d v="2026-01-28T00:00:00"/>
    <x v="1"/>
    <x v="1"/>
    <n v="435"/>
  </r>
  <r>
    <d v="2026-01-29T00:00:00"/>
    <x v="1"/>
    <x v="1"/>
    <n v="602"/>
  </r>
  <r>
    <d v="2026-01-30T00:00:00"/>
    <x v="1"/>
    <x v="1"/>
    <n v="473"/>
  </r>
  <r>
    <d v="2026-01-31T00:00:00"/>
    <x v="1"/>
    <x v="1"/>
    <n v="522"/>
  </r>
  <r>
    <d v="2026-01-01T00:00:00"/>
    <x v="2"/>
    <x v="1"/>
    <n v="126"/>
  </r>
  <r>
    <d v="2026-01-02T00:00:00"/>
    <x v="2"/>
    <x v="1"/>
    <n v="140"/>
  </r>
  <r>
    <d v="2026-01-03T00:00:00"/>
    <x v="2"/>
    <x v="1"/>
    <n v="137"/>
  </r>
  <r>
    <d v="2026-01-04T00:00:00"/>
    <x v="2"/>
    <x v="1"/>
    <n v="112"/>
  </r>
  <r>
    <d v="2026-01-05T00:00:00"/>
    <x v="2"/>
    <x v="1"/>
    <n v="202"/>
  </r>
  <r>
    <d v="2026-01-06T00:00:00"/>
    <x v="2"/>
    <x v="1"/>
    <n v="272"/>
  </r>
  <r>
    <d v="2026-01-07T00:00:00"/>
    <x v="2"/>
    <x v="1"/>
    <n v="218"/>
  </r>
  <r>
    <d v="2026-01-08T00:00:00"/>
    <x v="2"/>
    <x v="1"/>
    <n v="139"/>
  </r>
  <r>
    <d v="2026-01-09T00:00:00"/>
    <x v="2"/>
    <x v="1"/>
    <n v="248"/>
  </r>
  <r>
    <d v="2026-01-10T00:00:00"/>
    <x v="2"/>
    <x v="1"/>
    <n v="200"/>
  </r>
  <r>
    <d v="2026-01-11T00:00:00"/>
    <x v="2"/>
    <x v="1"/>
    <n v="256"/>
  </r>
  <r>
    <d v="2026-01-12T00:00:00"/>
    <x v="2"/>
    <x v="1"/>
    <n v="181"/>
  </r>
  <r>
    <d v="2026-01-13T00:00:00"/>
    <x v="2"/>
    <x v="1"/>
    <n v="161"/>
  </r>
  <r>
    <d v="2026-01-14T00:00:00"/>
    <x v="2"/>
    <x v="1"/>
    <n v="119"/>
  </r>
  <r>
    <d v="2026-01-15T00:00:00"/>
    <x v="2"/>
    <x v="1"/>
    <n v="144"/>
  </r>
  <r>
    <d v="2026-01-16T00:00:00"/>
    <x v="2"/>
    <x v="1"/>
    <n v="211"/>
  </r>
  <r>
    <d v="2026-01-17T00:00:00"/>
    <x v="2"/>
    <x v="1"/>
    <n v="292"/>
  </r>
  <r>
    <d v="2026-01-18T00:00:00"/>
    <x v="2"/>
    <x v="1"/>
    <n v="260"/>
  </r>
  <r>
    <d v="2026-01-19T00:00:00"/>
    <x v="2"/>
    <x v="1"/>
    <n v="271"/>
  </r>
  <r>
    <d v="2026-01-20T00:00:00"/>
    <x v="2"/>
    <x v="1"/>
    <n v="262"/>
  </r>
  <r>
    <d v="2026-01-21T00:00:00"/>
    <x v="2"/>
    <x v="1"/>
    <n v="157"/>
  </r>
  <r>
    <d v="2026-01-22T00:00:00"/>
    <x v="2"/>
    <x v="1"/>
    <n v="251"/>
  </r>
  <r>
    <d v="2026-01-23T00:00:00"/>
    <x v="2"/>
    <x v="1"/>
    <n v="148"/>
  </r>
  <r>
    <d v="2026-01-24T00:00:00"/>
    <x v="2"/>
    <x v="1"/>
    <n v="167"/>
  </r>
  <r>
    <d v="2026-01-25T00:00:00"/>
    <x v="2"/>
    <x v="1"/>
    <n v="169"/>
  </r>
  <r>
    <d v="2026-01-26T00:00:00"/>
    <x v="2"/>
    <x v="1"/>
    <n v="120"/>
  </r>
  <r>
    <d v="2026-01-27T00:00:00"/>
    <x v="2"/>
    <x v="1"/>
    <n v="150"/>
  </r>
  <r>
    <d v="2026-01-28T00:00:00"/>
    <x v="2"/>
    <x v="1"/>
    <n v="285"/>
  </r>
  <r>
    <d v="2026-01-29T00:00:00"/>
    <x v="2"/>
    <x v="1"/>
    <n v="229"/>
  </r>
  <r>
    <d v="2026-01-30T00:00:00"/>
    <x v="2"/>
    <x v="1"/>
    <n v="173"/>
  </r>
  <r>
    <d v="2026-01-31T00:00:00"/>
    <x v="2"/>
    <x v="1"/>
    <n v="210"/>
  </r>
  <r>
    <d v="2026-01-01T00:00:00"/>
    <x v="0"/>
    <x v="2"/>
    <n v="49"/>
  </r>
  <r>
    <d v="2026-01-02T00:00:00"/>
    <x v="0"/>
    <x v="2"/>
    <n v="25"/>
  </r>
  <r>
    <d v="2026-01-03T00:00:00"/>
    <x v="0"/>
    <x v="2"/>
    <n v="74"/>
  </r>
  <r>
    <d v="2026-01-04T00:00:00"/>
    <x v="0"/>
    <x v="2"/>
    <n v="25"/>
  </r>
  <r>
    <d v="2026-01-05T00:00:00"/>
    <x v="0"/>
    <x v="2"/>
    <n v="94"/>
  </r>
  <r>
    <d v="2026-01-06T00:00:00"/>
    <x v="0"/>
    <x v="2"/>
    <n v="108"/>
  </r>
  <r>
    <d v="2026-01-07T00:00:00"/>
    <x v="0"/>
    <x v="2"/>
    <n v="66"/>
  </r>
  <r>
    <d v="2026-01-08T00:00:00"/>
    <x v="0"/>
    <x v="2"/>
    <n v="42"/>
  </r>
  <r>
    <d v="2026-01-09T00:00:00"/>
    <x v="0"/>
    <x v="2"/>
    <n v="87"/>
  </r>
  <r>
    <d v="2026-01-10T00:00:00"/>
    <x v="0"/>
    <x v="2"/>
    <n v="90"/>
  </r>
  <r>
    <d v="2026-01-11T00:00:00"/>
    <x v="0"/>
    <x v="2"/>
    <n v="57"/>
  </r>
  <r>
    <d v="2026-01-12T00:00:00"/>
    <x v="0"/>
    <x v="2"/>
    <n v="63"/>
  </r>
  <r>
    <d v="2026-01-13T00:00:00"/>
    <x v="0"/>
    <x v="2"/>
    <n v="70"/>
  </r>
  <r>
    <d v="2026-01-14T00:00:00"/>
    <x v="0"/>
    <x v="2"/>
    <n v="33"/>
  </r>
  <r>
    <d v="2026-01-15T00:00:00"/>
    <x v="0"/>
    <x v="2"/>
    <n v="45"/>
  </r>
  <r>
    <d v="2026-01-16T00:00:00"/>
    <x v="0"/>
    <x v="2"/>
    <n v="109"/>
  </r>
  <r>
    <d v="2026-01-17T00:00:00"/>
    <x v="0"/>
    <x v="2"/>
    <n v="64"/>
  </r>
  <r>
    <d v="2026-01-18T00:00:00"/>
    <x v="0"/>
    <x v="2"/>
    <n v="58"/>
  </r>
  <r>
    <d v="2026-01-19T00:00:00"/>
    <x v="0"/>
    <x v="2"/>
    <n v="100"/>
  </r>
  <r>
    <d v="2026-01-20T00:00:00"/>
    <x v="0"/>
    <x v="2"/>
    <n v="90"/>
  </r>
  <r>
    <d v="2026-01-21T00:00:00"/>
    <x v="0"/>
    <x v="2"/>
    <n v="67"/>
  </r>
  <r>
    <d v="2026-01-22T00:00:00"/>
    <x v="0"/>
    <x v="2"/>
    <n v="57"/>
  </r>
  <r>
    <d v="2026-01-23T00:00:00"/>
    <x v="0"/>
    <x v="2"/>
    <n v="116"/>
  </r>
  <r>
    <d v="2026-01-24T00:00:00"/>
    <x v="0"/>
    <x v="2"/>
    <n v="34"/>
  </r>
  <r>
    <d v="2026-01-25T00:00:00"/>
    <x v="0"/>
    <x v="2"/>
    <n v="31"/>
  </r>
  <r>
    <d v="2026-01-26T00:00:00"/>
    <x v="0"/>
    <x v="2"/>
    <n v="81"/>
  </r>
  <r>
    <d v="2026-01-27T00:00:00"/>
    <x v="0"/>
    <x v="2"/>
    <n v="28"/>
  </r>
  <r>
    <d v="2026-01-28T00:00:00"/>
    <x v="0"/>
    <x v="2"/>
    <n v="101"/>
  </r>
  <r>
    <d v="2026-01-29T00:00:00"/>
    <x v="0"/>
    <x v="2"/>
    <n v="82"/>
  </r>
  <r>
    <d v="2026-01-30T00:00:00"/>
    <x v="0"/>
    <x v="2"/>
    <n v="64"/>
  </r>
  <r>
    <d v="2026-01-31T00:00:00"/>
    <x v="0"/>
    <x v="2"/>
    <n v="117"/>
  </r>
  <r>
    <d v="2026-01-01T00:00:00"/>
    <x v="1"/>
    <x v="2"/>
    <n v="763"/>
  </r>
  <r>
    <d v="2026-01-02T00:00:00"/>
    <x v="1"/>
    <x v="2"/>
    <n v="300"/>
  </r>
  <r>
    <d v="2026-01-03T00:00:00"/>
    <x v="1"/>
    <x v="2"/>
    <n v="386"/>
  </r>
  <r>
    <d v="2026-01-04T00:00:00"/>
    <x v="1"/>
    <x v="2"/>
    <n v="668"/>
  </r>
  <r>
    <d v="2026-01-05T00:00:00"/>
    <x v="1"/>
    <x v="2"/>
    <n v="252"/>
  </r>
  <r>
    <d v="2026-01-06T00:00:00"/>
    <x v="1"/>
    <x v="2"/>
    <n v="402"/>
  </r>
  <r>
    <d v="2026-01-07T00:00:00"/>
    <x v="1"/>
    <x v="2"/>
    <n v="529"/>
  </r>
  <r>
    <d v="2026-01-08T00:00:00"/>
    <x v="1"/>
    <x v="2"/>
    <n v="353"/>
  </r>
  <r>
    <d v="2026-01-09T00:00:00"/>
    <x v="1"/>
    <x v="2"/>
    <n v="391"/>
  </r>
  <r>
    <d v="2026-01-10T00:00:00"/>
    <x v="1"/>
    <x v="2"/>
    <n v="499"/>
  </r>
  <r>
    <d v="2026-01-11T00:00:00"/>
    <x v="1"/>
    <x v="2"/>
    <n v="531"/>
  </r>
  <r>
    <d v="2026-01-12T00:00:00"/>
    <x v="1"/>
    <x v="2"/>
    <n v="747"/>
  </r>
  <r>
    <d v="2026-01-13T00:00:00"/>
    <x v="1"/>
    <x v="2"/>
    <n v="753"/>
  </r>
  <r>
    <d v="2026-01-14T00:00:00"/>
    <x v="1"/>
    <x v="2"/>
    <n v="631"/>
  </r>
  <r>
    <d v="2026-01-15T00:00:00"/>
    <x v="1"/>
    <x v="2"/>
    <n v="628"/>
  </r>
  <r>
    <d v="2026-01-16T00:00:00"/>
    <x v="1"/>
    <x v="2"/>
    <n v="668"/>
  </r>
  <r>
    <d v="2026-01-17T00:00:00"/>
    <x v="1"/>
    <x v="2"/>
    <n v="540"/>
  </r>
  <r>
    <d v="2026-01-18T00:00:00"/>
    <x v="1"/>
    <x v="2"/>
    <n v="261"/>
  </r>
  <r>
    <d v="2026-01-19T00:00:00"/>
    <x v="1"/>
    <x v="2"/>
    <n v="512"/>
  </r>
  <r>
    <d v="2026-01-20T00:00:00"/>
    <x v="1"/>
    <x v="2"/>
    <n v="637"/>
  </r>
  <r>
    <d v="2026-01-21T00:00:00"/>
    <x v="1"/>
    <x v="2"/>
    <n v="573"/>
  </r>
  <r>
    <d v="2026-01-22T00:00:00"/>
    <x v="1"/>
    <x v="2"/>
    <n v="377"/>
  </r>
  <r>
    <d v="2026-01-23T00:00:00"/>
    <x v="1"/>
    <x v="2"/>
    <n v="708"/>
  </r>
  <r>
    <d v="2026-01-24T00:00:00"/>
    <x v="1"/>
    <x v="2"/>
    <n v="767"/>
  </r>
  <r>
    <d v="2026-01-25T00:00:00"/>
    <x v="1"/>
    <x v="2"/>
    <n v="268"/>
  </r>
  <r>
    <d v="2026-01-26T00:00:00"/>
    <x v="1"/>
    <x v="2"/>
    <n v="794"/>
  </r>
  <r>
    <d v="2026-01-27T00:00:00"/>
    <x v="1"/>
    <x v="2"/>
    <n v="588"/>
  </r>
  <r>
    <d v="2026-01-28T00:00:00"/>
    <x v="1"/>
    <x v="2"/>
    <n v="376"/>
  </r>
  <r>
    <d v="2026-01-29T00:00:00"/>
    <x v="1"/>
    <x v="2"/>
    <n v="799"/>
  </r>
  <r>
    <d v="2026-01-30T00:00:00"/>
    <x v="1"/>
    <x v="2"/>
    <n v="593"/>
  </r>
  <r>
    <d v="2026-01-31T00:00:00"/>
    <x v="1"/>
    <x v="2"/>
    <n v="472"/>
  </r>
  <r>
    <d v="2026-01-01T00:00:00"/>
    <x v="2"/>
    <x v="2"/>
    <n v="151"/>
  </r>
  <r>
    <d v="2026-01-02T00:00:00"/>
    <x v="2"/>
    <x v="2"/>
    <n v="289"/>
  </r>
  <r>
    <d v="2026-01-03T00:00:00"/>
    <x v="2"/>
    <x v="2"/>
    <n v="102"/>
  </r>
  <r>
    <d v="2026-01-04T00:00:00"/>
    <x v="2"/>
    <x v="2"/>
    <n v="260"/>
  </r>
  <r>
    <d v="2026-01-05T00:00:00"/>
    <x v="2"/>
    <x v="2"/>
    <n v="202"/>
  </r>
  <r>
    <d v="2026-01-06T00:00:00"/>
    <x v="2"/>
    <x v="2"/>
    <n v="171"/>
  </r>
  <r>
    <d v="2026-01-07T00:00:00"/>
    <x v="2"/>
    <x v="2"/>
    <n v="112"/>
  </r>
  <r>
    <d v="2026-01-08T00:00:00"/>
    <x v="2"/>
    <x v="2"/>
    <n v="107"/>
  </r>
  <r>
    <d v="2026-01-09T00:00:00"/>
    <x v="2"/>
    <x v="2"/>
    <n v="262"/>
  </r>
  <r>
    <d v="2026-01-10T00:00:00"/>
    <x v="2"/>
    <x v="2"/>
    <n v="264"/>
  </r>
  <r>
    <d v="2026-01-11T00:00:00"/>
    <x v="2"/>
    <x v="2"/>
    <n v="293"/>
  </r>
  <r>
    <d v="2026-01-12T00:00:00"/>
    <x v="2"/>
    <x v="2"/>
    <n v="191"/>
  </r>
  <r>
    <d v="2026-01-13T00:00:00"/>
    <x v="2"/>
    <x v="2"/>
    <n v="284"/>
  </r>
  <r>
    <d v="2026-01-14T00:00:00"/>
    <x v="2"/>
    <x v="2"/>
    <n v="135"/>
  </r>
  <r>
    <d v="2026-01-15T00:00:00"/>
    <x v="2"/>
    <x v="2"/>
    <n v="179"/>
  </r>
  <r>
    <d v="2026-01-16T00:00:00"/>
    <x v="2"/>
    <x v="2"/>
    <n v="242"/>
  </r>
  <r>
    <d v="2026-01-17T00:00:00"/>
    <x v="2"/>
    <x v="2"/>
    <n v="131"/>
  </r>
  <r>
    <d v="2026-01-18T00:00:00"/>
    <x v="2"/>
    <x v="2"/>
    <n v="238"/>
  </r>
  <r>
    <d v="2026-01-19T00:00:00"/>
    <x v="2"/>
    <x v="2"/>
    <n v="144"/>
  </r>
  <r>
    <d v="2026-01-20T00:00:00"/>
    <x v="2"/>
    <x v="2"/>
    <n v="284"/>
  </r>
  <r>
    <d v="2026-01-21T00:00:00"/>
    <x v="2"/>
    <x v="2"/>
    <n v="134"/>
  </r>
  <r>
    <d v="2026-01-22T00:00:00"/>
    <x v="2"/>
    <x v="2"/>
    <n v="287"/>
  </r>
  <r>
    <d v="2026-01-23T00:00:00"/>
    <x v="2"/>
    <x v="2"/>
    <n v="218"/>
  </r>
  <r>
    <d v="2026-01-24T00:00:00"/>
    <x v="2"/>
    <x v="2"/>
    <n v="117"/>
  </r>
  <r>
    <d v="2026-01-25T00:00:00"/>
    <x v="2"/>
    <x v="2"/>
    <n v="177"/>
  </r>
  <r>
    <d v="2026-01-26T00:00:00"/>
    <x v="2"/>
    <x v="2"/>
    <n v="144"/>
  </r>
  <r>
    <d v="2026-01-27T00:00:00"/>
    <x v="2"/>
    <x v="2"/>
    <n v="204"/>
  </r>
  <r>
    <d v="2026-01-28T00:00:00"/>
    <x v="2"/>
    <x v="2"/>
    <n v="200"/>
  </r>
  <r>
    <d v="2026-01-29T00:00:00"/>
    <x v="2"/>
    <x v="2"/>
    <n v="197"/>
  </r>
  <r>
    <d v="2026-01-30T00:00:00"/>
    <x v="2"/>
    <x v="2"/>
    <n v="246"/>
  </r>
  <r>
    <d v="2026-01-31T00:00:00"/>
    <x v="2"/>
    <x v="2"/>
    <n v="211"/>
  </r>
  <r>
    <d v="2026-01-01T00:00:00"/>
    <x v="0"/>
    <x v="3"/>
    <n v="53"/>
  </r>
  <r>
    <d v="2026-01-02T00:00:00"/>
    <x v="0"/>
    <x v="3"/>
    <n v="79"/>
  </r>
  <r>
    <d v="2026-01-03T00:00:00"/>
    <x v="0"/>
    <x v="3"/>
    <n v="54"/>
  </r>
  <r>
    <d v="2026-01-04T00:00:00"/>
    <x v="0"/>
    <x v="3"/>
    <n v="40"/>
  </r>
  <r>
    <d v="2026-01-05T00:00:00"/>
    <x v="0"/>
    <x v="3"/>
    <n v="33"/>
  </r>
  <r>
    <d v="2026-01-06T00:00:00"/>
    <x v="0"/>
    <x v="3"/>
    <n v="36"/>
  </r>
  <r>
    <d v="2026-01-07T00:00:00"/>
    <x v="0"/>
    <x v="3"/>
    <n v="70"/>
  </r>
  <r>
    <d v="2026-01-08T00:00:00"/>
    <x v="0"/>
    <x v="3"/>
    <n v="51"/>
  </r>
  <r>
    <d v="2026-01-09T00:00:00"/>
    <x v="0"/>
    <x v="3"/>
    <n v="49"/>
  </r>
  <r>
    <d v="2026-01-10T00:00:00"/>
    <x v="0"/>
    <x v="3"/>
    <n v="80"/>
  </r>
  <r>
    <d v="2026-01-11T00:00:00"/>
    <x v="0"/>
    <x v="3"/>
    <n v="115"/>
  </r>
  <r>
    <d v="2026-01-12T00:00:00"/>
    <x v="0"/>
    <x v="3"/>
    <n v="49"/>
  </r>
  <r>
    <d v="2026-01-13T00:00:00"/>
    <x v="0"/>
    <x v="3"/>
    <n v="85"/>
  </r>
  <r>
    <d v="2026-01-14T00:00:00"/>
    <x v="0"/>
    <x v="3"/>
    <n v="57"/>
  </r>
  <r>
    <d v="2026-01-15T00:00:00"/>
    <x v="0"/>
    <x v="3"/>
    <n v="35"/>
  </r>
  <r>
    <d v="2026-01-16T00:00:00"/>
    <x v="0"/>
    <x v="3"/>
    <n v="87"/>
  </r>
  <r>
    <d v="2026-01-17T00:00:00"/>
    <x v="0"/>
    <x v="3"/>
    <n v="43"/>
  </r>
  <r>
    <d v="2026-01-18T00:00:00"/>
    <x v="0"/>
    <x v="3"/>
    <n v="44"/>
  </r>
  <r>
    <d v="2026-01-19T00:00:00"/>
    <x v="0"/>
    <x v="3"/>
    <n v="104"/>
  </r>
  <r>
    <d v="2026-01-20T00:00:00"/>
    <x v="0"/>
    <x v="3"/>
    <n v="87"/>
  </r>
  <r>
    <d v="2026-01-21T00:00:00"/>
    <x v="0"/>
    <x v="3"/>
    <n v="113"/>
  </r>
  <r>
    <d v="2026-01-22T00:00:00"/>
    <x v="0"/>
    <x v="3"/>
    <n v="65"/>
  </r>
  <r>
    <d v="2026-01-23T00:00:00"/>
    <x v="0"/>
    <x v="3"/>
    <n v="32"/>
  </r>
  <r>
    <d v="2026-01-24T00:00:00"/>
    <x v="0"/>
    <x v="3"/>
    <n v="53"/>
  </r>
  <r>
    <d v="2026-01-25T00:00:00"/>
    <x v="0"/>
    <x v="3"/>
    <n v="43"/>
  </r>
  <r>
    <d v="2026-01-26T00:00:00"/>
    <x v="0"/>
    <x v="3"/>
    <n v="111"/>
  </r>
  <r>
    <d v="2026-01-27T00:00:00"/>
    <x v="0"/>
    <x v="3"/>
    <n v="93"/>
  </r>
  <r>
    <d v="2026-01-28T00:00:00"/>
    <x v="0"/>
    <x v="3"/>
    <n v="95"/>
  </r>
  <r>
    <d v="2026-01-29T00:00:00"/>
    <x v="0"/>
    <x v="3"/>
    <n v="71"/>
  </r>
  <r>
    <d v="2026-01-30T00:00:00"/>
    <x v="0"/>
    <x v="3"/>
    <n v="45"/>
  </r>
  <r>
    <d v="2026-01-31T00:00:00"/>
    <x v="0"/>
    <x v="3"/>
    <n v="104"/>
  </r>
  <r>
    <d v="2026-01-01T00:00:00"/>
    <x v="1"/>
    <x v="3"/>
    <n v="554"/>
  </r>
  <r>
    <d v="2026-01-02T00:00:00"/>
    <x v="1"/>
    <x v="3"/>
    <n v="614"/>
  </r>
  <r>
    <d v="2026-01-03T00:00:00"/>
    <x v="1"/>
    <x v="3"/>
    <n v="528"/>
  </r>
  <r>
    <d v="2026-01-04T00:00:00"/>
    <x v="1"/>
    <x v="3"/>
    <n v="455"/>
  </r>
  <r>
    <d v="2026-01-05T00:00:00"/>
    <x v="1"/>
    <x v="3"/>
    <n v="304"/>
  </r>
  <r>
    <d v="2026-01-06T00:00:00"/>
    <x v="1"/>
    <x v="3"/>
    <n v="265"/>
  </r>
  <r>
    <d v="2026-01-07T00:00:00"/>
    <x v="1"/>
    <x v="3"/>
    <n v="702"/>
  </r>
  <r>
    <d v="2026-01-08T00:00:00"/>
    <x v="1"/>
    <x v="3"/>
    <n v="480"/>
  </r>
  <r>
    <d v="2026-01-09T00:00:00"/>
    <x v="1"/>
    <x v="3"/>
    <n v="377"/>
  </r>
  <r>
    <d v="2026-01-10T00:00:00"/>
    <x v="1"/>
    <x v="3"/>
    <n v="769"/>
  </r>
  <r>
    <d v="2026-01-11T00:00:00"/>
    <x v="1"/>
    <x v="3"/>
    <n v="585"/>
  </r>
  <r>
    <d v="2026-01-12T00:00:00"/>
    <x v="1"/>
    <x v="3"/>
    <n v="788"/>
  </r>
  <r>
    <d v="2026-01-13T00:00:00"/>
    <x v="1"/>
    <x v="3"/>
    <n v="633"/>
  </r>
  <r>
    <d v="2026-01-14T00:00:00"/>
    <x v="1"/>
    <x v="3"/>
    <n v="403"/>
  </r>
  <r>
    <d v="2026-01-15T00:00:00"/>
    <x v="1"/>
    <x v="3"/>
    <n v="511"/>
  </r>
  <r>
    <d v="2026-01-16T00:00:00"/>
    <x v="1"/>
    <x v="3"/>
    <n v="585"/>
  </r>
  <r>
    <d v="2026-01-17T00:00:00"/>
    <x v="1"/>
    <x v="3"/>
    <n v="756"/>
  </r>
  <r>
    <d v="2026-01-18T00:00:00"/>
    <x v="1"/>
    <x v="3"/>
    <n v="587"/>
  </r>
  <r>
    <d v="2026-01-19T00:00:00"/>
    <x v="1"/>
    <x v="3"/>
    <n v="487"/>
  </r>
  <r>
    <d v="2026-01-20T00:00:00"/>
    <x v="1"/>
    <x v="3"/>
    <n v="347"/>
  </r>
  <r>
    <d v="2026-01-21T00:00:00"/>
    <x v="1"/>
    <x v="3"/>
    <n v="583"/>
  </r>
  <r>
    <d v="2026-01-22T00:00:00"/>
    <x v="1"/>
    <x v="3"/>
    <n v="418"/>
  </r>
  <r>
    <d v="2026-01-23T00:00:00"/>
    <x v="1"/>
    <x v="3"/>
    <n v="520"/>
  </r>
  <r>
    <d v="2026-01-24T00:00:00"/>
    <x v="1"/>
    <x v="3"/>
    <n v="452"/>
  </r>
  <r>
    <d v="2026-01-25T00:00:00"/>
    <x v="1"/>
    <x v="3"/>
    <n v="749"/>
  </r>
  <r>
    <d v="2026-01-26T00:00:00"/>
    <x v="1"/>
    <x v="3"/>
    <n v="771"/>
  </r>
  <r>
    <d v="2026-01-27T00:00:00"/>
    <x v="1"/>
    <x v="3"/>
    <n v="283"/>
  </r>
  <r>
    <d v="2026-01-28T00:00:00"/>
    <x v="1"/>
    <x v="3"/>
    <n v="359"/>
  </r>
  <r>
    <d v="2026-01-29T00:00:00"/>
    <x v="1"/>
    <x v="3"/>
    <n v="390"/>
  </r>
  <r>
    <d v="2026-01-30T00:00:00"/>
    <x v="1"/>
    <x v="3"/>
    <n v="302"/>
  </r>
  <r>
    <d v="2026-01-31T00:00:00"/>
    <x v="1"/>
    <x v="3"/>
    <n v="566"/>
  </r>
  <r>
    <d v="2026-01-01T00:00:00"/>
    <x v="2"/>
    <x v="3"/>
    <n v="112"/>
  </r>
  <r>
    <d v="2026-01-02T00:00:00"/>
    <x v="2"/>
    <x v="3"/>
    <n v="251"/>
  </r>
  <r>
    <d v="2026-01-03T00:00:00"/>
    <x v="2"/>
    <x v="3"/>
    <n v="181"/>
  </r>
  <r>
    <d v="2026-01-04T00:00:00"/>
    <x v="2"/>
    <x v="3"/>
    <n v="253"/>
  </r>
  <r>
    <d v="2026-01-05T00:00:00"/>
    <x v="2"/>
    <x v="3"/>
    <n v="199"/>
  </r>
  <r>
    <d v="2026-01-06T00:00:00"/>
    <x v="2"/>
    <x v="3"/>
    <n v="104"/>
  </r>
  <r>
    <d v="2026-01-07T00:00:00"/>
    <x v="2"/>
    <x v="3"/>
    <n v="286"/>
  </r>
  <r>
    <d v="2026-01-08T00:00:00"/>
    <x v="2"/>
    <x v="3"/>
    <n v="128"/>
  </r>
  <r>
    <d v="2026-01-09T00:00:00"/>
    <x v="2"/>
    <x v="3"/>
    <n v="239"/>
  </r>
  <r>
    <d v="2026-01-10T00:00:00"/>
    <x v="2"/>
    <x v="3"/>
    <n v="138"/>
  </r>
  <r>
    <d v="2026-01-11T00:00:00"/>
    <x v="2"/>
    <x v="3"/>
    <n v="126"/>
  </r>
  <r>
    <d v="2026-01-12T00:00:00"/>
    <x v="2"/>
    <x v="3"/>
    <n v="261"/>
  </r>
  <r>
    <d v="2026-01-13T00:00:00"/>
    <x v="2"/>
    <x v="3"/>
    <n v="184"/>
  </r>
  <r>
    <d v="2026-01-14T00:00:00"/>
    <x v="2"/>
    <x v="3"/>
    <n v="254"/>
  </r>
  <r>
    <d v="2026-01-15T00:00:00"/>
    <x v="2"/>
    <x v="3"/>
    <n v="190"/>
  </r>
  <r>
    <d v="2026-01-16T00:00:00"/>
    <x v="2"/>
    <x v="3"/>
    <n v="185"/>
  </r>
  <r>
    <d v="2026-01-17T00:00:00"/>
    <x v="2"/>
    <x v="3"/>
    <n v="237"/>
  </r>
  <r>
    <d v="2026-01-18T00:00:00"/>
    <x v="2"/>
    <x v="3"/>
    <n v="128"/>
  </r>
  <r>
    <d v="2026-01-19T00:00:00"/>
    <x v="2"/>
    <x v="3"/>
    <n v="261"/>
  </r>
  <r>
    <d v="2026-01-20T00:00:00"/>
    <x v="2"/>
    <x v="3"/>
    <n v="111"/>
  </r>
  <r>
    <d v="2026-01-21T00:00:00"/>
    <x v="2"/>
    <x v="3"/>
    <n v="240"/>
  </r>
  <r>
    <d v="2026-01-22T00:00:00"/>
    <x v="2"/>
    <x v="3"/>
    <n v="165"/>
  </r>
  <r>
    <d v="2026-01-23T00:00:00"/>
    <x v="2"/>
    <x v="3"/>
    <n v="190"/>
  </r>
  <r>
    <d v="2026-01-24T00:00:00"/>
    <x v="2"/>
    <x v="3"/>
    <n v="148"/>
  </r>
  <r>
    <d v="2026-01-25T00:00:00"/>
    <x v="2"/>
    <x v="3"/>
    <n v="197"/>
  </r>
  <r>
    <d v="2026-01-26T00:00:00"/>
    <x v="2"/>
    <x v="3"/>
    <n v="115"/>
  </r>
  <r>
    <d v="2026-01-27T00:00:00"/>
    <x v="2"/>
    <x v="3"/>
    <n v="103"/>
  </r>
  <r>
    <d v="2026-01-28T00:00:00"/>
    <x v="2"/>
    <x v="3"/>
    <n v="113"/>
  </r>
  <r>
    <d v="2026-01-29T00:00:00"/>
    <x v="2"/>
    <x v="3"/>
    <n v="220"/>
  </r>
  <r>
    <d v="2026-01-30T00:00:00"/>
    <x v="2"/>
    <x v="3"/>
    <n v="242"/>
  </r>
  <r>
    <d v="2026-01-31T00:00:00"/>
    <x v="2"/>
    <x v="3"/>
    <n v="267"/>
  </r>
  <r>
    <d v="2026-01-01T00:00:00"/>
    <x v="0"/>
    <x v="4"/>
    <n v="90"/>
  </r>
  <r>
    <d v="2026-01-02T00:00:00"/>
    <x v="0"/>
    <x v="4"/>
    <n v="100"/>
  </r>
  <r>
    <d v="2026-01-03T00:00:00"/>
    <x v="0"/>
    <x v="4"/>
    <n v="30"/>
  </r>
  <r>
    <d v="2026-01-04T00:00:00"/>
    <x v="0"/>
    <x v="4"/>
    <n v="100"/>
  </r>
  <r>
    <d v="2026-01-05T00:00:00"/>
    <x v="0"/>
    <x v="4"/>
    <n v="92"/>
  </r>
  <r>
    <d v="2026-01-06T00:00:00"/>
    <x v="0"/>
    <x v="4"/>
    <n v="67"/>
  </r>
  <r>
    <d v="2026-01-07T00:00:00"/>
    <x v="0"/>
    <x v="4"/>
    <n v="31"/>
  </r>
  <r>
    <d v="2026-01-08T00:00:00"/>
    <x v="0"/>
    <x v="4"/>
    <n v="79"/>
  </r>
  <r>
    <d v="2026-01-09T00:00:00"/>
    <x v="0"/>
    <x v="4"/>
    <n v="117"/>
  </r>
  <r>
    <d v="2026-01-10T00:00:00"/>
    <x v="0"/>
    <x v="4"/>
    <n v="119"/>
  </r>
  <r>
    <d v="2026-01-11T00:00:00"/>
    <x v="0"/>
    <x v="4"/>
    <n v="80"/>
  </r>
  <r>
    <d v="2026-01-12T00:00:00"/>
    <x v="0"/>
    <x v="4"/>
    <n v="59"/>
  </r>
  <r>
    <d v="2026-01-13T00:00:00"/>
    <x v="0"/>
    <x v="4"/>
    <n v="89"/>
  </r>
  <r>
    <d v="2026-01-14T00:00:00"/>
    <x v="0"/>
    <x v="4"/>
    <n v="107"/>
  </r>
  <r>
    <d v="2026-01-15T00:00:00"/>
    <x v="0"/>
    <x v="4"/>
    <n v="90"/>
  </r>
  <r>
    <d v="2026-01-16T00:00:00"/>
    <x v="0"/>
    <x v="4"/>
    <n v="83"/>
  </r>
  <r>
    <d v="2026-01-17T00:00:00"/>
    <x v="0"/>
    <x v="4"/>
    <n v="30"/>
  </r>
  <r>
    <d v="2026-01-18T00:00:00"/>
    <x v="0"/>
    <x v="4"/>
    <n v="115"/>
  </r>
  <r>
    <d v="2026-01-19T00:00:00"/>
    <x v="0"/>
    <x v="4"/>
    <n v="95"/>
  </r>
  <r>
    <d v="2026-01-20T00:00:00"/>
    <x v="0"/>
    <x v="4"/>
    <n v="71"/>
  </r>
  <r>
    <d v="2026-01-21T00:00:00"/>
    <x v="0"/>
    <x v="4"/>
    <n v="119"/>
  </r>
  <r>
    <d v="2026-01-22T00:00:00"/>
    <x v="0"/>
    <x v="4"/>
    <n v="113"/>
  </r>
  <r>
    <d v="2026-01-23T00:00:00"/>
    <x v="0"/>
    <x v="4"/>
    <n v="81"/>
  </r>
  <r>
    <d v="2026-01-24T00:00:00"/>
    <x v="0"/>
    <x v="4"/>
    <n v="28"/>
  </r>
  <r>
    <d v="2026-01-25T00:00:00"/>
    <x v="0"/>
    <x v="4"/>
    <n v="45"/>
  </r>
  <r>
    <d v="2026-01-26T00:00:00"/>
    <x v="0"/>
    <x v="4"/>
    <n v="110"/>
  </r>
  <r>
    <d v="2026-01-27T00:00:00"/>
    <x v="0"/>
    <x v="4"/>
    <n v="61"/>
  </r>
  <r>
    <d v="2026-01-28T00:00:00"/>
    <x v="0"/>
    <x v="4"/>
    <n v="54"/>
  </r>
  <r>
    <d v="2026-01-29T00:00:00"/>
    <x v="0"/>
    <x v="4"/>
    <n v="73"/>
  </r>
  <r>
    <d v="2026-01-30T00:00:00"/>
    <x v="0"/>
    <x v="4"/>
    <n v="49"/>
  </r>
  <r>
    <d v="2026-01-31T00:00:00"/>
    <x v="0"/>
    <x v="4"/>
    <n v="81"/>
  </r>
  <r>
    <d v="2026-01-01T00:00:00"/>
    <x v="1"/>
    <x v="4"/>
    <n v="316"/>
  </r>
  <r>
    <d v="2026-01-02T00:00:00"/>
    <x v="1"/>
    <x v="4"/>
    <n v="433"/>
  </r>
  <r>
    <d v="2026-01-03T00:00:00"/>
    <x v="1"/>
    <x v="4"/>
    <n v="632"/>
  </r>
  <r>
    <d v="2026-01-04T00:00:00"/>
    <x v="1"/>
    <x v="4"/>
    <n v="747"/>
  </r>
  <r>
    <d v="2026-01-05T00:00:00"/>
    <x v="1"/>
    <x v="4"/>
    <n v="688"/>
  </r>
  <r>
    <d v="2026-01-06T00:00:00"/>
    <x v="1"/>
    <x v="4"/>
    <n v="300"/>
  </r>
  <r>
    <d v="2026-01-07T00:00:00"/>
    <x v="1"/>
    <x v="4"/>
    <n v="367"/>
  </r>
  <r>
    <d v="2026-01-08T00:00:00"/>
    <x v="1"/>
    <x v="4"/>
    <n v="250"/>
  </r>
  <r>
    <d v="2026-01-09T00:00:00"/>
    <x v="1"/>
    <x v="4"/>
    <n v="711"/>
  </r>
  <r>
    <d v="2026-01-10T00:00:00"/>
    <x v="1"/>
    <x v="4"/>
    <n v="508"/>
  </r>
  <r>
    <d v="2026-01-11T00:00:00"/>
    <x v="1"/>
    <x v="4"/>
    <n v="403"/>
  </r>
  <r>
    <d v="2026-01-12T00:00:00"/>
    <x v="1"/>
    <x v="4"/>
    <n v="310"/>
  </r>
  <r>
    <d v="2026-01-13T00:00:00"/>
    <x v="1"/>
    <x v="4"/>
    <n v="339"/>
  </r>
  <r>
    <d v="2026-01-14T00:00:00"/>
    <x v="1"/>
    <x v="4"/>
    <n v="727"/>
  </r>
  <r>
    <d v="2026-01-15T00:00:00"/>
    <x v="1"/>
    <x v="4"/>
    <n v="399"/>
  </r>
  <r>
    <d v="2026-01-16T00:00:00"/>
    <x v="1"/>
    <x v="4"/>
    <n v="707"/>
  </r>
  <r>
    <d v="2026-01-17T00:00:00"/>
    <x v="1"/>
    <x v="4"/>
    <n v="409"/>
  </r>
  <r>
    <d v="2026-01-18T00:00:00"/>
    <x v="1"/>
    <x v="4"/>
    <n v="281"/>
  </r>
  <r>
    <d v="2026-01-19T00:00:00"/>
    <x v="1"/>
    <x v="4"/>
    <n v="426"/>
  </r>
  <r>
    <d v="2026-01-20T00:00:00"/>
    <x v="1"/>
    <x v="4"/>
    <n v="760"/>
  </r>
  <r>
    <d v="2026-01-21T00:00:00"/>
    <x v="1"/>
    <x v="4"/>
    <n v="471"/>
  </r>
  <r>
    <d v="2026-01-22T00:00:00"/>
    <x v="1"/>
    <x v="4"/>
    <n v="664"/>
  </r>
  <r>
    <d v="2026-01-23T00:00:00"/>
    <x v="1"/>
    <x v="4"/>
    <n v="585"/>
  </r>
  <r>
    <d v="2026-01-24T00:00:00"/>
    <x v="1"/>
    <x v="4"/>
    <n v="567"/>
  </r>
  <r>
    <d v="2026-01-25T00:00:00"/>
    <x v="1"/>
    <x v="4"/>
    <n v="750"/>
  </r>
  <r>
    <d v="2026-01-26T00:00:00"/>
    <x v="1"/>
    <x v="4"/>
    <n v="306"/>
  </r>
  <r>
    <d v="2026-01-27T00:00:00"/>
    <x v="1"/>
    <x v="4"/>
    <n v="322"/>
  </r>
  <r>
    <d v="2026-01-28T00:00:00"/>
    <x v="1"/>
    <x v="4"/>
    <n v="516"/>
  </r>
  <r>
    <d v="2026-01-29T00:00:00"/>
    <x v="1"/>
    <x v="4"/>
    <n v="631"/>
  </r>
  <r>
    <d v="2026-01-30T00:00:00"/>
    <x v="1"/>
    <x v="4"/>
    <n v="550"/>
  </r>
  <r>
    <d v="2026-01-31T00:00:00"/>
    <x v="1"/>
    <x v="4"/>
    <n v="261"/>
  </r>
  <r>
    <d v="2026-01-01T00:00:00"/>
    <x v="2"/>
    <x v="4"/>
    <n v="274"/>
  </r>
  <r>
    <d v="2026-01-02T00:00:00"/>
    <x v="2"/>
    <x v="4"/>
    <n v="271"/>
  </r>
  <r>
    <d v="2026-01-03T00:00:00"/>
    <x v="2"/>
    <x v="4"/>
    <n v="272"/>
  </r>
  <r>
    <d v="2026-01-04T00:00:00"/>
    <x v="2"/>
    <x v="4"/>
    <n v="181"/>
  </r>
  <r>
    <d v="2026-01-05T00:00:00"/>
    <x v="2"/>
    <x v="4"/>
    <n v="183"/>
  </r>
  <r>
    <d v="2026-01-06T00:00:00"/>
    <x v="2"/>
    <x v="4"/>
    <n v="169"/>
  </r>
  <r>
    <d v="2026-01-07T00:00:00"/>
    <x v="2"/>
    <x v="4"/>
    <n v="165"/>
  </r>
  <r>
    <d v="2026-01-08T00:00:00"/>
    <x v="2"/>
    <x v="4"/>
    <n v="233"/>
  </r>
  <r>
    <d v="2026-01-09T00:00:00"/>
    <x v="2"/>
    <x v="4"/>
    <n v="165"/>
  </r>
  <r>
    <d v="2026-01-10T00:00:00"/>
    <x v="2"/>
    <x v="4"/>
    <n v="178"/>
  </r>
  <r>
    <d v="2026-01-11T00:00:00"/>
    <x v="2"/>
    <x v="4"/>
    <n v="284"/>
  </r>
  <r>
    <d v="2026-01-12T00:00:00"/>
    <x v="2"/>
    <x v="4"/>
    <n v="197"/>
  </r>
  <r>
    <d v="2026-01-13T00:00:00"/>
    <x v="2"/>
    <x v="4"/>
    <n v="105"/>
  </r>
  <r>
    <d v="2026-01-14T00:00:00"/>
    <x v="2"/>
    <x v="4"/>
    <n v="228"/>
  </r>
  <r>
    <d v="2026-01-15T00:00:00"/>
    <x v="2"/>
    <x v="4"/>
    <n v="204"/>
  </r>
  <r>
    <d v="2026-01-16T00:00:00"/>
    <x v="2"/>
    <x v="4"/>
    <n v="294"/>
  </r>
  <r>
    <d v="2026-01-17T00:00:00"/>
    <x v="2"/>
    <x v="4"/>
    <n v="281"/>
  </r>
  <r>
    <d v="2026-01-18T00:00:00"/>
    <x v="2"/>
    <x v="4"/>
    <n v="239"/>
  </r>
  <r>
    <d v="2026-01-19T00:00:00"/>
    <x v="2"/>
    <x v="4"/>
    <n v="277"/>
  </r>
  <r>
    <d v="2026-01-20T00:00:00"/>
    <x v="2"/>
    <x v="4"/>
    <n v="271"/>
  </r>
  <r>
    <d v="2026-01-21T00:00:00"/>
    <x v="2"/>
    <x v="4"/>
    <n v="300"/>
  </r>
  <r>
    <d v="2026-01-22T00:00:00"/>
    <x v="2"/>
    <x v="4"/>
    <n v="247"/>
  </r>
  <r>
    <d v="2026-01-23T00:00:00"/>
    <x v="2"/>
    <x v="4"/>
    <n v="105"/>
  </r>
  <r>
    <d v="2026-01-24T00:00:00"/>
    <x v="2"/>
    <x v="4"/>
    <n v="178"/>
  </r>
  <r>
    <d v="2026-01-25T00:00:00"/>
    <x v="2"/>
    <x v="4"/>
    <n v="173"/>
  </r>
  <r>
    <d v="2026-01-26T00:00:00"/>
    <x v="2"/>
    <x v="4"/>
    <n v="245"/>
  </r>
  <r>
    <d v="2026-01-27T00:00:00"/>
    <x v="2"/>
    <x v="4"/>
    <n v="245"/>
  </r>
  <r>
    <d v="2026-01-28T00:00:00"/>
    <x v="2"/>
    <x v="4"/>
    <n v="116"/>
  </r>
  <r>
    <d v="2026-01-29T00:00:00"/>
    <x v="2"/>
    <x v="4"/>
    <n v="212"/>
  </r>
  <r>
    <d v="2026-01-30T00:00:00"/>
    <x v="2"/>
    <x v="4"/>
    <n v="182"/>
  </r>
  <r>
    <d v="2026-01-31T00:00:00"/>
    <x v="2"/>
    <x v="4"/>
    <n v="1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x v="0"/>
    <x v="0"/>
    <x v="0"/>
    <n v="83"/>
    <x v="0"/>
  </r>
  <r>
    <x v="1"/>
    <x v="0"/>
    <x v="0"/>
    <n v="63"/>
    <x v="0"/>
  </r>
  <r>
    <x v="2"/>
    <x v="0"/>
    <x v="0"/>
    <n v="54"/>
    <x v="0"/>
  </r>
  <r>
    <x v="3"/>
    <x v="0"/>
    <x v="0"/>
    <n v="99"/>
    <x v="0"/>
  </r>
  <r>
    <x v="4"/>
    <x v="0"/>
    <x v="0"/>
    <n v="52"/>
    <x v="0"/>
  </r>
  <r>
    <x v="5"/>
    <x v="0"/>
    <x v="0"/>
    <n v="101"/>
    <x v="0"/>
  </r>
  <r>
    <x v="6"/>
    <x v="0"/>
    <x v="0"/>
    <n v="85"/>
    <x v="0"/>
  </r>
  <r>
    <x v="7"/>
    <x v="0"/>
    <x v="0"/>
    <n v="75"/>
    <x v="1"/>
  </r>
  <r>
    <x v="8"/>
    <x v="0"/>
    <x v="0"/>
    <n v="94"/>
    <x v="1"/>
  </r>
  <r>
    <x v="9"/>
    <x v="0"/>
    <x v="0"/>
    <n v="28"/>
    <x v="1"/>
  </r>
  <r>
    <x v="10"/>
    <x v="0"/>
    <x v="0"/>
    <n v="72"/>
    <x v="1"/>
  </r>
  <r>
    <x v="11"/>
    <x v="0"/>
    <x v="0"/>
    <n v="63"/>
    <x v="1"/>
  </r>
  <r>
    <x v="12"/>
    <x v="0"/>
    <x v="0"/>
    <n v="106"/>
    <x v="1"/>
  </r>
  <r>
    <x v="13"/>
    <x v="0"/>
    <x v="0"/>
    <n v="92"/>
    <x v="1"/>
  </r>
  <r>
    <x v="14"/>
    <x v="0"/>
    <x v="0"/>
    <n v="113"/>
    <x v="2"/>
  </r>
  <r>
    <x v="15"/>
    <x v="0"/>
    <x v="0"/>
    <n v="120"/>
    <x v="2"/>
  </r>
  <r>
    <x v="16"/>
    <x v="0"/>
    <x v="0"/>
    <n v="58"/>
    <x v="2"/>
  </r>
  <r>
    <x v="17"/>
    <x v="0"/>
    <x v="0"/>
    <n v="47"/>
    <x v="2"/>
  </r>
  <r>
    <x v="18"/>
    <x v="0"/>
    <x v="0"/>
    <n v="61"/>
    <x v="2"/>
  </r>
  <r>
    <x v="19"/>
    <x v="0"/>
    <x v="0"/>
    <n v="105"/>
    <x v="2"/>
  </r>
  <r>
    <x v="20"/>
    <x v="0"/>
    <x v="0"/>
    <n v="78"/>
    <x v="2"/>
  </r>
  <r>
    <x v="21"/>
    <x v="0"/>
    <x v="0"/>
    <n v="39"/>
    <x v="2"/>
  </r>
  <r>
    <x v="22"/>
    <x v="0"/>
    <x v="0"/>
    <n v="79"/>
    <x v="3"/>
  </r>
  <r>
    <x v="23"/>
    <x v="0"/>
    <x v="0"/>
    <n v="79"/>
    <x v="3"/>
  </r>
  <r>
    <x v="24"/>
    <x v="0"/>
    <x v="0"/>
    <n v="91"/>
    <x v="3"/>
  </r>
  <r>
    <x v="25"/>
    <x v="0"/>
    <x v="0"/>
    <n v="35"/>
    <x v="3"/>
  </r>
  <r>
    <x v="26"/>
    <x v="0"/>
    <x v="0"/>
    <n v="25"/>
    <x v="3"/>
  </r>
  <r>
    <x v="27"/>
    <x v="0"/>
    <x v="0"/>
    <n v="52"/>
    <x v="3"/>
  </r>
  <r>
    <x v="28"/>
    <x v="0"/>
    <x v="0"/>
    <n v="87"/>
    <x v="3"/>
  </r>
  <r>
    <x v="29"/>
    <x v="0"/>
    <x v="0"/>
    <n v="95"/>
    <x v="4"/>
  </r>
  <r>
    <x v="30"/>
    <x v="0"/>
    <x v="0"/>
    <n v="108"/>
    <x v="4"/>
  </r>
  <r>
    <x v="0"/>
    <x v="1"/>
    <x v="0"/>
    <n v="289"/>
    <x v="0"/>
  </r>
  <r>
    <x v="1"/>
    <x v="1"/>
    <x v="0"/>
    <n v="520"/>
    <x v="0"/>
  </r>
  <r>
    <x v="2"/>
    <x v="1"/>
    <x v="0"/>
    <n v="323"/>
    <x v="0"/>
  </r>
  <r>
    <x v="3"/>
    <x v="1"/>
    <x v="0"/>
    <n v="502"/>
    <x v="0"/>
  </r>
  <r>
    <x v="4"/>
    <x v="1"/>
    <x v="0"/>
    <n v="631"/>
    <x v="0"/>
  </r>
  <r>
    <x v="5"/>
    <x v="1"/>
    <x v="0"/>
    <n v="706"/>
    <x v="0"/>
  </r>
  <r>
    <x v="6"/>
    <x v="1"/>
    <x v="0"/>
    <n v="276"/>
    <x v="0"/>
  </r>
  <r>
    <x v="7"/>
    <x v="1"/>
    <x v="0"/>
    <n v="550"/>
    <x v="1"/>
  </r>
  <r>
    <x v="8"/>
    <x v="1"/>
    <x v="0"/>
    <n v="312"/>
    <x v="1"/>
  </r>
  <r>
    <x v="9"/>
    <x v="1"/>
    <x v="0"/>
    <n v="413"/>
    <x v="1"/>
  </r>
  <r>
    <x v="10"/>
    <x v="1"/>
    <x v="0"/>
    <n v="794"/>
    <x v="1"/>
  </r>
  <r>
    <x v="11"/>
    <x v="1"/>
    <x v="0"/>
    <n v="593"/>
    <x v="1"/>
  </r>
  <r>
    <x v="12"/>
    <x v="1"/>
    <x v="0"/>
    <n v="389"/>
    <x v="1"/>
  </r>
  <r>
    <x v="13"/>
    <x v="1"/>
    <x v="0"/>
    <n v="254"/>
    <x v="1"/>
  </r>
  <r>
    <x v="14"/>
    <x v="1"/>
    <x v="0"/>
    <n v="757"/>
    <x v="2"/>
  </r>
  <r>
    <x v="15"/>
    <x v="1"/>
    <x v="0"/>
    <n v="492"/>
    <x v="2"/>
  </r>
  <r>
    <x v="16"/>
    <x v="1"/>
    <x v="0"/>
    <n v="709"/>
    <x v="2"/>
  </r>
  <r>
    <x v="17"/>
    <x v="1"/>
    <x v="0"/>
    <n v="353"/>
    <x v="2"/>
  </r>
  <r>
    <x v="18"/>
    <x v="1"/>
    <x v="0"/>
    <n v="724"/>
    <x v="2"/>
  </r>
  <r>
    <x v="19"/>
    <x v="1"/>
    <x v="0"/>
    <n v="331"/>
    <x v="2"/>
  </r>
  <r>
    <x v="20"/>
    <x v="1"/>
    <x v="0"/>
    <n v="439"/>
    <x v="2"/>
  </r>
  <r>
    <x v="21"/>
    <x v="1"/>
    <x v="0"/>
    <n v="262"/>
    <x v="2"/>
  </r>
  <r>
    <x v="22"/>
    <x v="1"/>
    <x v="0"/>
    <n v="267"/>
    <x v="3"/>
  </r>
  <r>
    <x v="23"/>
    <x v="1"/>
    <x v="0"/>
    <n v="494"/>
    <x v="3"/>
  </r>
  <r>
    <x v="24"/>
    <x v="1"/>
    <x v="0"/>
    <n v="435"/>
    <x v="3"/>
  </r>
  <r>
    <x v="25"/>
    <x v="1"/>
    <x v="0"/>
    <n v="460"/>
    <x v="3"/>
  </r>
  <r>
    <x v="26"/>
    <x v="1"/>
    <x v="0"/>
    <n v="366"/>
    <x v="3"/>
  </r>
  <r>
    <x v="27"/>
    <x v="1"/>
    <x v="0"/>
    <n v="581"/>
    <x v="3"/>
  </r>
  <r>
    <x v="28"/>
    <x v="1"/>
    <x v="0"/>
    <n v="458"/>
    <x v="3"/>
  </r>
  <r>
    <x v="29"/>
    <x v="1"/>
    <x v="0"/>
    <n v="279"/>
    <x v="4"/>
  </r>
  <r>
    <x v="30"/>
    <x v="1"/>
    <x v="0"/>
    <n v="734"/>
    <x v="4"/>
  </r>
  <r>
    <x v="0"/>
    <x v="2"/>
    <x v="0"/>
    <n v="188"/>
    <x v="0"/>
  </r>
  <r>
    <x v="1"/>
    <x v="2"/>
    <x v="0"/>
    <n v="262"/>
    <x v="0"/>
  </r>
  <r>
    <x v="2"/>
    <x v="2"/>
    <x v="0"/>
    <n v="191"/>
    <x v="0"/>
  </r>
  <r>
    <x v="3"/>
    <x v="2"/>
    <x v="0"/>
    <n v="256"/>
    <x v="0"/>
  </r>
  <r>
    <x v="4"/>
    <x v="2"/>
    <x v="0"/>
    <n v="263"/>
    <x v="0"/>
  </r>
  <r>
    <x v="5"/>
    <x v="2"/>
    <x v="0"/>
    <n v="204"/>
    <x v="0"/>
  </r>
  <r>
    <x v="6"/>
    <x v="2"/>
    <x v="0"/>
    <n v="255"/>
    <x v="0"/>
  </r>
  <r>
    <x v="7"/>
    <x v="2"/>
    <x v="0"/>
    <n v="244"/>
    <x v="1"/>
  </r>
  <r>
    <x v="8"/>
    <x v="2"/>
    <x v="0"/>
    <n v="157"/>
    <x v="1"/>
  </r>
  <r>
    <x v="9"/>
    <x v="2"/>
    <x v="0"/>
    <n v="169"/>
    <x v="1"/>
  </r>
  <r>
    <x v="10"/>
    <x v="2"/>
    <x v="0"/>
    <n v="227"/>
    <x v="1"/>
  </r>
  <r>
    <x v="11"/>
    <x v="2"/>
    <x v="0"/>
    <n v="174"/>
    <x v="1"/>
  </r>
  <r>
    <x v="12"/>
    <x v="2"/>
    <x v="0"/>
    <n v="250"/>
    <x v="1"/>
  </r>
  <r>
    <x v="13"/>
    <x v="2"/>
    <x v="0"/>
    <n v="117"/>
    <x v="1"/>
  </r>
  <r>
    <x v="14"/>
    <x v="2"/>
    <x v="0"/>
    <n v="161"/>
    <x v="2"/>
  </r>
  <r>
    <x v="15"/>
    <x v="2"/>
    <x v="0"/>
    <n v="277"/>
    <x v="2"/>
  </r>
  <r>
    <x v="16"/>
    <x v="2"/>
    <x v="0"/>
    <n v="274"/>
    <x v="2"/>
  </r>
  <r>
    <x v="17"/>
    <x v="2"/>
    <x v="0"/>
    <n v="262"/>
    <x v="2"/>
  </r>
  <r>
    <x v="18"/>
    <x v="2"/>
    <x v="0"/>
    <n v="202"/>
    <x v="2"/>
  </r>
  <r>
    <x v="19"/>
    <x v="2"/>
    <x v="0"/>
    <n v="245"/>
    <x v="2"/>
  </r>
  <r>
    <x v="20"/>
    <x v="2"/>
    <x v="0"/>
    <n v="191"/>
    <x v="2"/>
  </r>
  <r>
    <x v="21"/>
    <x v="2"/>
    <x v="0"/>
    <n v="125"/>
    <x v="2"/>
  </r>
  <r>
    <x v="22"/>
    <x v="2"/>
    <x v="0"/>
    <n v="203"/>
    <x v="3"/>
  </r>
  <r>
    <x v="23"/>
    <x v="2"/>
    <x v="0"/>
    <n v="243"/>
    <x v="3"/>
  </r>
  <r>
    <x v="24"/>
    <x v="2"/>
    <x v="0"/>
    <n v="234"/>
    <x v="3"/>
  </r>
  <r>
    <x v="25"/>
    <x v="2"/>
    <x v="0"/>
    <n v="200"/>
    <x v="3"/>
  </r>
  <r>
    <x v="26"/>
    <x v="2"/>
    <x v="0"/>
    <n v="275"/>
    <x v="3"/>
  </r>
  <r>
    <x v="27"/>
    <x v="2"/>
    <x v="0"/>
    <n v="285"/>
    <x v="3"/>
  </r>
  <r>
    <x v="28"/>
    <x v="2"/>
    <x v="0"/>
    <n v="258"/>
    <x v="3"/>
  </r>
  <r>
    <x v="29"/>
    <x v="2"/>
    <x v="0"/>
    <n v="166"/>
    <x v="4"/>
  </r>
  <r>
    <x v="30"/>
    <x v="2"/>
    <x v="0"/>
    <n v="130"/>
    <x v="4"/>
  </r>
  <r>
    <x v="0"/>
    <x v="0"/>
    <x v="1"/>
    <n v="56"/>
    <x v="0"/>
  </r>
  <r>
    <x v="1"/>
    <x v="0"/>
    <x v="1"/>
    <n v="37"/>
    <x v="0"/>
  </r>
  <r>
    <x v="2"/>
    <x v="0"/>
    <x v="1"/>
    <n v="39"/>
    <x v="0"/>
  </r>
  <r>
    <x v="3"/>
    <x v="0"/>
    <x v="1"/>
    <n v="114"/>
    <x v="0"/>
  </r>
  <r>
    <x v="4"/>
    <x v="0"/>
    <x v="1"/>
    <n v="105"/>
    <x v="0"/>
  </r>
  <r>
    <x v="5"/>
    <x v="0"/>
    <x v="1"/>
    <n v="67"/>
    <x v="0"/>
  </r>
  <r>
    <x v="6"/>
    <x v="0"/>
    <x v="1"/>
    <n v="71"/>
    <x v="0"/>
  </r>
  <r>
    <x v="7"/>
    <x v="0"/>
    <x v="1"/>
    <n v="104"/>
    <x v="1"/>
  </r>
  <r>
    <x v="8"/>
    <x v="0"/>
    <x v="1"/>
    <n v="99"/>
    <x v="1"/>
  </r>
  <r>
    <x v="9"/>
    <x v="0"/>
    <x v="1"/>
    <n v="42"/>
    <x v="1"/>
  </r>
  <r>
    <x v="10"/>
    <x v="0"/>
    <x v="1"/>
    <n v="119"/>
    <x v="1"/>
  </r>
  <r>
    <x v="11"/>
    <x v="0"/>
    <x v="1"/>
    <n v="85"/>
    <x v="1"/>
  </r>
  <r>
    <x v="12"/>
    <x v="0"/>
    <x v="1"/>
    <n v="61"/>
    <x v="1"/>
  </r>
  <r>
    <x v="13"/>
    <x v="0"/>
    <x v="1"/>
    <n v="70"/>
    <x v="1"/>
  </r>
  <r>
    <x v="14"/>
    <x v="0"/>
    <x v="1"/>
    <n v="101"/>
    <x v="2"/>
  </r>
  <r>
    <x v="15"/>
    <x v="0"/>
    <x v="1"/>
    <n v="111"/>
    <x v="2"/>
  </r>
  <r>
    <x v="16"/>
    <x v="0"/>
    <x v="1"/>
    <n v="30"/>
    <x v="2"/>
  </r>
  <r>
    <x v="17"/>
    <x v="0"/>
    <x v="1"/>
    <n v="32"/>
    <x v="2"/>
  </r>
  <r>
    <x v="18"/>
    <x v="0"/>
    <x v="1"/>
    <n v="99"/>
    <x v="2"/>
  </r>
  <r>
    <x v="19"/>
    <x v="0"/>
    <x v="1"/>
    <n v="99"/>
    <x v="2"/>
  </r>
  <r>
    <x v="20"/>
    <x v="0"/>
    <x v="1"/>
    <n v="112"/>
    <x v="2"/>
  </r>
  <r>
    <x v="21"/>
    <x v="0"/>
    <x v="1"/>
    <n v="86"/>
    <x v="2"/>
  </r>
  <r>
    <x v="22"/>
    <x v="0"/>
    <x v="1"/>
    <n v="119"/>
    <x v="3"/>
  </r>
  <r>
    <x v="23"/>
    <x v="0"/>
    <x v="1"/>
    <n v="71"/>
    <x v="3"/>
  </r>
  <r>
    <x v="24"/>
    <x v="0"/>
    <x v="1"/>
    <n v="69"/>
    <x v="3"/>
  </r>
  <r>
    <x v="25"/>
    <x v="0"/>
    <x v="1"/>
    <n v="83"/>
    <x v="3"/>
  </r>
  <r>
    <x v="26"/>
    <x v="0"/>
    <x v="1"/>
    <n v="75"/>
    <x v="3"/>
  </r>
  <r>
    <x v="27"/>
    <x v="0"/>
    <x v="1"/>
    <n v="88"/>
    <x v="3"/>
  </r>
  <r>
    <x v="28"/>
    <x v="0"/>
    <x v="1"/>
    <n v="105"/>
    <x v="3"/>
  </r>
  <r>
    <x v="29"/>
    <x v="0"/>
    <x v="1"/>
    <n v="75"/>
    <x v="4"/>
  </r>
  <r>
    <x v="30"/>
    <x v="0"/>
    <x v="1"/>
    <n v="110"/>
    <x v="4"/>
  </r>
  <r>
    <x v="0"/>
    <x v="1"/>
    <x v="1"/>
    <n v="440"/>
    <x v="0"/>
  </r>
  <r>
    <x v="1"/>
    <x v="1"/>
    <x v="1"/>
    <n v="642"/>
    <x v="0"/>
  </r>
  <r>
    <x v="2"/>
    <x v="1"/>
    <x v="1"/>
    <n v="368"/>
    <x v="0"/>
  </r>
  <r>
    <x v="3"/>
    <x v="1"/>
    <x v="1"/>
    <n v="649"/>
    <x v="0"/>
  </r>
  <r>
    <x v="4"/>
    <x v="1"/>
    <x v="1"/>
    <n v="331"/>
    <x v="0"/>
  </r>
  <r>
    <x v="5"/>
    <x v="1"/>
    <x v="1"/>
    <n v="361"/>
    <x v="0"/>
  </r>
  <r>
    <x v="6"/>
    <x v="1"/>
    <x v="1"/>
    <n v="531"/>
    <x v="0"/>
  </r>
  <r>
    <x v="7"/>
    <x v="1"/>
    <x v="1"/>
    <n v="704"/>
    <x v="1"/>
  </r>
  <r>
    <x v="8"/>
    <x v="1"/>
    <x v="1"/>
    <n v="679"/>
    <x v="1"/>
  </r>
  <r>
    <x v="9"/>
    <x v="1"/>
    <x v="1"/>
    <n v="482"/>
    <x v="1"/>
  </r>
  <r>
    <x v="10"/>
    <x v="1"/>
    <x v="1"/>
    <n v="636"/>
    <x v="1"/>
  </r>
  <r>
    <x v="11"/>
    <x v="1"/>
    <x v="1"/>
    <n v="711"/>
    <x v="1"/>
  </r>
  <r>
    <x v="12"/>
    <x v="1"/>
    <x v="1"/>
    <n v="713"/>
    <x v="1"/>
  </r>
  <r>
    <x v="13"/>
    <x v="1"/>
    <x v="1"/>
    <n v="389"/>
    <x v="1"/>
  </r>
  <r>
    <x v="14"/>
    <x v="1"/>
    <x v="1"/>
    <n v="444"/>
    <x v="2"/>
  </r>
  <r>
    <x v="15"/>
    <x v="1"/>
    <x v="1"/>
    <n v="655"/>
    <x v="2"/>
  </r>
  <r>
    <x v="16"/>
    <x v="1"/>
    <x v="1"/>
    <n v="711"/>
    <x v="2"/>
  </r>
  <r>
    <x v="17"/>
    <x v="1"/>
    <x v="1"/>
    <n v="448"/>
    <x v="2"/>
  </r>
  <r>
    <x v="18"/>
    <x v="1"/>
    <x v="1"/>
    <n v="717"/>
    <x v="2"/>
  </r>
  <r>
    <x v="19"/>
    <x v="1"/>
    <x v="1"/>
    <n v="608"/>
    <x v="2"/>
  </r>
  <r>
    <x v="20"/>
    <x v="1"/>
    <x v="1"/>
    <n v="447"/>
    <x v="2"/>
  </r>
  <r>
    <x v="21"/>
    <x v="1"/>
    <x v="1"/>
    <n v="546"/>
    <x v="2"/>
  </r>
  <r>
    <x v="22"/>
    <x v="1"/>
    <x v="1"/>
    <n v="342"/>
    <x v="3"/>
  </r>
  <r>
    <x v="23"/>
    <x v="1"/>
    <x v="1"/>
    <n v="640"/>
    <x v="3"/>
  </r>
  <r>
    <x v="24"/>
    <x v="1"/>
    <x v="1"/>
    <n v="698"/>
    <x v="3"/>
  </r>
  <r>
    <x v="25"/>
    <x v="1"/>
    <x v="1"/>
    <n v="691"/>
    <x v="3"/>
  </r>
  <r>
    <x v="26"/>
    <x v="1"/>
    <x v="1"/>
    <n v="553"/>
    <x v="3"/>
  </r>
  <r>
    <x v="27"/>
    <x v="1"/>
    <x v="1"/>
    <n v="435"/>
    <x v="3"/>
  </r>
  <r>
    <x v="28"/>
    <x v="1"/>
    <x v="1"/>
    <n v="602"/>
    <x v="3"/>
  </r>
  <r>
    <x v="29"/>
    <x v="1"/>
    <x v="1"/>
    <n v="473"/>
    <x v="4"/>
  </r>
  <r>
    <x v="30"/>
    <x v="1"/>
    <x v="1"/>
    <n v="522"/>
    <x v="4"/>
  </r>
  <r>
    <x v="0"/>
    <x v="2"/>
    <x v="1"/>
    <n v="126"/>
    <x v="0"/>
  </r>
  <r>
    <x v="1"/>
    <x v="2"/>
    <x v="1"/>
    <n v="140"/>
    <x v="0"/>
  </r>
  <r>
    <x v="2"/>
    <x v="2"/>
    <x v="1"/>
    <n v="137"/>
    <x v="0"/>
  </r>
  <r>
    <x v="3"/>
    <x v="2"/>
    <x v="1"/>
    <n v="112"/>
    <x v="0"/>
  </r>
  <r>
    <x v="4"/>
    <x v="2"/>
    <x v="1"/>
    <n v="202"/>
    <x v="0"/>
  </r>
  <r>
    <x v="5"/>
    <x v="2"/>
    <x v="1"/>
    <n v="272"/>
    <x v="0"/>
  </r>
  <r>
    <x v="6"/>
    <x v="2"/>
    <x v="1"/>
    <n v="218"/>
    <x v="0"/>
  </r>
  <r>
    <x v="7"/>
    <x v="2"/>
    <x v="1"/>
    <n v="139"/>
    <x v="1"/>
  </r>
  <r>
    <x v="8"/>
    <x v="2"/>
    <x v="1"/>
    <n v="248"/>
    <x v="1"/>
  </r>
  <r>
    <x v="9"/>
    <x v="2"/>
    <x v="1"/>
    <n v="200"/>
    <x v="1"/>
  </r>
  <r>
    <x v="10"/>
    <x v="2"/>
    <x v="1"/>
    <n v="256"/>
    <x v="1"/>
  </r>
  <r>
    <x v="11"/>
    <x v="2"/>
    <x v="1"/>
    <n v="181"/>
    <x v="1"/>
  </r>
  <r>
    <x v="12"/>
    <x v="2"/>
    <x v="1"/>
    <n v="161"/>
    <x v="1"/>
  </r>
  <r>
    <x v="13"/>
    <x v="2"/>
    <x v="1"/>
    <n v="119"/>
    <x v="1"/>
  </r>
  <r>
    <x v="14"/>
    <x v="2"/>
    <x v="1"/>
    <n v="144"/>
    <x v="2"/>
  </r>
  <r>
    <x v="15"/>
    <x v="2"/>
    <x v="1"/>
    <n v="211"/>
    <x v="2"/>
  </r>
  <r>
    <x v="16"/>
    <x v="2"/>
    <x v="1"/>
    <n v="292"/>
    <x v="2"/>
  </r>
  <r>
    <x v="17"/>
    <x v="2"/>
    <x v="1"/>
    <n v="260"/>
    <x v="2"/>
  </r>
  <r>
    <x v="18"/>
    <x v="2"/>
    <x v="1"/>
    <n v="271"/>
    <x v="2"/>
  </r>
  <r>
    <x v="19"/>
    <x v="2"/>
    <x v="1"/>
    <n v="262"/>
    <x v="2"/>
  </r>
  <r>
    <x v="20"/>
    <x v="2"/>
    <x v="1"/>
    <n v="157"/>
    <x v="2"/>
  </r>
  <r>
    <x v="21"/>
    <x v="2"/>
    <x v="1"/>
    <n v="251"/>
    <x v="2"/>
  </r>
  <r>
    <x v="22"/>
    <x v="2"/>
    <x v="1"/>
    <n v="148"/>
    <x v="3"/>
  </r>
  <r>
    <x v="23"/>
    <x v="2"/>
    <x v="1"/>
    <n v="167"/>
    <x v="3"/>
  </r>
  <r>
    <x v="24"/>
    <x v="2"/>
    <x v="1"/>
    <n v="169"/>
    <x v="3"/>
  </r>
  <r>
    <x v="25"/>
    <x v="2"/>
    <x v="1"/>
    <n v="120"/>
    <x v="3"/>
  </r>
  <r>
    <x v="26"/>
    <x v="2"/>
    <x v="1"/>
    <n v="150"/>
    <x v="3"/>
  </r>
  <r>
    <x v="27"/>
    <x v="2"/>
    <x v="1"/>
    <n v="285"/>
    <x v="3"/>
  </r>
  <r>
    <x v="28"/>
    <x v="2"/>
    <x v="1"/>
    <n v="229"/>
    <x v="3"/>
  </r>
  <r>
    <x v="29"/>
    <x v="2"/>
    <x v="1"/>
    <n v="173"/>
    <x v="4"/>
  </r>
  <r>
    <x v="30"/>
    <x v="2"/>
    <x v="1"/>
    <n v="210"/>
    <x v="4"/>
  </r>
  <r>
    <x v="0"/>
    <x v="0"/>
    <x v="2"/>
    <n v="49"/>
    <x v="0"/>
  </r>
  <r>
    <x v="1"/>
    <x v="0"/>
    <x v="2"/>
    <n v="25"/>
    <x v="0"/>
  </r>
  <r>
    <x v="2"/>
    <x v="0"/>
    <x v="2"/>
    <n v="74"/>
    <x v="0"/>
  </r>
  <r>
    <x v="3"/>
    <x v="0"/>
    <x v="2"/>
    <n v="25"/>
    <x v="0"/>
  </r>
  <r>
    <x v="4"/>
    <x v="0"/>
    <x v="2"/>
    <n v="94"/>
    <x v="0"/>
  </r>
  <r>
    <x v="5"/>
    <x v="0"/>
    <x v="2"/>
    <n v="108"/>
    <x v="0"/>
  </r>
  <r>
    <x v="6"/>
    <x v="0"/>
    <x v="2"/>
    <n v="66"/>
    <x v="0"/>
  </r>
  <r>
    <x v="7"/>
    <x v="0"/>
    <x v="2"/>
    <n v="42"/>
    <x v="1"/>
  </r>
  <r>
    <x v="8"/>
    <x v="0"/>
    <x v="2"/>
    <n v="87"/>
    <x v="1"/>
  </r>
  <r>
    <x v="9"/>
    <x v="0"/>
    <x v="2"/>
    <n v="90"/>
    <x v="1"/>
  </r>
  <r>
    <x v="10"/>
    <x v="0"/>
    <x v="2"/>
    <n v="57"/>
    <x v="1"/>
  </r>
  <r>
    <x v="11"/>
    <x v="0"/>
    <x v="2"/>
    <n v="63"/>
    <x v="1"/>
  </r>
  <r>
    <x v="12"/>
    <x v="0"/>
    <x v="2"/>
    <n v="70"/>
    <x v="1"/>
  </r>
  <r>
    <x v="13"/>
    <x v="0"/>
    <x v="2"/>
    <n v="33"/>
    <x v="1"/>
  </r>
  <r>
    <x v="14"/>
    <x v="0"/>
    <x v="2"/>
    <n v="45"/>
    <x v="2"/>
  </r>
  <r>
    <x v="15"/>
    <x v="0"/>
    <x v="2"/>
    <n v="109"/>
    <x v="2"/>
  </r>
  <r>
    <x v="16"/>
    <x v="0"/>
    <x v="2"/>
    <n v="64"/>
    <x v="2"/>
  </r>
  <r>
    <x v="17"/>
    <x v="0"/>
    <x v="2"/>
    <n v="58"/>
    <x v="2"/>
  </r>
  <r>
    <x v="18"/>
    <x v="0"/>
    <x v="2"/>
    <n v="100"/>
    <x v="2"/>
  </r>
  <r>
    <x v="19"/>
    <x v="0"/>
    <x v="2"/>
    <n v="90"/>
    <x v="2"/>
  </r>
  <r>
    <x v="20"/>
    <x v="0"/>
    <x v="2"/>
    <n v="67"/>
    <x v="2"/>
  </r>
  <r>
    <x v="21"/>
    <x v="0"/>
    <x v="2"/>
    <n v="57"/>
    <x v="2"/>
  </r>
  <r>
    <x v="22"/>
    <x v="0"/>
    <x v="2"/>
    <n v="116"/>
    <x v="3"/>
  </r>
  <r>
    <x v="23"/>
    <x v="0"/>
    <x v="2"/>
    <n v="34"/>
    <x v="3"/>
  </r>
  <r>
    <x v="24"/>
    <x v="0"/>
    <x v="2"/>
    <n v="31"/>
    <x v="3"/>
  </r>
  <r>
    <x v="25"/>
    <x v="0"/>
    <x v="2"/>
    <n v="81"/>
    <x v="3"/>
  </r>
  <r>
    <x v="26"/>
    <x v="0"/>
    <x v="2"/>
    <n v="28"/>
    <x v="3"/>
  </r>
  <r>
    <x v="27"/>
    <x v="0"/>
    <x v="2"/>
    <n v="101"/>
    <x v="3"/>
  </r>
  <r>
    <x v="28"/>
    <x v="0"/>
    <x v="2"/>
    <n v="82"/>
    <x v="3"/>
  </r>
  <r>
    <x v="29"/>
    <x v="0"/>
    <x v="2"/>
    <n v="64"/>
    <x v="4"/>
  </r>
  <r>
    <x v="30"/>
    <x v="0"/>
    <x v="2"/>
    <n v="117"/>
    <x v="4"/>
  </r>
  <r>
    <x v="0"/>
    <x v="1"/>
    <x v="2"/>
    <n v="763"/>
    <x v="0"/>
  </r>
  <r>
    <x v="1"/>
    <x v="1"/>
    <x v="2"/>
    <n v="300"/>
    <x v="0"/>
  </r>
  <r>
    <x v="2"/>
    <x v="1"/>
    <x v="2"/>
    <n v="386"/>
    <x v="0"/>
  </r>
  <r>
    <x v="3"/>
    <x v="1"/>
    <x v="2"/>
    <n v="668"/>
    <x v="0"/>
  </r>
  <r>
    <x v="4"/>
    <x v="1"/>
    <x v="2"/>
    <n v="252"/>
    <x v="0"/>
  </r>
  <r>
    <x v="5"/>
    <x v="1"/>
    <x v="2"/>
    <n v="402"/>
    <x v="0"/>
  </r>
  <r>
    <x v="6"/>
    <x v="1"/>
    <x v="2"/>
    <n v="529"/>
    <x v="0"/>
  </r>
  <r>
    <x v="7"/>
    <x v="1"/>
    <x v="2"/>
    <n v="353"/>
    <x v="1"/>
  </r>
  <r>
    <x v="8"/>
    <x v="1"/>
    <x v="2"/>
    <n v="391"/>
    <x v="1"/>
  </r>
  <r>
    <x v="9"/>
    <x v="1"/>
    <x v="2"/>
    <n v="499"/>
    <x v="1"/>
  </r>
  <r>
    <x v="10"/>
    <x v="1"/>
    <x v="2"/>
    <n v="531"/>
    <x v="1"/>
  </r>
  <r>
    <x v="11"/>
    <x v="1"/>
    <x v="2"/>
    <n v="747"/>
    <x v="1"/>
  </r>
  <r>
    <x v="12"/>
    <x v="1"/>
    <x v="2"/>
    <n v="753"/>
    <x v="1"/>
  </r>
  <r>
    <x v="13"/>
    <x v="1"/>
    <x v="2"/>
    <n v="631"/>
    <x v="1"/>
  </r>
  <r>
    <x v="14"/>
    <x v="1"/>
    <x v="2"/>
    <n v="628"/>
    <x v="2"/>
  </r>
  <r>
    <x v="15"/>
    <x v="1"/>
    <x v="2"/>
    <n v="668"/>
    <x v="2"/>
  </r>
  <r>
    <x v="16"/>
    <x v="1"/>
    <x v="2"/>
    <n v="540"/>
    <x v="2"/>
  </r>
  <r>
    <x v="17"/>
    <x v="1"/>
    <x v="2"/>
    <n v="261"/>
    <x v="2"/>
  </r>
  <r>
    <x v="18"/>
    <x v="1"/>
    <x v="2"/>
    <n v="512"/>
    <x v="2"/>
  </r>
  <r>
    <x v="19"/>
    <x v="1"/>
    <x v="2"/>
    <n v="637"/>
    <x v="2"/>
  </r>
  <r>
    <x v="20"/>
    <x v="1"/>
    <x v="2"/>
    <n v="573"/>
    <x v="2"/>
  </r>
  <r>
    <x v="21"/>
    <x v="1"/>
    <x v="2"/>
    <n v="377"/>
    <x v="2"/>
  </r>
  <r>
    <x v="22"/>
    <x v="1"/>
    <x v="2"/>
    <n v="708"/>
    <x v="3"/>
  </r>
  <r>
    <x v="23"/>
    <x v="1"/>
    <x v="2"/>
    <n v="767"/>
    <x v="3"/>
  </r>
  <r>
    <x v="24"/>
    <x v="1"/>
    <x v="2"/>
    <n v="268"/>
    <x v="3"/>
  </r>
  <r>
    <x v="25"/>
    <x v="1"/>
    <x v="2"/>
    <n v="794"/>
    <x v="3"/>
  </r>
  <r>
    <x v="26"/>
    <x v="1"/>
    <x v="2"/>
    <n v="588"/>
    <x v="3"/>
  </r>
  <r>
    <x v="27"/>
    <x v="1"/>
    <x v="2"/>
    <n v="376"/>
    <x v="3"/>
  </r>
  <r>
    <x v="28"/>
    <x v="1"/>
    <x v="2"/>
    <n v="799"/>
    <x v="3"/>
  </r>
  <r>
    <x v="29"/>
    <x v="1"/>
    <x v="2"/>
    <n v="593"/>
    <x v="4"/>
  </r>
  <r>
    <x v="30"/>
    <x v="1"/>
    <x v="2"/>
    <n v="472"/>
    <x v="4"/>
  </r>
  <r>
    <x v="0"/>
    <x v="2"/>
    <x v="2"/>
    <n v="151"/>
    <x v="0"/>
  </r>
  <r>
    <x v="1"/>
    <x v="2"/>
    <x v="2"/>
    <n v="289"/>
    <x v="0"/>
  </r>
  <r>
    <x v="2"/>
    <x v="2"/>
    <x v="2"/>
    <n v="102"/>
    <x v="0"/>
  </r>
  <r>
    <x v="3"/>
    <x v="2"/>
    <x v="2"/>
    <n v="260"/>
    <x v="0"/>
  </r>
  <r>
    <x v="4"/>
    <x v="2"/>
    <x v="2"/>
    <n v="202"/>
    <x v="0"/>
  </r>
  <r>
    <x v="5"/>
    <x v="2"/>
    <x v="2"/>
    <n v="171"/>
    <x v="0"/>
  </r>
  <r>
    <x v="6"/>
    <x v="2"/>
    <x v="2"/>
    <n v="112"/>
    <x v="0"/>
  </r>
  <r>
    <x v="7"/>
    <x v="2"/>
    <x v="2"/>
    <n v="107"/>
    <x v="1"/>
  </r>
  <r>
    <x v="8"/>
    <x v="2"/>
    <x v="2"/>
    <n v="262"/>
    <x v="1"/>
  </r>
  <r>
    <x v="9"/>
    <x v="2"/>
    <x v="2"/>
    <n v="264"/>
    <x v="1"/>
  </r>
  <r>
    <x v="10"/>
    <x v="2"/>
    <x v="2"/>
    <n v="293"/>
    <x v="1"/>
  </r>
  <r>
    <x v="11"/>
    <x v="2"/>
    <x v="2"/>
    <n v="191"/>
    <x v="1"/>
  </r>
  <r>
    <x v="12"/>
    <x v="2"/>
    <x v="2"/>
    <n v="284"/>
    <x v="1"/>
  </r>
  <r>
    <x v="13"/>
    <x v="2"/>
    <x v="2"/>
    <n v="135"/>
    <x v="1"/>
  </r>
  <r>
    <x v="14"/>
    <x v="2"/>
    <x v="2"/>
    <n v="179"/>
    <x v="2"/>
  </r>
  <r>
    <x v="15"/>
    <x v="2"/>
    <x v="2"/>
    <n v="242"/>
    <x v="2"/>
  </r>
  <r>
    <x v="16"/>
    <x v="2"/>
    <x v="2"/>
    <n v="131"/>
    <x v="2"/>
  </r>
  <r>
    <x v="17"/>
    <x v="2"/>
    <x v="2"/>
    <n v="238"/>
    <x v="2"/>
  </r>
  <r>
    <x v="18"/>
    <x v="2"/>
    <x v="2"/>
    <n v="144"/>
    <x v="2"/>
  </r>
  <r>
    <x v="19"/>
    <x v="2"/>
    <x v="2"/>
    <n v="284"/>
    <x v="2"/>
  </r>
  <r>
    <x v="20"/>
    <x v="2"/>
    <x v="2"/>
    <n v="134"/>
    <x v="2"/>
  </r>
  <r>
    <x v="21"/>
    <x v="2"/>
    <x v="2"/>
    <n v="287"/>
    <x v="2"/>
  </r>
  <r>
    <x v="22"/>
    <x v="2"/>
    <x v="2"/>
    <n v="218"/>
    <x v="3"/>
  </r>
  <r>
    <x v="23"/>
    <x v="2"/>
    <x v="2"/>
    <n v="117"/>
    <x v="3"/>
  </r>
  <r>
    <x v="24"/>
    <x v="2"/>
    <x v="2"/>
    <n v="177"/>
    <x v="3"/>
  </r>
  <r>
    <x v="25"/>
    <x v="2"/>
    <x v="2"/>
    <n v="144"/>
    <x v="3"/>
  </r>
  <r>
    <x v="26"/>
    <x v="2"/>
    <x v="2"/>
    <n v="204"/>
    <x v="3"/>
  </r>
  <r>
    <x v="27"/>
    <x v="2"/>
    <x v="2"/>
    <n v="200"/>
    <x v="3"/>
  </r>
  <r>
    <x v="28"/>
    <x v="2"/>
    <x v="2"/>
    <n v="197"/>
    <x v="3"/>
  </r>
  <r>
    <x v="29"/>
    <x v="2"/>
    <x v="2"/>
    <n v="246"/>
    <x v="4"/>
  </r>
  <r>
    <x v="30"/>
    <x v="2"/>
    <x v="2"/>
    <n v="211"/>
    <x v="4"/>
  </r>
  <r>
    <x v="0"/>
    <x v="0"/>
    <x v="3"/>
    <n v="53"/>
    <x v="0"/>
  </r>
  <r>
    <x v="1"/>
    <x v="0"/>
    <x v="3"/>
    <n v="79"/>
    <x v="0"/>
  </r>
  <r>
    <x v="2"/>
    <x v="0"/>
    <x v="3"/>
    <n v="54"/>
    <x v="0"/>
  </r>
  <r>
    <x v="3"/>
    <x v="0"/>
    <x v="3"/>
    <n v="40"/>
    <x v="0"/>
  </r>
  <r>
    <x v="4"/>
    <x v="0"/>
    <x v="3"/>
    <n v="33"/>
    <x v="0"/>
  </r>
  <r>
    <x v="5"/>
    <x v="0"/>
    <x v="3"/>
    <n v="36"/>
    <x v="0"/>
  </r>
  <r>
    <x v="6"/>
    <x v="0"/>
    <x v="3"/>
    <n v="70"/>
    <x v="0"/>
  </r>
  <r>
    <x v="7"/>
    <x v="0"/>
    <x v="3"/>
    <n v="51"/>
    <x v="1"/>
  </r>
  <r>
    <x v="8"/>
    <x v="0"/>
    <x v="3"/>
    <n v="49"/>
    <x v="1"/>
  </r>
  <r>
    <x v="9"/>
    <x v="0"/>
    <x v="3"/>
    <n v="80"/>
    <x v="1"/>
  </r>
  <r>
    <x v="10"/>
    <x v="0"/>
    <x v="3"/>
    <n v="115"/>
    <x v="1"/>
  </r>
  <r>
    <x v="11"/>
    <x v="0"/>
    <x v="3"/>
    <n v="49"/>
    <x v="1"/>
  </r>
  <r>
    <x v="12"/>
    <x v="0"/>
    <x v="3"/>
    <n v="85"/>
    <x v="1"/>
  </r>
  <r>
    <x v="13"/>
    <x v="0"/>
    <x v="3"/>
    <n v="57"/>
    <x v="1"/>
  </r>
  <r>
    <x v="14"/>
    <x v="0"/>
    <x v="3"/>
    <n v="35"/>
    <x v="2"/>
  </r>
  <r>
    <x v="15"/>
    <x v="0"/>
    <x v="3"/>
    <n v="87"/>
    <x v="2"/>
  </r>
  <r>
    <x v="16"/>
    <x v="0"/>
    <x v="3"/>
    <n v="43"/>
    <x v="2"/>
  </r>
  <r>
    <x v="17"/>
    <x v="0"/>
    <x v="3"/>
    <n v="44"/>
    <x v="2"/>
  </r>
  <r>
    <x v="18"/>
    <x v="0"/>
    <x v="3"/>
    <n v="104"/>
    <x v="2"/>
  </r>
  <r>
    <x v="19"/>
    <x v="0"/>
    <x v="3"/>
    <n v="87"/>
    <x v="2"/>
  </r>
  <r>
    <x v="20"/>
    <x v="0"/>
    <x v="3"/>
    <n v="113"/>
    <x v="2"/>
  </r>
  <r>
    <x v="21"/>
    <x v="0"/>
    <x v="3"/>
    <n v="65"/>
    <x v="2"/>
  </r>
  <r>
    <x v="22"/>
    <x v="0"/>
    <x v="3"/>
    <n v="32"/>
    <x v="3"/>
  </r>
  <r>
    <x v="23"/>
    <x v="0"/>
    <x v="3"/>
    <n v="53"/>
    <x v="3"/>
  </r>
  <r>
    <x v="24"/>
    <x v="0"/>
    <x v="3"/>
    <n v="43"/>
    <x v="3"/>
  </r>
  <r>
    <x v="25"/>
    <x v="0"/>
    <x v="3"/>
    <n v="111"/>
    <x v="3"/>
  </r>
  <r>
    <x v="26"/>
    <x v="0"/>
    <x v="3"/>
    <n v="93"/>
    <x v="3"/>
  </r>
  <r>
    <x v="27"/>
    <x v="0"/>
    <x v="3"/>
    <n v="95"/>
    <x v="3"/>
  </r>
  <r>
    <x v="28"/>
    <x v="0"/>
    <x v="3"/>
    <n v="71"/>
    <x v="3"/>
  </r>
  <r>
    <x v="29"/>
    <x v="0"/>
    <x v="3"/>
    <n v="45"/>
    <x v="4"/>
  </r>
  <r>
    <x v="30"/>
    <x v="0"/>
    <x v="3"/>
    <n v="104"/>
    <x v="4"/>
  </r>
  <r>
    <x v="0"/>
    <x v="1"/>
    <x v="3"/>
    <n v="554"/>
    <x v="0"/>
  </r>
  <r>
    <x v="1"/>
    <x v="1"/>
    <x v="3"/>
    <n v="614"/>
    <x v="0"/>
  </r>
  <r>
    <x v="2"/>
    <x v="1"/>
    <x v="3"/>
    <n v="528"/>
    <x v="0"/>
  </r>
  <r>
    <x v="3"/>
    <x v="1"/>
    <x v="3"/>
    <n v="455"/>
    <x v="0"/>
  </r>
  <r>
    <x v="4"/>
    <x v="1"/>
    <x v="3"/>
    <n v="304"/>
    <x v="0"/>
  </r>
  <r>
    <x v="5"/>
    <x v="1"/>
    <x v="3"/>
    <n v="265"/>
    <x v="0"/>
  </r>
  <r>
    <x v="6"/>
    <x v="1"/>
    <x v="3"/>
    <n v="702"/>
    <x v="0"/>
  </r>
  <r>
    <x v="7"/>
    <x v="1"/>
    <x v="3"/>
    <n v="480"/>
    <x v="1"/>
  </r>
  <r>
    <x v="8"/>
    <x v="1"/>
    <x v="3"/>
    <n v="377"/>
    <x v="1"/>
  </r>
  <r>
    <x v="9"/>
    <x v="1"/>
    <x v="3"/>
    <n v="769"/>
    <x v="1"/>
  </r>
  <r>
    <x v="10"/>
    <x v="1"/>
    <x v="3"/>
    <n v="585"/>
    <x v="1"/>
  </r>
  <r>
    <x v="11"/>
    <x v="1"/>
    <x v="3"/>
    <n v="788"/>
    <x v="1"/>
  </r>
  <r>
    <x v="12"/>
    <x v="1"/>
    <x v="3"/>
    <n v="633"/>
    <x v="1"/>
  </r>
  <r>
    <x v="13"/>
    <x v="1"/>
    <x v="3"/>
    <n v="403"/>
    <x v="1"/>
  </r>
  <r>
    <x v="14"/>
    <x v="1"/>
    <x v="3"/>
    <n v="511"/>
    <x v="2"/>
  </r>
  <r>
    <x v="15"/>
    <x v="1"/>
    <x v="3"/>
    <n v="585"/>
    <x v="2"/>
  </r>
  <r>
    <x v="16"/>
    <x v="1"/>
    <x v="3"/>
    <n v="756"/>
    <x v="2"/>
  </r>
  <r>
    <x v="17"/>
    <x v="1"/>
    <x v="3"/>
    <n v="587"/>
    <x v="2"/>
  </r>
  <r>
    <x v="18"/>
    <x v="1"/>
    <x v="3"/>
    <n v="487"/>
    <x v="2"/>
  </r>
  <r>
    <x v="19"/>
    <x v="1"/>
    <x v="3"/>
    <n v="347"/>
    <x v="2"/>
  </r>
  <r>
    <x v="20"/>
    <x v="1"/>
    <x v="3"/>
    <n v="583"/>
    <x v="2"/>
  </r>
  <r>
    <x v="21"/>
    <x v="1"/>
    <x v="3"/>
    <n v="418"/>
    <x v="2"/>
  </r>
  <r>
    <x v="22"/>
    <x v="1"/>
    <x v="3"/>
    <n v="520"/>
    <x v="3"/>
  </r>
  <r>
    <x v="23"/>
    <x v="1"/>
    <x v="3"/>
    <n v="452"/>
    <x v="3"/>
  </r>
  <r>
    <x v="24"/>
    <x v="1"/>
    <x v="3"/>
    <n v="749"/>
    <x v="3"/>
  </r>
  <r>
    <x v="25"/>
    <x v="1"/>
    <x v="3"/>
    <n v="771"/>
    <x v="3"/>
  </r>
  <r>
    <x v="26"/>
    <x v="1"/>
    <x v="3"/>
    <n v="283"/>
    <x v="3"/>
  </r>
  <r>
    <x v="27"/>
    <x v="1"/>
    <x v="3"/>
    <n v="359"/>
    <x v="3"/>
  </r>
  <r>
    <x v="28"/>
    <x v="1"/>
    <x v="3"/>
    <n v="390"/>
    <x v="3"/>
  </r>
  <r>
    <x v="29"/>
    <x v="1"/>
    <x v="3"/>
    <n v="302"/>
    <x v="4"/>
  </r>
  <r>
    <x v="30"/>
    <x v="1"/>
    <x v="3"/>
    <n v="566"/>
    <x v="4"/>
  </r>
  <r>
    <x v="0"/>
    <x v="2"/>
    <x v="3"/>
    <n v="112"/>
    <x v="0"/>
  </r>
  <r>
    <x v="1"/>
    <x v="2"/>
    <x v="3"/>
    <n v="251"/>
    <x v="0"/>
  </r>
  <r>
    <x v="2"/>
    <x v="2"/>
    <x v="3"/>
    <n v="181"/>
    <x v="0"/>
  </r>
  <r>
    <x v="3"/>
    <x v="2"/>
    <x v="3"/>
    <n v="253"/>
    <x v="0"/>
  </r>
  <r>
    <x v="4"/>
    <x v="2"/>
    <x v="3"/>
    <n v="199"/>
    <x v="0"/>
  </r>
  <r>
    <x v="5"/>
    <x v="2"/>
    <x v="3"/>
    <n v="104"/>
    <x v="0"/>
  </r>
  <r>
    <x v="6"/>
    <x v="2"/>
    <x v="3"/>
    <n v="286"/>
    <x v="0"/>
  </r>
  <r>
    <x v="7"/>
    <x v="2"/>
    <x v="3"/>
    <n v="128"/>
    <x v="1"/>
  </r>
  <r>
    <x v="8"/>
    <x v="2"/>
    <x v="3"/>
    <n v="239"/>
    <x v="1"/>
  </r>
  <r>
    <x v="9"/>
    <x v="2"/>
    <x v="3"/>
    <n v="138"/>
    <x v="1"/>
  </r>
  <r>
    <x v="10"/>
    <x v="2"/>
    <x v="3"/>
    <n v="126"/>
    <x v="1"/>
  </r>
  <r>
    <x v="11"/>
    <x v="2"/>
    <x v="3"/>
    <n v="261"/>
    <x v="1"/>
  </r>
  <r>
    <x v="12"/>
    <x v="2"/>
    <x v="3"/>
    <n v="184"/>
    <x v="1"/>
  </r>
  <r>
    <x v="13"/>
    <x v="2"/>
    <x v="3"/>
    <n v="254"/>
    <x v="1"/>
  </r>
  <r>
    <x v="14"/>
    <x v="2"/>
    <x v="3"/>
    <n v="190"/>
    <x v="2"/>
  </r>
  <r>
    <x v="15"/>
    <x v="2"/>
    <x v="3"/>
    <n v="185"/>
    <x v="2"/>
  </r>
  <r>
    <x v="16"/>
    <x v="2"/>
    <x v="3"/>
    <n v="237"/>
    <x v="2"/>
  </r>
  <r>
    <x v="17"/>
    <x v="2"/>
    <x v="3"/>
    <n v="128"/>
    <x v="2"/>
  </r>
  <r>
    <x v="18"/>
    <x v="2"/>
    <x v="3"/>
    <n v="261"/>
    <x v="2"/>
  </r>
  <r>
    <x v="19"/>
    <x v="2"/>
    <x v="3"/>
    <n v="111"/>
    <x v="2"/>
  </r>
  <r>
    <x v="20"/>
    <x v="2"/>
    <x v="3"/>
    <n v="240"/>
    <x v="2"/>
  </r>
  <r>
    <x v="21"/>
    <x v="2"/>
    <x v="3"/>
    <n v="165"/>
    <x v="2"/>
  </r>
  <r>
    <x v="22"/>
    <x v="2"/>
    <x v="3"/>
    <n v="190"/>
    <x v="3"/>
  </r>
  <r>
    <x v="23"/>
    <x v="2"/>
    <x v="3"/>
    <n v="148"/>
    <x v="3"/>
  </r>
  <r>
    <x v="24"/>
    <x v="2"/>
    <x v="3"/>
    <n v="197"/>
    <x v="3"/>
  </r>
  <r>
    <x v="25"/>
    <x v="2"/>
    <x v="3"/>
    <n v="115"/>
    <x v="3"/>
  </r>
  <r>
    <x v="26"/>
    <x v="2"/>
    <x v="3"/>
    <n v="103"/>
    <x v="3"/>
  </r>
  <r>
    <x v="27"/>
    <x v="2"/>
    <x v="3"/>
    <n v="113"/>
    <x v="3"/>
  </r>
  <r>
    <x v="28"/>
    <x v="2"/>
    <x v="3"/>
    <n v="220"/>
    <x v="3"/>
  </r>
  <r>
    <x v="29"/>
    <x v="2"/>
    <x v="3"/>
    <n v="242"/>
    <x v="4"/>
  </r>
  <r>
    <x v="30"/>
    <x v="2"/>
    <x v="3"/>
    <n v="267"/>
    <x v="4"/>
  </r>
  <r>
    <x v="0"/>
    <x v="0"/>
    <x v="4"/>
    <n v="90"/>
    <x v="0"/>
  </r>
  <r>
    <x v="1"/>
    <x v="0"/>
    <x v="4"/>
    <n v="100"/>
    <x v="0"/>
  </r>
  <r>
    <x v="2"/>
    <x v="0"/>
    <x v="4"/>
    <n v="30"/>
    <x v="0"/>
  </r>
  <r>
    <x v="3"/>
    <x v="0"/>
    <x v="4"/>
    <n v="100"/>
    <x v="0"/>
  </r>
  <r>
    <x v="4"/>
    <x v="0"/>
    <x v="4"/>
    <n v="92"/>
    <x v="0"/>
  </r>
  <r>
    <x v="5"/>
    <x v="0"/>
    <x v="4"/>
    <n v="67"/>
    <x v="0"/>
  </r>
  <r>
    <x v="6"/>
    <x v="0"/>
    <x v="4"/>
    <n v="31"/>
    <x v="0"/>
  </r>
  <r>
    <x v="7"/>
    <x v="0"/>
    <x v="4"/>
    <n v="79"/>
    <x v="1"/>
  </r>
  <r>
    <x v="8"/>
    <x v="0"/>
    <x v="4"/>
    <n v="117"/>
    <x v="1"/>
  </r>
  <r>
    <x v="9"/>
    <x v="0"/>
    <x v="4"/>
    <n v="119"/>
    <x v="1"/>
  </r>
  <r>
    <x v="10"/>
    <x v="0"/>
    <x v="4"/>
    <n v="80"/>
    <x v="1"/>
  </r>
  <r>
    <x v="11"/>
    <x v="0"/>
    <x v="4"/>
    <n v="59"/>
    <x v="1"/>
  </r>
  <r>
    <x v="12"/>
    <x v="0"/>
    <x v="4"/>
    <n v="89"/>
    <x v="1"/>
  </r>
  <r>
    <x v="13"/>
    <x v="0"/>
    <x v="4"/>
    <n v="107"/>
    <x v="1"/>
  </r>
  <r>
    <x v="14"/>
    <x v="0"/>
    <x v="4"/>
    <n v="90"/>
    <x v="2"/>
  </r>
  <r>
    <x v="15"/>
    <x v="0"/>
    <x v="4"/>
    <n v="83"/>
    <x v="2"/>
  </r>
  <r>
    <x v="16"/>
    <x v="0"/>
    <x v="4"/>
    <n v="30"/>
    <x v="2"/>
  </r>
  <r>
    <x v="17"/>
    <x v="0"/>
    <x v="4"/>
    <n v="115"/>
    <x v="2"/>
  </r>
  <r>
    <x v="18"/>
    <x v="0"/>
    <x v="4"/>
    <n v="95"/>
    <x v="2"/>
  </r>
  <r>
    <x v="19"/>
    <x v="0"/>
    <x v="4"/>
    <n v="71"/>
    <x v="2"/>
  </r>
  <r>
    <x v="20"/>
    <x v="0"/>
    <x v="4"/>
    <n v="119"/>
    <x v="2"/>
  </r>
  <r>
    <x v="21"/>
    <x v="0"/>
    <x v="4"/>
    <n v="113"/>
    <x v="2"/>
  </r>
  <r>
    <x v="22"/>
    <x v="0"/>
    <x v="4"/>
    <n v="81"/>
    <x v="3"/>
  </r>
  <r>
    <x v="23"/>
    <x v="0"/>
    <x v="4"/>
    <n v="28"/>
    <x v="3"/>
  </r>
  <r>
    <x v="24"/>
    <x v="0"/>
    <x v="4"/>
    <n v="45"/>
    <x v="3"/>
  </r>
  <r>
    <x v="25"/>
    <x v="0"/>
    <x v="4"/>
    <n v="110"/>
    <x v="3"/>
  </r>
  <r>
    <x v="26"/>
    <x v="0"/>
    <x v="4"/>
    <n v="61"/>
    <x v="3"/>
  </r>
  <r>
    <x v="27"/>
    <x v="0"/>
    <x v="4"/>
    <n v="54"/>
    <x v="3"/>
  </r>
  <r>
    <x v="28"/>
    <x v="0"/>
    <x v="4"/>
    <n v="73"/>
    <x v="3"/>
  </r>
  <r>
    <x v="29"/>
    <x v="0"/>
    <x v="4"/>
    <n v="49"/>
    <x v="4"/>
  </r>
  <r>
    <x v="30"/>
    <x v="0"/>
    <x v="4"/>
    <n v="81"/>
    <x v="4"/>
  </r>
  <r>
    <x v="0"/>
    <x v="1"/>
    <x v="4"/>
    <n v="316"/>
    <x v="0"/>
  </r>
  <r>
    <x v="1"/>
    <x v="1"/>
    <x v="4"/>
    <n v="433"/>
    <x v="0"/>
  </r>
  <r>
    <x v="2"/>
    <x v="1"/>
    <x v="4"/>
    <n v="632"/>
    <x v="0"/>
  </r>
  <r>
    <x v="3"/>
    <x v="1"/>
    <x v="4"/>
    <n v="747"/>
    <x v="0"/>
  </r>
  <r>
    <x v="4"/>
    <x v="1"/>
    <x v="4"/>
    <n v="688"/>
    <x v="0"/>
  </r>
  <r>
    <x v="5"/>
    <x v="1"/>
    <x v="4"/>
    <n v="300"/>
    <x v="0"/>
  </r>
  <r>
    <x v="6"/>
    <x v="1"/>
    <x v="4"/>
    <n v="367"/>
    <x v="0"/>
  </r>
  <r>
    <x v="7"/>
    <x v="1"/>
    <x v="4"/>
    <n v="250"/>
    <x v="1"/>
  </r>
  <r>
    <x v="8"/>
    <x v="1"/>
    <x v="4"/>
    <n v="711"/>
    <x v="1"/>
  </r>
  <r>
    <x v="9"/>
    <x v="1"/>
    <x v="4"/>
    <n v="508"/>
    <x v="1"/>
  </r>
  <r>
    <x v="10"/>
    <x v="1"/>
    <x v="4"/>
    <n v="403"/>
    <x v="1"/>
  </r>
  <r>
    <x v="11"/>
    <x v="1"/>
    <x v="4"/>
    <n v="310"/>
    <x v="1"/>
  </r>
  <r>
    <x v="12"/>
    <x v="1"/>
    <x v="4"/>
    <n v="339"/>
    <x v="1"/>
  </r>
  <r>
    <x v="13"/>
    <x v="1"/>
    <x v="4"/>
    <n v="727"/>
    <x v="1"/>
  </r>
  <r>
    <x v="14"/>
    <x v="1"/>
    <x v="4"/>
    <n v="399"/>
    <x v="2"/>
  </r>
  <r>
    <x v="15"/>
    <x v="1"/>
    <x v="4"/>
    <n v="707"/>
    <x v="2"/>
  </r>
  <r>
    <x v="16"/>
    <x v="1"/>
    <x v="4"/>
    <n v="409"/>
    <x v="2"/>
  </r>
  <r>
    <x v="17"/>
    <x v="1"/>
    <x v="4"/>
    <n v="281"/>
    <x v="2"/>
  </r>
  <r>
    <x v="18"/>
    <x v="1"/>
    <x v="4"/>
    <n v="426"/>
    <x v="2"/>
  </r>
  <r>
    <x v="19"/>
    <x v="1"/>
    <x v="4"/>
    <n v="760"/>
    <x v="2"/>
  </r>
  <r>
    <x v="20"/>
    <x v="1"/>
    <x v="4"/>
    <n v="471"/>
    <x v="2"/>
  </r>
  <r>
    <x v="21"/>
    <x v="1"/>
    <x v="4"/>
    <n v="664"/>
    <x v="2"/>
  </r>
  <r>
    <x v="22"/>
    <x v="1"/>
    <x v="4"/>
    <n v="585"/>
    <x v="3"/>
  </r>
  <r>
    <x v="23"/>
    <x v="1"/>
    <x v="4"/>
    <n v="567"/>
    <x v="3"/>
  </r>
  <r>
    <x v="24"/>
    <x v="1"/>
    <x v="4"/>
    <n v="750"/>
    <x v="3"/>
  </r>
  <r>
    <x v="25"/>
    <x v="1"/>
    <x v="4"/>
    <n v="306"/>
    <x v="3"/>
  </r>
  <r>
    <x v="26"/>
    <x v="1"/>
    <x v="4"/>
    <n v="322"/>
    <x v="3"/>
  </r>
  <r>
    <x v="27"/>
    <x v="1"/>
    <x v="4"/>
    <n v="516"/>
    <x v="3"/>
  </r>
  <r>
    <x v="28"/>
    <x v="1"/>
    <x v="4"/>
    <n v="631"/>
    <x v="3"/>
  </r>
  <r>
    <x v="29"/>
    <x v="1"/>
    <x v="4"/>
    <n v="550"/>
    <x v="4"/>
  </r>
  <r>
    <x v="30"/>
    <x v="1"/>
    <x v="4"/>
    <n v="261"/>
    <x v="4"/>
  </r>
  <r>
    <x v="0"/>
    <x v="2"/>
    <x v="4"/>
    <n v="274"/>
    <x v="0"/>
  </r>
  <r>
    <x v="1"/>
    <x v="2"/>
    <x v="4"/>
    <n v="271"/>
    <x v="0"/>
  </r>
  <r>
    <x v="2"/>
    <x v="2"/>
    <x v="4"/>
    <n v="272"/>
    <x v="0"/>
  </r>
  <r>
    <x v="3"/>
    <x v="2"/>
    <x v="4"/>
    <n v="181"/>
    <x v="0"/>
  </r>
  <r>
    <x v="4"/>
    <x v="2"/>
    <x v="4"/>
    <n v="183"/>
    <x v="0"/>
  </r>
  <r>
    <x v="5"/>
    <x v="2"/>
    <x v="4"/>
    <n v="169"/>
    <x v="0"/>
  </r>
  <r>
    <x v="6"/>
    <x v="2"/>
    <x v="4"/>
    <n v="165"/>
    <x v="0"/>
  </r>
  <r>
    <x v="7"/>
    <x v="2"/>
    <x v="4"/>
    <n v="233"/>
    <x v="1"/>
  </r>
  <r>
    <x v="8"/>
    <x v="2"/>
    <x v="4"/>
    <n v="165"/>
    <x v="1"/>
  </r>
  <r>
    <x v="9"/>
    <x v="2"/>
    <x v="4"/>
    <n v="178"/>
    <x v="1"/>
  </r>
  <r>
    <x v="10"/>
    <x v="2"/>
    <x v="4"/>
    <n v="284"/>
    <x v="1"/>
  </r>
  <r>
    <x v="11"/>
    <x v="2"/>
    <x v="4"/>
    <n v="197"/>
    <x v="1"/>
  </r>
  <r>
    <x v="12"/>
    <x v="2"/>
    <x v="4"/>
    <n v="105"/>
    <x v="1"/>
  </r>
  <r>
    <x v="13"/>
    <x v="2"/>
    <x v="4"/>
    <n v="228"/>
    <x v="1"/>
  </r>
  <r>
    <x v="14"/>
    <x v="2"/>
    <x v="4"/>
    <n v="204"/>
    <x v="2"/>
  </r>
  <r>
    <x v="15"/>
    <x v="2"/>
    <x v="4"/>
    <n v="294"/>
    <x v="2"/>
  </r>
  <r>
    <x v="16"/>
    <x v="2"/>
    <x v="4"/>
    <n v="281"/>
    <x v="2"/>
  </r>
  <r>
    <x v="17"/>
    <x v="2"/>
    <x v="4"/>
    <n v="239"/>
    <x v="2"/>
  </r>
  <r>
    <x v="18"/>
    <x v="2"/>
    <x v="4"/>
    <n v="277"/>
    <x v="2"/>
  </r>
  <r>
    <x v="19"/>
    <x v="2"/>
    <x v="4"/>
    <n v="271"/>
    <x v="2"/>
  </r>
  <r>
    <x v="20"/>
    <x v="2"/>
    <x v="4"/>
    <n v="300"/>
    <x v="2"/>
  </r>
  <r>
    <x v="21"/>
    <x v="2"/>
    <x v="4"/>
    <n v="247"/>
    <x v="2"/>
  </r>
  <r>
    <x v="22"/>
    <x v="2"/>
    <x v="4"/>
    <n v="105"/>
    <x v="3"/>
  </r>
  <r>
    <x v="23"/>
    <x v="2"/>
    <x v="4"/>
    <n v="178"/>
    <x v="3"/>
  </r>
  <r>
    <x v="24"/>
    <x v="2"/>
    <x v="4"/>
    <n v="173"/>
    <x v="3"/>
  </r>
  <r>
    <x v="25"/>
    <x v="2"/>
    <x v="4"/>
    <n v="245"/>
    <x v="3"/>
  </r>
  <r>
    <x v="26"/>
    <x v="2"/>
    <x v="4"/>
    <n v="245"/>
    <x v="3"/>
  </r>
  <r>
    <x v="27"/>
    <x v="2"/>
    <x v="4"/>
    <n v="116"/>
    <x v="3"/>
  </r>
  <r>
    <x v="28"/>
    <x v="2"/>
    <x v="4"/>
    <n v="212"/>
    <x v="3"/>
  </r>
  <r>
    <x v="29"/>
    <x v="2"/>
    <x v="4"/>
    <n v="182"/>
    <x v="4"/>
  </r>
  <r>
    <x v="30"/>
    <x v="2"/>
    <x v="4"/>
    <n v="10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99E33-B46C-4BE5-8325-6F3244D48AEC}" name="PivotTable2" cacheId="0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12" firstHeaderRow="1" firstDataRow="2" firstDataCol="2"/>
  <pivotFields count="4"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2">
    <field x="-2"/>
    <field x="1"/>
  </rowFields>
  <row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2">
    <dataField name="Average of Demand" fld="3" subtotal="average" baseField="2" baseItem="0" numFmtId="1"/>
    <dataField name="StdDevp of Demand" fld="3" subtotal="stdDevp" baseField="2" baseItem="0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134C5-02BA-465C-84D6-90827FE5EE8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5:B77" firstHeaderRow="1" firstDataRow="1" firstDataCol="1" rowPageCount="2" colPageCount="1"/>
  <pivotFields count="5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2">
    <pageField fld="4" hier="-1"/>
    <pageField fld="1" hier="-1"/>
  </pageFields>
  <dataFields count="1">
    <dataField name="Sum of Demand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C4C72-BFB4-4214-8FB0-3C7A839E90B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E37" firstHeaderRow="1" firstDataRow="2" firstDataCol="1" rowPageCount="1" colPageCount="1"/>
  <pivotFields count="5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4" hier="-1"/>
  </pageFields>
  <dataFields count="1">
    <dataField name="Sum of Demand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2A470-FC38-4897-8D04-F27DBF6CB27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G37" firstHeaderRow="1" firstDataRow="2" firstDataCol="1" rowPageCount="1" colPageCount="1"/>
  <pivotFields count="5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Demand" fld="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4BE3F-B557-4D44-A6E1-78FCE16072F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5:B77" firstHeaderRow="1" firstDataRow="1" firstDataCol="1" rowPageCount="3" colPageCount="1"/>
  <pivotFields count="5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3">
    <pageField fld="4" hier="-1"/>
    <pageField fld="1" hier="-1"/>
    <pageField fld="2" hier="-1"/>
  </pageFields>
  <dataFields count="1">
    <dataField name="Sum of Demand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0DC44-6FCA-4D6A-B072-9FA119E7ED2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B36" firstHeaderRow="1" firstDataRow="1" firstDataCol="1" rowPageCount="2" colPageCount="1"/>
  <pivotFields count="5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4">
        <item x="0"/>
        <item x="1"/>
        <item x="2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2">
    <pageField fld="4" hier="-1"/>
    <pageField fld="2" hier="-1"/>
  </pageFields>
  <dataFields count="1">
    <dataField name="Sum of Demand" fld="3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49296-858D-4142-B35B-26B208AD485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5:B50" firstHeaderRow="1" firstDataRow="1" firstDataCol="1" rowPageCount="3" colPageCount="1"/>
  <pivotFields count="5">
    <pivotField axis="axisPage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showAll="0">
      <items count="6">
        <item x="0"/>
        <item x="1"/>
        <item x="2"/>
        <item x="3"/>
        <item h="1"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0" hier="-1"/>
    <pageField fld="1" hier="-1"/>
    <pageField fld="2" hier="-1"/>
  </pageFields>
  <dataFields count="1">
    <dataField name="Sum of Demand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6C52DE-9CC6-48C4-81A4-861AA9B9ED61}">
  <we:reference id="wa104381181" version="4.0.0.2" store="en-US" storeType="OMEX"/>
  <we:alternateReferences>
    <we:reference id="wa104381181" version="4.0.0.2" store="" storeType="OMEX"/>
  </we:alternateReferences>
  <we:properties>
    <we:property name="19_1flows" value="&quot;5191da3f-3e2e945e-b72609a8&quot;"/>
    <we:property name="19_1nodeInformation" value="&quot;3ce3fc0b-2db74fcd-cb30d333&quot;"/>
    <we:property name="19_1productSegments" value="&quot;1df7a936-9c4d63cd-a4bc7a30&quot;"/>
    <we:property name="35_2distanceDuration" value="&quot;67e71174-3ada6c98-bb7ad42d&quot;"/>
    <we:property name="35_2distanceMatrix" value="&quot;c77ff2a2-19b58eca-9b46ffee&quot;"/>
    <we:property name="35_2distanceMatrixForwardData" value="&quot;86ca1f67-cc494967-811f7cda&quot;"/>
    <we:property name="35_2durationMatrix" value="&quot;87ed4287-060fea12-9e4f678d&quot;"/>
    <we:property name="35_2parameters" value="&quot;7e4bf44f-79cfb47b-fde72ce7&quot;"/>
    <we:property name="3_1areas" value="&quot;9407c655-8bdae4c6-ebbde13b&quot;"/>
    <we:property name="3_1locations" value="&quot;6d3b3780-7b39a5c9-268399d6&quot;"/>
    <we:property name="supplyChainMapLocationsgeocodingData" value="&quot;37b1fea4-b9abb9e9-890fda28&quot;"/>
    <we:property name="supplyChainMapRelationsdistanceCalculationData" value="&quot;2b8a0314-35617f56-0d83861c&quot;"/>
    <we:property name="31_1demandInvSim" value="&quot;e1f64da1-ba31aef4-8721c2c2&quot;"/>
    <we:property name="31_1simulationKpis" value="&quot;3a51cdec-a31bc4c9-404cfb3f&quot;"/>
    <we:property name="31_1parameters" value="&quot;07760db6-e487a163-e0ef0ddc&quot;"/>
    <we:property name="31_1simulationResult" value="&quot;1e707bc4-9762f4ec-b3d0e603&quot;"/>
  </we:properties>
  <we:bindings>
    <we:binding id="9407c655-8bdae4c6-ebbde13b" type="table" appref="{8734FE1C-C301-43A0-88E3-5A8B7F002E9D}"/>
    <we:binding id="6d3b3780-7b39a5c9-268399d6" type="table" appref="{A19D8CE1-7F51-4C7C-BFDB-5C0FBD75EE06}"/>
    <we:binding id="37b1fea4-b9abb9e9-890fda28" type="matrix" appref="{E63E46AC-D454-4C73-89CB-E374B4E9CDF8}"/>
    <we:binding id="2b8a0314-35617f56-0d83861c" type="table" appref="{8B167C90-8FB5-4336-8D0B-5E1397F9A97C}"/>
    <we:binding id="5191da3f-3e2e945e-b72609a8" type="table" appref="{862D72D3-537F-49A1-889A-F1D44C99F677}"/>
    <we:binding id="3ce3fc0b-2db74fcd-cb30d333" type="table" appref="{AB7B3F22-73A0-408F-BA4B-65EB88743163}"/>
    <we:binding id="1df7a936-9c4d63cd-a4bc7a30" type="table" appref="{4BF6CD1A-184A-4C4A-8DA4-11D9291D953A}"/>
    <we:binding id="86ca1f67-cc494967-811f7cda" type="table" appref="{8369B34D-ED7B-4E95-9362-9CDFD41FA143}"/>
    <we:binding id="67e71174-3ada6c98-bb7ad42d" type="table" appref="{2B1F56EC-230D-4D21-AB3A-E7A66810E97F}"/>
    <we:binding id="c77ff2a2-19b58eca-9b46ffee" type="table" appref="{515ADC3C-DE16-4B0B-A497-6E25F0094AB2}"/>
    <we:binding id="7e4bf44f-79cfb47b-fde72ce7" type="table" appref="{230703AF-CF5E-4C0D-BFFB-C654503267A3}"/>
    <we:binding id="87ed4287-060fea12-9e4f678d" type="table" appref="{7E437014-2F6A-4B03-A017-85836A204C1C}"/>
    <we:binding id="e1f64da1-ba31aef4-8721c2c2" type="table" appref="{3E276FDD-87B3-4B22-A730-2661EACD9F0B}"/>
    <we:binding id="1e707bc4-9762f4ec-b3d0e603" type="table" appref="{46205821-EE47-4150-ACC4-63CF217B217F}"/>
    <we:binding id="07760db6-e487a163-e0ef0ddc" type="table" appref="{5F21BFAF-5362-4A05-BB13-C75B466645C2}"/>
    <we:binding id="3a51cdec-a31bc4c9-404cfb3f" type="table" appref="{B34AA23B-FB39-4B13-ADB6-2301FCA26DA1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FCD7-BCE0-416E-90F9-502F415863A7}">
  <dimension ref="A6:A26"/>
  <sheetViews>
    <sheetView zoomScale="130" zoomScaleNormal="130" workbookViewId="0">
      <selection activeCell="A26" sqref="A26"/>
    </sheetView>
  </sheetViews>
  <sheetFormatPr defaultRowHeight="15.6" x14ac:dyDescent="0.3"/>
  <cols>
    <col min="1" max="1" width="26.21875" style="2" customWidth="1"/>
    <col min="2" max="2" width="16.21875" style="2" customWidth="1"/>
    <col min="3" max="3" width="13.5546875" style="2" customWidth="1"/>
    <col min="4" max="9" width="11.5546875" style="2" customWidth="1"/>
    <col min="10" max="10" width="8.88671875" style="2"/>
    <col min="11" max="11" width="10" style="2" bestFit="1" customWidth="1"/>
    <col min="12" max="16384" width="8.88671875" style="2"/>
  </cols>
  <sheetData>
    <row r="6" spans="1:1" x14ac:dyDescent="0.3">
      <c r="A6" s="1" t="s">
        <v>33</v>
      </c>
    </row>
    <row r="7" spans="1:1" x14ac:dyDescent="0.3">
      <c r="A7" s="1"/>
    </row>
    <row r="8" spans="1:1" x14ac:dyDescent="0.3">
      <c r="A8" s="2" t="s">
        <v>34</v>
      </c>
    </row>
    <row r="9" spans="1:1" x14ac:dyDescent="0.3">
      <c r="A9" s="2" t="s">
        <v>35</v>
      </c>
    </row>
    <row r="10" spans="1:1" x14ac:dyDescent="0.3">
      <c r="A10" s="2" t="s">
        <v>36</v>
      </c>
    </row>
    <row r="11" spans="1:1" x14ac:dyDescent="0.3">
      <c r="A11" s="2" t="s">
        <v>37</v>
      </c>
    </row>
    <row r="12" spans="1:1" x14ac:dyDescent="0.3">
      <c r="A12" s="2" t="s">
        <v>38</v>
      </c>
    </row>
    <row r="14" spans="1:1" x14ac:dyDescent="0.3">
      <c r="A14" s="2" t="s">
        <v>40</v>
      </c>
    </row>
    <row r="15" spans="1:1" x14ac:dyDescent="0.3">
      <c r="A15" s="2" t="s">
        <v>39</v>
      </c>
    </row>
    <row r="17" spans="1:1" x14ac:dyDescent="0.3">
      <c r="A17" s="2" t="s">
        <v>41</v>
      </c>
    </row>
    <row r="19" spans="1:1" x14ac:dyDescent="0.3">
      <c r="A19" s="2" t="s">
        <v>48</v>
      </c>
    </row>
    <row r="20" spans="1:1" x14ac:dyDescent="0.3">
      <c r="A20" s="2" t="s">
        <v>49</v>
      </c>
    </row>
    <row r="22" spans="1:1" x14ac:dyDescent="0.3">
      <c r="A22" s="2" t="s">
        <v>50</v>
      </c>
    </row>
    <row r="23" spans="1:1" x14ac:dyDescent="0.3">
      <c r="A23" s="3" t="s">
        <v>51</v>
      </c>
    </row>
    <row r="24" spans="1:1" x14ac:dyDescent="0.3">
      <c r="A24" s="1" t="s">
        <v>52</v>
      </c>
    </row>
    <row r="25" spans="1:1" x14ac:dyDescent="0.3">
      <c r="A25" s="1" t="s">
        <v>53</v>
      </c>
    </row>
    <row r="26" spans="1:1" x14ac:dyDescent="0.3">
      <c r="A26" s="3"/>
    </row>
  </sheetData>
  <phoneticPr fontId="2" type="noConversion"/>
  <pageMargins left="0.7" right="0.7" top="0.75" bottom="0.75" header="0.3" footer="0.3"/>
  <pageSetup scale="67"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862D72D3-537F-49A1-889A-F1D44C99F677}">
          <xm:f>#REF!</xm:f>
        </x15:webExtension>
        <x15:webExtension appRef="{AB7B3F22-73A0-408F-BA4B-65EB88743163}">
          <xm:f>#REF!</xm:f>
        </x15:webExtension>
        <x15:webExtension appRef="{4BF6CD1A-184A-4C4A-8DA4-11D9291D953A}">
          <xm:f>#REF!</xm:f>
        </x15:webExtension>
        <x15:webExtension appRef="{8734FE1C-C301-43A0-88E3-5A8B7F002E9D}">
          <xm:f>#REF!</xm:f>
        </x15:webExtension>
        <x15:webExtension appRef="{A19D8CE1-7F51-4C7C-BFDB-5C0FBD75EE06}">
          <xm:f>#REF!</xm:f>
        </x15:webExtension>
        <x15:webExtension appRef="{E63E46AC-D454-4C73-89CB-E374B4E9CDF8}">
          <xm:f>#REF!</xm:f>
        </x15:webExtension>
        <x15:webExtension appRef="{8B167C90-8FB5-4336-8D0B-5E1397F9A97C}">
          <xm:f>#REF!</xm:f>
        </x15:webExtension>
        <x15:webExtension appRef="{8369B34D-ED7B-4E95-9362-9CDFD41FA143}">
          <xm:f>#REF!</xm:f>
        </x15:webExtension>
        <x15:webExtension appRef="{2B1F56EC-230D-4D21-AB3A-E7A66810E97F}">
          <xm:f>#REF!</xm:f>
        </x15:webExtension>
        <x15:webExtension appRef="{515ADC3C-DE16-4B0B-A497-6E25F0094AB2}">
          <xm:f>#REF!</xm:f>
        </x15:webExtension>
        <x15:webExtension appRef="{230703AF-CF5E-4C0D-BFFB-C654503267A3}">
          <xm:f>#REF!</xm:f>
        </x15:webExtension>
        <x15:webExtension appRef="{7E437014-2F6A-4B03-A017-85836A204C1C}">
          <xm:f>#REF!</xm:f>
        </x15:webExtension>
        <x15:webExtension appRef="{46205821-EE47-4150-ACC4-63CF217B217F}">
          <xm:f>#REF!</xm:f>
        </x15:webExtension>
        <x15:webExtension appRef="{5F21BFAF-5362-4A05-BB13-C75B466645C2}">
          <xm:f>#REF!</xm:f>
        </x15:webExtension>
        <x15:webExtension appRef="{B34AA23B-FB39-4B13-ADB6-2301FCA26DA1}">
          <xm:f>#REF!</xm:f>
        </x15:webExtension>
        <x15:webExtension appRef="{3E276FDD-87B3-4B22-A730-2661EACD9F0B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9D72-E719-4895-AB6C-4531AE832D32}">
  <dimension ref="A2:E468"/>
  <sheetViews>
    <sheetView zoomScale="115" zoomScaleNormal="115" workbookViewId="0">
      <selection activeCell="F10" sqref="F10"/>
    </sheetView>
  </sheetViews>
  <sheetFormatPr defaultRowHeight="14.4" x14ac:dyDescent="0.3"/>
  <cols>
    <col min="1" max="1" width="10.33203125" bestFit="1" customWidth="1"/>
  </cols>
  <sheetData>
    <row r="2" spans="1:5" ht="15" thickBot="1" x14ac:dyDescent="0.35">
      <c r="A2" s="6" t="s">
        <v>12</v>
      </c>
    </row>
    <row r="3" spans="1:5" ht="15" thickBot="1" x14ac:dyDescent="0.35">
      <c r="A3" s="28" t="s">
        <v>0</v>
      </c>
      <c r="B3" s="29" t="s">
        <v>1</v>
      </c>
      <c r="C3" s="29" t="s">
        <v>2</v>
      </c>
      <c r="D3" s="29" t="s">
        <v>3</v>
      </c>
      <c r="E3" s="30" t="s">
        <v>27</v>
      </c>
    </row>
    <row r="4" spans="1:5" x14ac:dyDescent="0.3">
      <c r="A4" s="25">
        <v>46023</v>
      </c>
      <c r="B4" s="26" t="s">
        <v>4</v>
      </c>
      <c r="C4" s="26" t="s">
        <v>5</v>
      </c>
      <c r="D4" s="26">
        <v>83</v>
      </c>
      <c r="E4" s="27">
        <v>1</v>
      </c>
    </row>
    <row r="5" spans="1:5" x14ac:dyDescent="0.3">
      <c r="A5" s="20">
        <v>46024</v>
      </c>
      <c r="B5" s="19" t="s">
        <v>4</v>
      </c>
      <c r="C5" s="19" t="s">
        <v>5</v>
      </c>
      <c r="D5" s="19">
        <v>63</v>
      </c>
      <c r="E5" s="21">
        <v>1</v>
      </c>
    </row>
    <row r="6" spans="1:5" x14ac:dyDescent="0.3">
      <c r="A6" s="20">
        <v>46025</v>
      </c>
      <c r="B6" s="19" t="s">
        <v>4</v>
      </c>
      <c r="C6" s="19" t="s">
        <v>5</v>
      </c>
      <c r="D6" s="19">
        <v>54</v>
      </c>
      <c r="E6" s="21">
        <v>1</v>
      </c>
    </row>
    <row r="7" spans="1:5" x14ac:dyDescent="0.3">
      <c r="A7" s="20">
        <v>46026</v>
      </c>
      <c r="B7" s="19" t="s">
        <v>4</v>
      </c>
      <c r="C7" s="19" t="s">
        <v>5</v>
      </c>
      <c r="D7" s="19">
        <v>99</v>
      </c>
      <c r="E7" s="21">
        <v>1</v>
      </c>
    </row>
    <row r="8" spans="1:5" x14ac:dyDescent="0.3">
      <c r="A8" s="20">
        <v>46027</v>
      </c>
      <c r="B8" s="19" t="s">
        <v>4</v>
      </c>
      <c r="C8" s="19" t="s">
        <v>5</v>
      </c>
      <c r="D8" s="19">
        <v>52</v>
      </c>
      <c r="E8" s="21">
        <v>1</v>
      </c>
    </row>
    <row r="9" spans="1:5" x14ac:dyDescent="0.3">
      <c r="A9" s="20">
        <v>46028</v>
      </c>
      <c r="B9" s="19" t="s">
        <v>4</v>
      </c>
      <c r="C9" s="19" t="s">
        <v>5</v>
      </c>
      <c r="D9" s="19">
        <v>101</v>
      </c>
      <c r="E9" s="21">
        <v>1</v>
      </c>
    </row>
    <row r="10" spans="1:5" x14ac:dyDescent="0.3">
      <c r="A10" s="20">
        <v>46029</v>
      </c>
      <c r="B10" s="19" t="s">
        <v>4</v>
      </c>
      <c r="C10" s="19" t="s">
        <v>5</v>
      </c>
      <c r="D10" s="19">
        <v>85</v>
      </c>
      <c r="E10" s="21">
        <v>1</v>
      </c>
    </row>
    <row r="11" spans="1:5" x14ac:dyDescent="0.3">
      <c r="A11" s="20">
        <v>46030</v>
      </c>
      <c r="B11" s="19" t="s">
        <v>4</v>
      </c>
      <c r="C11" s="19" t="s">
        <v>5</v>
      </c>
      <c r="D11" s="19">
        <v>75</v>
      </c>
      <c r="E11" s="21">
        <v>2</v>
      </c>
    </row>
    <row r="12" spans="1:5" x14ac:dyDescent="0.3">
      <c r="A12" s="20">
        <v>46031</v>
      </c>
      <c r="B12" s="19" t="s">
        <v>4</v>
      </c>
      <c r="C12" s="19" t="s">
        <v>5</v>
      </c>
      <c r="D12" s="19">
        <v>94</v>
      </c>
      <c r="E12" s="21">
        <v>2</v>
      </c>
    </row>
    <row r="13" spans="1:5" x14ac:dyDescent="0.3">
      <c r="A13" s="20">
        <v>46032</v>
      </c>
      <c r="B13" s="19" t="s">
        <v>4</v>
      </c>
      <c r="C13" s="19" t="s">
        <v>5</v>
      </c>
      <c r="D13" s="19">
        <v>28</v>
      </c>
      <c r="E13" s="21">
        <v>2</v>
      </c>
    </row>
    <row r="14" spans="1:5" x14ac:dyDescent="0.3">
      <c r="A14" s="20">
        <v>46033</v>
      </c>
      <c r="B14" s="19" t="s">
        <v>4</v>
      </c>
      <c r="C14" s="19" t="s">
        <v>5</v>
      </c>
      <c r="D14" s="19">
        <v>72</v>
      </c>
      <c r="E14" s="21">
        <v>2</v>
      </c>
    </row>
    <row r="15" spans="1:5" x14ac:dyDescent="0.3">
      <c r="A15" s="20">
        <v>46034</v>
      </c>
      <c r="B15" s="19" t="s">
        <v>4</v>
      </c>
      <c r="C15" s="19" t="s">
        <v>5</v>
      </c>
      <c r="D15" s="19">
        <v>63</v>
      </c>
      <c r="E15" s="21">
        <v>2</v>
      </c>
    </row>
    <row r="16" spans="1:5" x14ac:dyDescent="0.3">
      <c r="A16" s="20">
        <v>46035</v>
      </c>
      <c r="B16" s="19" t="s">
        <v>4</v>
      </c>
      <c r="C16" s="19" t="s">
        <v>5</v>
      </c>
      <c r="D16" s="19">
        <v>106</v>
      </c>
      <c r="E16" s="21">
        <v>2</v>
      </c>
    </row>
    <row r="17" spans="1:5" x14ac:dyDescent="0.3">
      <c r="A17" s="20">
        <v>46036</v>
      </c>
      <c r="B17" s="19" t="s">
        <v>4</v>
      </c>
      <c r="C17" s="19" t="s">
        <v>5</v>
      </c>
      <c r="D17" s="19">
        <v>92</v>
      </c>
      <c r="E17" s="21">
        <v>2</v>
      </c>
    </row>
    <row r="18" spans="1:5" x14ac:dyDescent="0.3">
      <c r="A18" s="20">
        <v>46037</v>
      </c>
      <c r="B18" s="19" t="s">
        <v>4</v>
      </c>
      <c r="C18" s="19" t="s">
        <v>5</v>
      </c>
      <c r="D18" s="19">
        <v>113</v>
      </c>
      <c r="E18" s="21">
        <v>3</v>
      </c>
    </row>
    <row r="19" spans="1:5" x14ac:dyDescent="0.3">
      <c r="A19" s="20">
        <v>46038</v>
      </c>
      <c r="B19" s="19" t="s">
        <v>4</v>
      </c>
      <c r="C19" s="19" t="s">
        <v>5</v>
      </c>
      <c r="D19" s="19">
        <v>120</v>
      </c>
      <c r="E19" s="21">
        <v>3</v>
      </c>
    </row>
    <row r="20" spans="1:5" x14ac:dyDescent="0.3">
      <c r="A20" s="20">
        <v>46039</v>
      </c>
      <c r="B20" s="19" t="s">
        <v>4</v>
      </c>
      <c r="C20" s="19" t="s">
        <v>5</v>
      </c>
      <c r="D20" s="19">
        <v>58</v>
      </c>
      <c r="E20" s="21">
        <v>3</v>
      </c>
    </row>
    <row r="21" spans="1:5" x14ac:dyDescent="0.3">
      <c r="A21" s="20">
        <v>46040</v>
      </c>
      <c r="B21" s="19" t="s">
        <v>4</v>
      </c>
      <c r="C21" s="19" t="s">
        <v>5</v>
      </c>
      <c r="D21" s="19">
        <v>47</v>
      </c>
      <c r="E21" s="21">
        <v>3</v>
      </c>
    </row>
    <row r="22" spans="1:5" x14ac:dyDescent="0.3">
      <c r="A22" s="20">
        <v>46041</v>
      </c>
      <c r="B22" s="19" t="s">
        <v>4</v>
      </c>
      <c r="C22" s="19" t="s">
        <v>5</v>
      </c>
      <c r="D22" s="19">
        <v>61</v>
      </c>
      <c r="E22" s="21">
        <v>3</v>
      </c>
    </row>
    <row r="23" spans="1:5" x14ac:dyDescent="0.3">
      <c r="A23" s="20">
        <v>46042</v>
      </c>
      <c r="B23" s="19" t="s">
        <v>4</v>
      </c>
      <c r="C23" s="19" t="s">
        <v>5</v>
      </c>
      <c r="D23" s="19">
        <v>105</v>
      </c>
      <c r="E23" s="21">
        <v>3</v>
      </c>
    </row>
    <row r="24" spans="1:5" x14ac:dyDescent="0.3">
      <c r="A24" s="20">
        <v>46043</v>
      </c>
      <c r="B24" s="19" t="s">
        <v>4</v>
      </c>
      <c r="C24" s="19" t="s">
        <v>5</v>
      </c>
      <c r="D24" s="19">
        <v>78</v>
      </c>
      <c r="E24" s="21">
        <v>3</v>
      </c>
    </row>
    <row r="25" spans="1:5" x14ac:dyDescent="0.3">
      <c r="A25" s="20">
        <v>46044</v>
      </c>
      <c r="B25" s="19" t="s">
        <v>4</v>
      </c>
      <c r="C25" s="19" t="s">
        <v>5</v>
      </c>
      <c r="D25" s="19">
        <v>39</v>
      </c>
      <c r="E25" s="21">
        <v>3</v>
      </c>
    </row>
    <row r="26" spans="1:5" x14ac:dyDescent="0.3">
      <c r="A26" s="20">
        <v>46045</v>
      </c>
      <c r="B26" s="19" t="s">
        <v>4</v>
      </c>
      <c r="C26" s="19" t="s">
        <v>5</v>
      </c>
      <c r="D26" s="19">
        <v>79</v>
      </c>
      <c r="E26" s="21">
        <v>4</v>
      </c>
    </row>
    <row r="27" spans="1:5" x14ac:dyDescent="0.3">
      <c r="A27" s="20">
        <v>46046</v>
      </c>
      <c r="B27" s="19" t="s">
        <v>4</v>
      </c>
      <c r="C27" s="19" t="s">
        <v>5</v>
      </c>
      <c r="D27" s="19">
        <v>79</v>
      </c>
      <c r="E27" s="21">
        <v>4</v>
      </c>
    </row>
    <row r="28" spans="1:5" x14ac:dyDescent="0.3">
      <c r="A28" s="20">
        <v>46047</v>
      </c>
      <c r="B28" s="19" t="s">
        <v>4</v>
      </c>
      <c r="C28" s="19" t="s">
        <v>5</v>
      </c>
      <c r="D28" s="19">
        <v>91</v>
      </c>
      <c r="E28" s="21">
        <v>4</v>
      </c>
    </row>
    <row r="29" spans="1:5" x14ac:dyDescent="0.3">
      <c r="A29" s="20">
        <v>46048</v>
      </c>
      <c r="B29" s="19" t="s">
        <v>4</v>
      </c>
      <c r="C29" s="19" t="s">
        <v>5</v>
      </c>
      <c r="D29" s="19">
        <v>35</v>
      </c>
      <c r="E29" s="21">
        <v>4</v>
      </c>
    </row>
    <row r="30" spans="1:5" x14ac:dyDescent="0.3">
      <c r="A30" s="20">
        <v>46049</v>
      </c>
      <c r="B30" s="19" t="s">
        <v>4</v>
      </c>
      <c r="C30" s="19" t="s">
        <v>5</v>
      </c>
      <c r="D30" s="19">
        <v>25</v>
      </c>
      <c r="E30" s="21">
        <v>4</v>
      </c>
    </row>
    <row r="31" spans="1:5" x14ac:dyDescent="0.3">
      <c r="A31" s="20">
        <v>46050</v>
      </c>
      <c r="B31" s="19" t="s">
        <v>4</v>
      </c>
      <c r="C31" s="19" t="s">
        <v>5</v>
      </c>
      <c r="D31" s="19">
        <v>52</v>
      </c>
      <c r="E31" s="21">
        <v>4</v>
      </c>
    </row>
    <row r="32" spans="1:5" x14ac:dyDescent="0.3">
      <c r="A32" s="20">
        <v>46051</v>
      </c>
      <c r="B32" s="19" t="s">
        <v>4</v>
      </c>
      <c r="C32" s="19" t="s">
        <v>5</v>
      </c>
      <c r="D32" s="19">
        <v>87</v>
      </c>
      <c r="E32" s="21">
        <v>4</v>
      </c>
    </row>
    <row r="33" spans="1:5" x14ac:dyDescent="0.3">
      <c r="A33" s="20">
        <v>46052</v>
      </c>
      <c r="B33" s="19" t="s">
        <v>4</v>
      </c>
      <c r="C33" s="19" t="s">
        <v>5</v>
      </c>
      <c r="D33" s="19">
        <v>95</v>
      </c>
      <c r="E33" s="21">
        <v>5</v>
      </c>
    </row>
    <row r="34" spans="1:5" x14ac:dyDescent="0.3">
      <c r="A34" s="20">
        <v>46053</v>
      </c>
      <c r="B34" s="19" t="s">
        <v>4</v>
      </c>
      <c r="C34" s="19" t="s">
        <v>5</v>
      </c>
      <c r="D34" s="19">
        <v>108</v>
      </c>
      <c r="E34" s="21">
        <v>5</v>
      </c>
    </row>
    <row r="35" spans="1:5" x14ac:dyDescent="0.3">
      <c r="A35" s="20">
        <v>46023</v>
      </c>
      <c r="B35" s="19" t="s">
        <v>6</v>
      </c>
      <c r="C35" s="19" t="s">
        <v>5</v>
      </c>
      <c r="D35" s="19">
        <v>289</v>
      </c>
      <c r="E35" s="21">
        <v>1</v>
      </c>
    </row>
    <row r="36" spans="1:5" x14ac:dyDescent="0.3">
      <c r="A36" s="20">
        <v>46024</v>
      </c>
      <c r="B36" s="19" t="s">
        <v>6</v>
      </c>
      <c r="C36" s="19" t="s">
        <v>5</v>
      </c>
      <c r="D36" s="19">
        <v>520</v>
      </c>
      <c r="E36" s="21">
        <v>1</v>
      </c>
    </row>
    <row r="37" spans="1:5" x14ac:dyDescent="0.3">
      <c r="A37" s="20">
        <v>46025</v>
      </c>
      <c r="B37" s="19" t="s">
        <v>6</v>
      </c>
      <c r="C37" s="19" t="s">
        <v>5</v>
      </c>
      <c r="D37" s="19">
        <v>323</v>
      </c>
      <c r="E37" s="21">
        <v>1</v>
      </c>
    </row>
    <row r="38" spans="1:5" x14ac:dyDescent="0.3">
      <c r="A38" s="20">
        <v>46026</v>
      </c>
      <c r="B38" s="19" t="s">
        <v>6</v>
      </c>
      <c r="C38" s="19" t="s">
        <v>5</v>
      </c>
      <c r="D38" s="19">
        <v>502</v>
      </c>
      <c r="E38" s="21">
        <v>1</v>
      </c>
    </row>
    <row r="39" spans="1:5" x14ac:dyDescent="0.3">
      <c r="A39" s="20">
        <v>46027</v>
      </c>
      <c r="B39" s="19" t="s">
        <v>6</v>
      </c>
      <c r="C39" s="19" t="s">
        <v>5</v>
      </c>
      <c r="D39" s="19">
        <v>631</v>
      </c>
      <c r="E39" s="21">
        <v>1</v>
      </c>
    </row>
    <row r="40" spans="1:5" x14ac:dyDescent="0.3">
      <c r="A40" s="20">
        <v>46028</v>
      </c>
      <c r="B40" s="19" t="s">
        <v>6</v>
      </c>
      <c r="C40" s="19" t="s">
        <v>5</v>
      </c>
      <c r="D40" s="19">
        <v>706</v>
      </c>
      <c r="E40" s="21">
        <v>1</v>
      </c>
    </row>
    <row r="41" spans="1:5" x14ac:dyDescent="0.3">
      <c r="A41" s="20">
        <v>46029</v>
      </c>
      <c r="B41" s="19" t="s">
        <v>6</v>
      </c>
      <c r="C41" s="19" t="s">
        <v>5</v>
      </c>
      <c r="D41" s="19">
        <v>276</v>
      </c>
      <c r="E41" s="21">
        <v>1</v>
      </c>
    </row>
    <row r="42" spans="1:5" x14ac:dyDescent="0.3">
      <c r="A42" s="20">
        <v>46030</v>
      </c>
      <c r="B42" s="19" t="s">
        <v>6</v>
      </c>
      <c r="C42" s="19" t="s">
        <v>5</v>
      </c>
      <c r="D42" s="19">
        <v>550</v>
      </c>
      <c r="E42" s="21">
        <v>2</v>
      </c>
    </row>
    <row r="43" spans="1:5" x14ac:dyDescent="0.3">
      <c r="A43" s="20">
        <v>46031</v>
      </c>
      <c r="B43" s="19" t="s">
        <v>6</v>
      </c>
      <c r="C43" s="19" t="s">
        <v>5</v>
      </c>
      <c r="D43" s="19">
        <v>312</v>
      </c>
      <c r="E43" s="21">
        <v>2</v>
      </c>
    </row>
    <row r="44" spans="1:5" x14ac:dyDescent="0.3">
      <c r="A44" s="20">
        <v>46032</v>
      </c>
      <c r="B44" s="19" t="s">
        <v>6</v>
      </c>
      <c r="C44" s="19" t="s">
        <v>5</v>
      </c>
      <c r="D44" s="19">
        <v>413</v>
      </c>
      <c r="E44" s="21">
        <v>2</v>
      </c>
    </row>
    <row r="45" spans="1:5" x14ac:dyDescent="0.3">
      <c r="A45" s="20">
        <v>46033</v>
      </c>
      <c r="B45" s="19" t="s">
        <v>6</v>
      </c>
      <c r="C45" s="19" t="s">
        <v>5</v>
      </c>
      <c r="D45" s="19">
        <v>794</v>
      </c>
      <c r="E45" s="21">
        <v>2</v>
      </c>
    </row>
    <row r="46" spans="1:5" x14ac:dyDescent="0.3">
      <c r="A46" s="20">
        <v>46034</v>
      </c>
      <c r="B46" s="19" t="s">
        <v>6</v>
      </c>
      <c r="C46" s="19" t="s">
        <v>5</v>
      </c>
      <c r="D46" s="19">
        <v>593</v>
      </c>
      <c r="E46" s="21">
        <v>2</v>
      </c>
    </row>
    <row r="47" spans="1:5" x14ac:dyDescent="0.3">
      <c r="A47" s="20">
        <v>46035</v>
      </c>
      <c r="B47" s="19" t="s">
        <v>6</v>
      </c>
      <c r="C47" s="19" t="s">
        <v>5</v>
      </c>
      <c r="D47" s="19">
        <v>389</v>
      </c>
      <c r="E47" s="21">
        <v>2</v>
      </c>
    </row>
    <row r="48" spans="1:5" x14ac:dyDescent="0.3">
      <c r="A48" s="20">
        <v>46036</v>
      </c>
      <c r="B48" s="19" t="s">
        <v>6</v>
      </c>
      <c r="C48" s="19" t="s">
        <v>5</v>
      </c>
      <c r="D48" s="19">
        <v>254</v>
      </c>
      <c r="E48" s="21">
        <v>2</v>
      </c>
    </row>
    <row r="49" spans="1:5" x14ac:dyDescent="0.3">
      <c r="A49" s="20">
        <v>46037</v>
      </c>
      <c r="B49" s="19" t="s">
        <v>6</v>
      </c>
      <c r="C49" s="19" t="s">
        <v>5</v>
      </c>
      <c r="D49" s="19">
        <v>757</v>
      </c>
      <c r="E49" s="21">
        <v>3</v>
      </c>
    </row>
    <row r="50" spans="1:5" x14ac:dyDescent="0.3">
      <c r="A50" s="20">
        <v>46038</v>
      </c>
      <c r="B50" s="19" t="s">
        <v>6</v>
      </c>
      <c r="C50" s="19" t="s">
        <v>5</v>
      </c>
      <c r="D50" s="19">
        <v>492</v>
      </c>
      <c r="E50" s="21">
        <v>3</v>
      </c>
    </row>
    <row r="51" spans="1:5" x14ac:dyDescent="0.3">
      <c r="A51" s="20">
        <v>46039</v>
      </c>
      <c r="B51" s="19" t="s">
        <v>6</v>
      </c>
      <c r="C51" s="19" t="s">
        <v>5</v>
      </c>
      <c r="D51" s="19">
        <v>709</v>
      </c>
      <c r="E51" s="21">
        <v>3</v>
      </c>
    </row>
    <row r="52" spans="1:5" x14ac:dyDescent="0.3">
      <c r="A52" s="20">
        <v>46040</v>
      </c>
      <c r="B52" s="19" t="s">
        <v>6</v>
      </c>
      <c r="C52" s="19" t="s">
        <v>5</v>
      </c>
      <c r="D52" s="19">
        <v>353</v>
      </c>
      <c r="E52" s="21">
        <v>3</v>
      </c>
    </row>
    <row r="53" spans="1:5" x14ac:dyDescent="0.3">
      <c r="A53" s="20">
        <v>46041</v>
      </c>
      <c r="B53" s="19" t="s">
        <v>6</v>
      </c>
      <c r="C53" s="19" t="s">
        <v>5</v>
      </c>
      <c r="D53" s="19">
        <v>724</v>
      </c>
      <c r="E53" s="21">
        <v>3</v>
      </c>
    </row>
    <row r="54" spans="1:5" x14ac:dyDescent="0.3">
      <c r="A54" s="20">
        <v>46042</v>
      </c>
      <c r="B54" s="19" t="s">
        <v>6</v>
      </c>
      <c r="C54" s="19" t="s">
        <v>5</v>
      </c>
      <c r="D54" s="19">
        <v>331</v>
      </c>
      <c r="E54" s="21">
        <v>3</v>
      </c>
    </row>
    <row r="55" spans="1:5" x14ac:dyDescent="0.3">
      <c r="A55" s="20">
        <v>46043</v>
      </c>
      <c r="B55" s="19" t="s">
        <v>6</v>
      </c>
      <c r="C55" s="19" t="s">
        <v>5</v>
      </c>
      <c r="D55" s="19">
        <v>439</v>
      </c>
      <c r="E55" s="21">
        <v>3</v>
      </c>
    </row>
    <row r="56" spans="1:5" x14ac:dyDescent="0.3">
      <c r="A56" s="20">
        <v>46044</v>
      </c>
      <c r="B56" s="19" t="s">
        <v>6</v>
      </c>
      <c r="C56" s="19" t="s">
        <v>5</v>
      </c>
      <c r="D56" s="19">
        <v>262</v>
      </c>
      <c r="E56" s="21">
        <v>3</v>
      </c>
    </row>
    <row r="57" spans="1:5" x14ac:dyDescent="0.3">
      <c r="A57" s="20">
        <v>46045</v>
      </c>
      <c r="B57" s="19" t="s">
        <v>6</v>
      </c>
      <c r="C57" s="19" t="s">
        <v>5</v>
      </c>
      <c r="D57" s="19">
        <v>267</v>
      </c>
      <c r="E57" s="21">
        <v>4</v>
      </c>
    </row>
    <row r="58" spans="1:5" x14ac:dyDescent="0.3">
      <c r="A58" s="20">
        <v>46046</v>
      </c>
      <c r="B58" s="19" t="s">
        <v>6</v>
      </c>
      <c r="C58" s="19" t="s">
        <v>5</v>
      </c>
      <c r="D58" s="19">
        <v>494</v>
      </c>
      <c r="E58" s="21">
        <v>4</v>
      </c>
    </row>
    <row r="59" spans="1:5" x14ac:dyDescent="0.3">
      <c r="A59" s="20">
        <v>46047</v>
      </c>
      <c r="B59" s="19" t="s">
        <v>6</v>
      </c>
      <c r="C59" s="19" t="s">
        <v>5</v>
      </c>
      <c r="D59" s="19">
        <v>435</v>
      </c>
      <c r="E59" s="21">
        <v>4</v>
      </c>
    </row>
    <row r="60" spans="1:5" x14ac:dyDescent="0.3">
      <c r="A60" s="20">
        <v>46048</v>
      </c>
      <c r="B60" s="19" t="s">
        <v>6</v>
      </c>
      <c r="C60" s="19" t="s">
        <v>5</v>
      </c>
      <c r="D60" s="19">
        <v>460</v>
      </c>
      <c r="E60" s="21">
        <v>4</v>
      </c>
    </row>
    <row r="61" spans="1:5" x14ac:dyDescent="0.3">
      <c r="A61" s="20">
        <v>46049</v>
      </c>
      <c r="B61" s="19" t="s">
        <v>6</v>
      </c>
      <c r="C61" s="19" t="s">
        <v>5</v>
      </c>
      <c r="D61" s="19">
        <v>366</v>
      </c>
      <c r="E61" s="21">
        <v>4</v>
      </c>
    </row>
    <row r="62" spans="1:5" x14ac:dyDescent="0.3">
      <c r="A62" s="20">
        <v>46050</v>
      </c>
      <c r="B62" s="19" t="s">
        <v>6</v>
      </c>
      <c r="C62" s="19" t="s">
        <v>5</v>
      </c>
      <c r="D62" s="19">
        <v>581</v>
      </c>
      <c r="E62" s="21">
        <v>4</v>
      </c>
    </row>
    <row r="63" spans="1:5" x14ac:dyDescent="0.3">
      <c r="A63" s="20">
        <v>46051</v>
      </c>
      <c r="B63" s="19" t="s">
        <v>6</v>
      </c>
      <c r="C63" s="19" t="s">
        <v>5</v>
      </c>
      <c r="D63" s="19">
        <v>458</v>
      </c>
      <c r="E63" s="21">
        <v>4</v>
      </c>
    </row>
    <row r="64" spans="1:5" x14ac:dyDescent="0.3">
      <c r="A64" s="20">
        <v>46052</v>
      </c>
      <c r="B64" s="19" t="s">
        <v>6</v>
      </c>
      <c r="C64" s="19" t="s">
        <v>5</v>
      </c>
      <c r="D64" s="19">
        <v>279</v>
      </c>
      <c r="E64" s="21">
        <v>5</v>
      </c>
    </row>
    <row r="65" spans="1:5" x14ac:dyDescent="0.3">
      <c r="A65" s="20">
        <v>46053</v>
      </c>
      <c r="B65" s="19" t="s">
        <v>6</v>
      </c>
      <c r="C65" s="19" t="s">
        <v>5</v>
      </c>
      <c r="D65" s="19">
        <v>734</v>
      </c>
      <c r="E65" s="21">
        <v>5</v>
      </c>
    </row>
    <row r="66" spans="1:5" x14ac:dyDescent="0.3">
      <c r="A66" s="20">
        <v>46023</v>
      </c>
      <c r="B66" s="19" t="s">
        <v>7</v>
      </c>
      <c r="C66" s="19" t="s">
        <v>5</v>
      </c>
      <c r="D66" s="19">
        <v>188</v>
      </c>
      <c r="E66" s="21">
        <v>1</v>
      </c>
    </row>
    <row r="67" spans="1:5" x14ac:dyDescent="0.3">
      <c r="A67" s="20">
        <v>46024</v>
      </c>
      <c r="B67" s="19" t="s">
        <v>7</v>
      </c>
      <c r="C67" s="19" t="s">
        <v>5</v>
      </c>
      <c r="D67" s="19">
        <v>262</v>
      </c>
      <c r="E67" s="21">
        <v>1</v>
      </c>
    </row>
    <row r="68" spans="1:5" x14ac:dyDescent="0.3">
      <c r="A68" s="20">
        <v>46025</v>
      </c>
      <c r="B68" s="19" t="s">
        <v>7</v>
      </c>
      <c r="C68" s="19" t="s">
        <v>5</v>
      </c>
      <c r="D68" s="19">
        <v>191</v>
      </c>
      <c r="E68" s="21">
        <v>1</v>
      </c>
    </row>
    <row r="69" spans="1:5" x14ac:dyDescent="0.3">
      <c r="A69" s="20">
        <v>46026</v>
      </c>
      <c r="B69" s="19" t="s">
        <v>7</v>
      </c>
      <c r="C69" s="19" t="s">
        <v>5</v>
      </c>
      <c r="D69" s="19">
        <v>256</v>
      </c>
      <c r="E69" s="21">
        <v>1</v>
      </c>
    </row>
    <row r="70" spans="1:5" x14ac:dyDescent="0.3">
      <c r="A70" s="20">
        <v>46027</v>
      </c>
      <c r="B70" s="19" t="s">
        <v>7</v>
      </c>
      <c r="C70" s="19" t="s">
        <v>5</v>
      </c>
      <c r="D70" s="19">
        <v>263</v>
      </c>
      <c r="E70" s="21">
        <v>1</v>
      </c>
    </row>
    <row r="71" spans="1:5" x14ac:dyDescent="0.3">
      <c r="A71" s="20">
        <v>46028</v>
      </c>
      <c r="B71" s="19" t="s">
        <v>7</v>
      </c>
      <c r="C71" s="19" t="s">
        <v>5</v>
      </c>
      <c r="D71" s="19">
        <v>204</v>
      </c>
      <c r="E71" s="21">
        <v>1</v>
      </c>
    </row>
    <row r="72" spans="1:5" x14ac:dyDescent="0.3">
      <c r="A72" s="20">
        <v>46029</v>
      </c>
      <c r="B72" s="19" t="s">
        <v>7</v>
      </c>
      <c r="C72" s="19" t="s">
        <v>5</v>
      </c>
      <c r="D72" s="19">
        <v>255</v>
      </c>
      <c r="E72" s="21">
        <v>1</v>
      </c>
    </row>
    <row r="73" spans="1:5" x14ac:dyDescent="0.3">
      <c r="A73" s="20">
        <v>46030</v>
      </c>
      <c r="B73" s="19" t="s">
        <v>7</v>
      </c>
      <c r="C73" s="19" t="s">
        <v>5</v>
      </c>
      <c r="D73" s="19">
        <v>244</v>
      </c>
      <c r="E73" s="21">
        <v>2</v>
      </c>
    </row>
    <row r="74" spans="1:5" x14ac:dyDescent="0.3">
      <c r="A74" s="20">
        <v>46031</v>
      </c>
      <c r="B74" s="19" t="s">
        <v>7</v>
      </c>
      <c r="C74" s="19" t="s">
        <v>5</v>
      </c>
      <c r="D74" s="19">
        <v>157</v>
      </c>
      <c r="E74" s="21">
        <v>2</v>
      </c>
    </row>
    <row r="75" spans="1:5" x14ac:dyDescent="0.3">
      <c r="A75" s="20">
        <v>46032</v>
      </c>
      <c r="B75" s="19" t="s">
        <v>7</v>
      </c>
      <c r="C75" s="19" t="s">
        <v>5</v>
      </c>
      <c r="D75" s="19">
        <v>169</v>
      </c>
      <c r="E75" s="21">
        <v>2</v>
      </c>
    </row>
    <row r="76" spans="1:5" x14ac:dyDescent="0.3">
      <c r="A76" s="20">
        <v>46033</v>
      </c>
      <c r="B76" s="19" t="s">
        <v>7</v>
      </c>
      <c r="C76" s="19" t="s">
        <v>5</v>
      </c>
      <c r="D76" s="19">
        <v>227</v>
      </c>
      <c r="E76" s="21">
        <v>2</v>
      </c>
    </row>
    <row r="77" spans="1:5" x14ac:dyDescent="0.3">
      <c r="A77" s="20">
        <v>46034</v>
      </c>
      <c r="B77" s="19" t="s">
        <v>7</v>
      </c>
      <c r="C77" s="19" t="s">
        <v>5</v>
      </c>
      <c r="D77" s="19">
        <v>174</v>
      </c>
      <c r="E77" s="21">
        <v>2</v>
      </c>
    </row>
    <row r="78" spans="1:5" x14ac:dyDescent="0.3">
      <c r="A78" s="20">
        <v>46035</v>
      </c>
      <c r="B78" s="19" t="s">
        <v>7</v>
      </c>
      <c r="C78" s="19" t="s">
        <v>5</v>
      </c>
      <c r="D78" s="19">
        <v>250</v>
      </c>
      <c r="E78" s="21">
        <v>2</v>
      </c>
    </row>
    <row r="79" spans="1:5" x14ac:dyDescent="0.3">
      <c r="A79" s="20">
        <v>46036</v>
      </c>
      <c r="B79" s="19" t="s">
        <v>7</v>
      </c>
      <c r="C79" s="19" t="s">
        <v>5</v>
      </c>
      <c r="D79" s="19">
        <v>117</v>
      </c>
      <c r="E79" s="21">
        <v>2</v>
      </c>
    </row>
    <row r="80" spans="1:5" x14ac:dyDescent="0.3">
      <c r="A80" s="20">
        <v>46037</v>
      </c>
      <c r="B80" s="19" t="s">
        <v>7</v>
      </c>
      <c r="C80" s="19" t="s">
        <v>5</v>
      </c>
      <c r="D80" s="19">
        <v>161</v>
      </c>
      <c r="E80" s="21">
        <v>3</v>
      </c>
    </row>
    <row r="81" spans="1:5" x14ac:dyDescent="0.3">
      <c r="A81" s="20">
        <v>46038</v>
      </c>
      <c r="B81" s="19" t="s">
        <v>7</v>
      </c>
      <c r="C81" s="19" t="s">
        <v>5</v>
      </c>
      <c r="D81" s="19">
        <v>277</v>
      </c>
      <c r="E81" s="21">
        <v>3</v>
      </c>
    </row>
    <row r="82" spans="1:5" x14ac:dyDescent="0.3">
      <c r="A82" s="20">
        <v>46039</v>
      </c>
      <c r="B82" s="19" t="s">
        <v>7</v>
      </c>
      <c r="C82" s="19" t="s">
        <v>5</v>
      </c>
      <c r="D82" s="19">
        <v>274</v>
      </c>
      <c r="E82" s="21">
        <v>3</v>
      </c>
    </row>
    <row r="83" spans="1:5" x14ac:dyDescent="0.3">
      <c r="A83" s="20">
        <v>46040</v>
      </c>
      <c r="B83" s="19" t="s">
        <v>7</v>
      </c>
      <c r="C83" s="19" t="s">
        <v>5</v>
      </c>
      <c r="D83" s="19">
        <v>262</v>
      </c>
      <c r="E83" s="21">
        <v>3</v>
      </c>
    </row>
    <row r="84" spans="1:5" x14ac:dyDescent="0.3">
      <c r="A84" s="20">
        <v>46041</v>
      </c>
      <c r="B84" s="19" t="s">
        <v>7</v>
      </c>
      <c r="C84" s="19" t="s">
        <v>5</v>
      </c>
      <c r="D84" s="19">
        <v>202</v>
      </c>
      <c r="E84" s="21">
        <v>3</v>
      </c>
    </row>
    <row r="85" spans="1:5" x14ac:dyDescent="0.3">
      <c r="A85" s="20">
        <v>46042</v>
      </c>
      <c r="B85" s="19" t="s">
        <v>7</v>
      </c>
      <c r="C85" s="19" t="s">
        <v>5</v>
      </c>
      <c r="D85" s="19">
        <v>245</v>
      </c>
      <c r="E85" s="21">
        <v>3</v>
      </c>
    </row>
    <row r="86" spans="1:5" x14ac:dyDescent="0.3">
      <c r="A86" s="20">
        <v>46043</v>
      </c>
      <c r="B86" s="19" t="s">
        <v>7</v>
      </c>
      <c r="C86" s="19" t="s">
        <v>5</v>
      </c>
      <c r="D86" s="19">
        <v>191</v>
      </c>
      <c r="E86" s="21">
        <v>3</v>
      </c>
    </row>
    <row r="87" spans="1:5" x14ac:dyDescent="0.3">
      <c r="A87" s="20">
        <v>46044</v>
      </c>
      <c r="B87" s="19" t="s">
        <v>7</v>
      </c>
      <c r="C87" s="19" t="s">
        <v>5</v>
      </c>
      <c r="D87" s="19">
        <v>125</v>
      </c>
      <c r="E87" s="21">
        <v>3</v>
      </c>
    </row>
    <row r="88" spans="1:5" x14ac:dyDescent="0.3">
      <c r="A88" s="20">
        <v>46045</v>
      </c>
      <c r="B88" s="19" t="s">
        <v>7</v>
      </c>
      <c r="C88" s="19" t="s">
        <v>5</v>
      </c>
      <c r="D88" s="19">
        <v>203</v>
      </c>
      <c r="E88" s="21">
        <v>4</v>
      </c>
    </row>
    <row r="89" spans="1:5" x14ac:dyDescent="0.3">
      <c r="A89" s="20">
        <v>46046</v>
      </c>
      <c r="B89" s="19" t="s">
        <v>7</v>
      </c>
      <c r="C89" s="19" t="s">
        <v>5</v>
      </c>
      <c r="D89" s="19">
        <v>243</v>
      </c>
      <c r="E89" s="21">
        <v>4</v>
      </c>
    </row>
    <row r="90" spans="1:5" x14ac:dyDescent="0.3">
      <c r="A90" s="20">
        <v>46047</v>
      </c>
      <c r="B90" s="19" t="s">
        <v>7</v>
      </c>
      <c r="C90" s="19" t="s">
        <v>5</v>
      </c>
      <c r="D90" s="19">
        <v>234</v>
      </c>
      <c r="E90" s="21">
        <v>4</v>
      </c>
    </row>
    <row r="91" spans="1:5" x14ac:dyDescent="0.3">
      <c r="A91" s="20">
        <v>46048</v>
      </c>
      <c r="B91" s="19" t="s">
        <v>7</v>
      </c>
      <c r="C91" s="19" t="s">
        <v>5</v>
      </c>
      <c r="D91" s="19">
        <v>200</v>
      </c>
      <c r="E91" s="21">
        <v>4</v>
      </c>
    </row>
    <row r="92" spans="1:5" x14ac:dyDescent="0.3">
      <c r="A92" s="20">
        <v>46049</v>
      </c>
      <c r="B92" s="19" t="s">
        <v>7</v>
      </c>
      <c r="C92" s="19" t="s">
        <v>5</v>
      </c>
      <c r="D92" s="19">
        <v>275</v>
      </c>
      <c r="E92" s="21">
        <v>4</v>
      </c>
    </row>
    <row r="93" spans="1:5" x14ac:dyDescent="0.3">
      <c r="A93" s="20">
        <v>46050</v>
      </c>
      <c r="B93" s="19" t="s">
        <v>7</v>
      </c>
      <c r="C93" s="19" t="s">
        <v>5</v>
      </c>
      <c r="D93" s="19">
        <v>285</v>
      </c>
      <c r="E93" s="21">
        <v>4</v>
      </c>
    </row>
    <row r="94" spans="1:5" x14ac:dyDescent="0.3">
      <c r="A94" s="20">
        <v>46051</v>
      </c>
      <c r="B94" s="19" t="s">
        <v>7</v>
      </c>
      <c r="C94" s="19" t="s">
        <v>5</v>
      </c>
      <c r="D94" s="19">
        <v>258</v>
      </c>
      <c r="E94" s="21">
        <v>4</v>
      </c>
    </row>
    <row r="95" spans="1:5" x14ac:dyDescent="0.3">
      <c r="A95" s="20">
        <v>46052</v>
      </c>
      <c r="B95" s="19" t="s">
        <v>7</v>
      </c>
      <c r="C95" s="19" t="s">
        <v>5</v>
      </c>
      <c r="D95" s="19">
        <v>166</v>
      </c>
      <c r="E95" s="21">
        <v>5</v>
      </c>
    </row>
    <row r="96" spans="1:5" x14ac:dyDescent="0.3">
      <c r="A96" s="20">
        <v>46053</v>
      </c>
      <c r="B96" s="19" t="s">
        <v>7</v>
      </c>
      <c r="C96" s="19" t="s">
        <v>5</v>
      </c>
      <c r="D96" s="19">
        <v>130</v>
      </c>
      <c r="E96" s="21">
        <v>5</v>
      </c>
    </row>
    <row r="97" spans="1:5" x14ac:dyDescent="0.3">
      <c r="A97" s="20">
        <v>46023</v>
      </c>
      <c r="B97" s="19" t="s">
        <v>4</v>
      </c>
      <c r="C97" s="19" t="s">
        <v>8</v>
      </c>
      <c r="D97" s="19">
        <v>56</v>
      </c>
      <c r="E97" s="21">
        <v>1</v>
      </c>
    </row>
    <row r="98" spans="1:5" x14ac:dyDescent="0.3">
      <c r="A98" s="20">
        <v>46024</v>
      </c>
      <c r="B98" s="19" t="s">
        <v>4</v>
      </c>
      <c r="C98" s="19" t="s">
        <v>8</v>
      </c>
      <c r="D98" s="19">
        <v>37</v>
      </c>
      <c r="E98" s="21">
        <v>1</v>
      </c>
    </row>
    <row r="99" spans="1:5" x14ac:dyDescent="0.3">
      <c r="A99" s="20">
        <v>46025</v>
      </c>
      <c r="B99" s="19" t="s">
        <v>4</v>
      </c>
      <c r="C99" s="19" t="s">
        <v>8</v>
      </c>
      <c r="D99" s="19">
        <v>39</v>
      </c>
      <c r="E99" s="21">
        <v>1</v>
      </c>
    </row>
    <row r="100" spans="1:5" x14ac:dyDescent="0.3">
      <c r="A100" s="20">
        <v>46026</v>
      </c>
      <c r="B100" s="19" t="s">
        <v>4</v>
      </c>
      <c r="C100" s="19" t="s">
        <v>8</v>
      </c>
      <c r="D100" s="19">
        <v>114</v>
      </c>
      <c r="E100" s="21">
        <v>1</v>
      </c>
    </row>
    <row r="101" spans="1:5" x14ac:dyDescent="0.3">
      <c r="A101" s="20">
        <v>46027</v>
      </c>
      <c r="B101" s="19" t="s">
        <v>4</v>
      </c>
      <c r="C101" s="19" t="s">
        <v>8</v>
      </c>
      <c r="D101" s="19">
        <v>105</v>
      </c>
      <c r="E101" s="21">
        <v>1</v>
      </c>
    </row>
    <row r="102" spans="1:5" x14ac:dyDescent="0.3">
      <c r="A102" s="20">
        <v>46028</v>
      </c>
      <c r="B102" s="19" t="s">
        <v>4</v>
      </c>
      <c r="C102" s="19" t="s">
        <v>8</v>
      </c>
      <c r="D102" s="19">
        <v>67</v>
      </c>
      <c r="E102" s="21">
        <v>1</v>
      </c>
    </row>
    <row r="103" spans="1:5" x14ac:dyDescent="0.3">
      <c r="A103" s="20">
        <v>46029</v>
      </c>
      <c r="B103" s="19" t="s">
        <v>4</v>
      </c>
      <c r="C103" s="19" t="s">
        <v>8</v>
      </c>
      <c r="D103" s="19">
        <v>71</v>
      </c>
      <c r="E103" s="21">
        <v>1</v>
      </c>
    </row>
    <row r="104" spans="1:5" x14ac:dyDescent="0.3">
      <c r="A104" s="20">
        <v>46030</v>
      </c>
      <c r="B104" s="19" t="s">
        <v>4</v>
      </c>
      <c r="C104" s="19" t="s">
        <v>8</v>
      </c>
      <c r="D104" s="19">
        <v>104</v>
      </c>
      <c r="E104" s="21">
        <v>2</v>
      </c>
    </row>
    <row r="105" spans="1:5" x14ac:dyDescent="0.3">
      <c r="A105" s="20">
        <v>46031</v>
      </c>
      <c r="B105" s="19" t="s">
        <v>4</v>
      </c>
      <c r="C105" s="19" t="s">
        <v>8</v>
      </c>
      <c r="D105" s="19">
        <v>99</v>
      </c>
      <c r="E105" s="21">
        <v>2</v>
      </c>
    </row>
    <row r="106" spans="1:5" x14ac:dyDescent="0.3">
      <c r="A106" s="20">
        <v>46032</v>
      </c>
      <c r="B106" s="19" t="s">
        <v>4</v>
      </c>
      <c r="C106" s="19" t="s">
        <v>8</v>
      </c>
      <c r="D106" s="19">
        <v>42</v>
      </c>
      <c r="E106" s="21">
        <v>2</v>
      </c>
    </row>
    <row r="107" spans="1:5" x14ac:dyDescent="0.3">
      <c r="A107" s="20">
        <v>46033</v>
      </c>
      <c r="B107" s="19" t="s">
        <v>4</v>
      </c>
      <c r="C107" s="19" t="s">
        <v>8</v>
      </c>
      <c r="D107" s="19">
        <v>119</v>
      </c>
      <c r="E107" s="21">
        <v>2</v>
      </c>
    </row>
    <row r="108" spans="1:5" x14ac:dyDescent="0.3">
      <c r="A108" s="20">
        <v>46034</v>
      </c>
      <c r="B108" s="19" t="s">
        <v>4</v>
      </c>
      <c r="C108" s="19" t="s">
        <v>8</v>
      </c>
      <c r="D108" s="19">
        <v>85</v>
      </c>
      <c r="E108" s="21">
        <v>2</v>
      </c>
    </row>
    <row r="109" spans="1:5" x14ac:dyDescent="0.3">
      <c r="A109" s="20">
        <v>46035</v>
      </c>
      <c r="B109" s="19" t="s">
        <v>4</v>
      </c>
      <c r="C109" s="19" t="s">
        <v>8</v>
      </c>
      <c r="D109" s="19">
        <v>61</v>
      </c>
      <c r="E109" s="21">
        <v>2</v>
      </c>
    </row>
    <row r="110" spans="1:5" x14ac:dyDescent="0.3">
      <c r="A110" s="20">
        <v>46036</v>
      </c>
      <c r="B110" s="19" t="s">
        <v>4</v>
      </c>
      <c r="C110" s="19" t="s">
        <v>8</v>
      </c>
      <c r="D110" s="19">
        <v>70</v>
      </c>
      <c r="E110" s="21">
        <v>2</v>
      </c>
    </row>
    <row r="111" spans="1:5" x14ac:dyDescent="0.3">
      <c r="A111" s="20">
        <v>46037</v>
      </c>
      <c r="B111" s="19" t="s">
        <v>4</v>
      </c>
      <c r="C111" s="19" t="s">
        <v>8</v>
      </c>
      <c r="D111" s="19">
        <v>101</v>
      </c>
      <c r="E111" s="21">
        <v>3</v>
      </c>
    </row>
    <row r="112" spans="1:5" x14ac:dyDescent="0.3">
      <c r="A112" s="20">
        <v>46038</v>
      </c>
      <c r="B112" s="19" t="s">
        <v>4</v>
      </c>
      <c r="C112" s="19" t="s">
        <v>8</v>
      </c>
      <c r="D112" s="19">
        <v>111</v>
      </c>
      <c r="E112" s="21">
        <v>3</v>
      </c>
    </row>
    <row r="113" spans="1:5" x14ac:dyDescent="0.3">
      <c r="A113" s="20">
        <v>46039</v>
      </c>
      <c r="B113" s="19" t="s">
        <v>4</v>
      </c>
      <c r="C113" s="19" t="s">
        <v>8</v>
      </c>
      <c r="D113" s="19">
        <v>30</v>
      </c>
      <c r="E113" s="21">
        <v>3</v>
      </c>
    </row>
    <row r="114" spans="1:5" x14ac:dyDescent="0.3">
      <c r="A114" s="20">
        <v>46040</v>
      </c>
      <c r="B114" s="19" t="s">
        <v>4</v>
      </c>
      <c r="C114" s="19" t="s">
        <v>8</v>
      </c>
      <c r="D114" s="19">
        <v>32</v>
      </c>
      <c r="E114" s="21">
        <v>3</v>
      </c>
    </row>
    <row r="115" spans="1:5" x14ac:dyDescent="0.3">
      <c r="A115" s="20">
        <v>46041</v>
      </c>
      <c r="B115" s="19" t="s">
        <v>4</v>
      </c>
      <c r="C115" s="19" t="s">
        <v>8</v>
      </c>
      <c r="D115" s="19">
        <v>99</v>
      </c>
      <c r="E115" s="21">
        <v>3</v>
      </c>
    </row>
    <row r="116" spans="1:5" x14ac:dyDescent="0.3">
      <c r="A116" s="20">
        <v>46042</v>
      </c>
      <c r="B116" s="19" t="s">
        <v>4</v>
      </c>
      <c r="C116" s="19" t="s">
        <v>8</v>
      </c>
      <c r="D116" s="19">
        <v>99</v>
      </c>
      <c r="E116" s="21">
        <v>3</v>
      </c>
    </row>
    <row r="117" spans="1:5" x14ac:dyDescent="0.3">
      <c r="A117" s="20">
        <v>46043</v>
      </c>
      <c r="B117" s="19" t="s">
        <v>4</v>
      </c>
      <c r="C117" s="19" t="s">
        <v>8</v>
      </c>
      <c r="D117" s="19">
        <v>112</v>
      </c>
      <c r="E117" s="21">
        <v>3</v>
      </c>
    </row>
    <row r="118" spans="1:5" x14ac:dyDescent="0.3">
      <c r="A118" s="20">
        <v>46044</v>
      </c>
      <c r="B118" s="19" t="s">
        <v>4</v>
      </c>
      <c r="C118" s="19" t="s">
        <v>8</v>
      </c>
      <c r="D118" s="19">
        <v>86</v>
      </c>
      <c r="E118" s="21">
        <v>3</v>
      </c>
    </row>
    <row r="119" spans="1:5" x14ac:dyDescent="0.3">
      <c r="A119" s="20">
        <v>46045</v>
      </c>
      <c r="B119" s="19" t="s">
        <v>4</v>
      </c>
      <c r="C119" s="19" t="s">
        <v>8</v>
      </c>
      <c r="D119" s="19">
        <v>119</v>
      </c>
      <c r="E119" s="21">
        <v>4</v>
      </c>
    </row>
    <row r="120" spans="1:5" x14ac:dyDescent="0.3">
      <c r="A120" s="20">
        <v>46046</v>
      </c>
      <c r="B120" s="19" t="s">
        <v>4</v>
      </c>
      <c r="C120" s="19" t="s">
        <v>8</v>
      </c>
      <c r="D120" s="19">
        <v>71</v>
      </c>
      <c r="E120" s="21">
        <v>4</v>
      </c>
    </row>
    <row r="121" spans="1:5" x14ac:dyDescent="0.3">
      <c r="A121" s="20">
        <v>46047</v>
      </c>
      <c r="B121" s="19" t="s">
        <v>4</v>
      </c>
      <c r="C121" s="19" t="s">
        <v>8</v>
      </c>
      <c r="D121" s="19">
        <v>69</v>
      </c>
      <c r="E121" s="21">
        <v>4</v>
      </c>
    </row>
    <row r="122" spans="1:5" x14ac:dyDescent="0.3">
      <c r="A122" s="20">
        <v>46048</v>
      </c>
      <c r="B122" s="19" t="s">
        <v>4</v>
      </c>
      <c r="C122" s="19" t="s">
        <v>8</v>
      </c>
      <c r="D122" s="19">
        <v>83</v>
      </c>
      <c r="E122" s="21">
        <v>4</v>
      </c>
    </row>
    <row r="123" spans="1:5" x14ac:dyDescent="0.3">
      <c r="A123" s="20">
        <v>46049</v>
      </c>
      <c r="B123" s="19" t="s">
        <v>4</v>
      </c>
      <c r="C123" s="19" t="s">
        <v>8</v>
      </c>
      <c r="D123" s="19">
        <v>75</v>
      </c>
      <c r="E123" s="21">
        <v>4</v>
      </c>
    </row>
    <row r="124" spans="1:5" x14ac:dyDescent="0.3">
      <c r="A124" s="20">
        <v>46050</v>
      </c>
      <c r="B124" s="19" t="s">
        <v>4</v>
      </c>
      <c r="C124" s="19" t="s">
        <v>8</v>
      </c>
      <c r="D124" s="19">
        <v>88</v>
      </c>
      <c r="E124" s="21">
        <v>4</v>
      </c>
    </row>
    <row r="125" spans="1:5" x14ac:dyDescent="0.3">
      <c r="A125" s="20">
        <v>46051</v>
      </c>
      <c r="B125" s="19" t="s">
        <v>4</v>
      </c>
      <c r="C125" s="19" t="s">
        <v>8</v>
      </c>
      <c r="D125" s="19">
        <v>105</v>
      </c>
      <c r="E125" s="21">
        <v>4</v>
      </c>
    </row>
    <row r="126" spans="1:5" x14ac:dyDescent="0.3">
      <c r="A126" s="20">
        <v>46052</v>
      </c>
      <c r="B126" s="19" t="s">
        <v>4</v>
      </c>
      <c r="C126" s="19" t="s">
        <v>8</v>
      </c>
      <c r="D126" s="19">
        <v>75</v>
      </c>
      <c r="E126" s="21">
        <v>5</v>
      </c>
    </row>
    <row r="127" spans="1:5" x14ac:dyDescent="0.3">
      <c r="A127" s="20">
        <v>46053</v>
      </c>
      <c r="B127" s="19" t="s">
        <v>4</v>
      </c>
      <c r="C127" s="19" t="s">
        <v>8</v>
      </c>
      <c r="D127" s="19">
        <v>110</v>
      </c>
      <c r="E127" s="21">
        <v>5</v>
      </c>
    </row>
    <row r="128" spans="1:5" x14ac:dyDescent="0.3">
      <c r="A128" s="20">
        <v>46023</v>
      </c>
      <c r="B128" s="19" t="s">
        <v>6</v>
      </c>
      <c r="C128" s="19" t="s">
        <v>8</v>
      </c>
      <c r="D128" s="19">
        <v>440</v>
      </c>
      <c r="E128" s="21">
        <v>1</v>
      </c>
    </row>
    <row r="129" spans="1:5" x14ac:dyDescent="0.3">
      <c r="A129" s="20">
        <v>46024</v>
      </c>
      <c r="B129" s="19" t="s">
        <v>6</v>
      </c>
      <c r="C129" s="19" t="s">
        <v>8</v>
      </c>
      <c r="D129" s="19">
        <v>642</v>
      </c>
      <c r="E129" s="21">
        <v>1</v>
      </c>
    </row>
    <row r="130" spans="1:5" x14ac:dyDescent="0.3">
      <c r="A130" s="20">
        <v>46025</v>
      </c>
      <c r="B130" s="19" t="s">
        <v>6</v>
      </c>
      <c r="C130" s="19" t="s">
        <v>8</v>
      </c>
      <c r="D130" s="19">
        <v>368</v>
      </c>
      <c r="E130" s="21">
        <v>1</v>
      </c>
    </row>
    <row r="131" spans="1:5" x14ac:dyDescent="0.3">
      <c r="A131" s="20">
        <v>46026</v>
      </c>
      <c r="B131" s="19" t="s">
        <v>6</v>
      </c>
      <c r="C131" s="19" t="s">
        <v>8</v>
      </c>
      <c r="D131" s="19">
        <v>649</v>
      </c>
      <c r="E131" s="21">
        <v>1</v>
      </c>
    </row>
    <row r="132" spans="1:5" x14ac:dyDescent="0.3">
      <c r="A132" s="20">
        <v>46027</v>
      </c>
      <c r="B132" s="19" t="s">
        <v>6</v>
      </c>
      <c r="C132" s="19" t="s">
        <v>8</v>
      </c>
      <c r="D132" s="19">
        <v>331</v>
      </c>
      <c r="E132" s="21">
        <v>1</v>
      </c>
    </row>
    <row r="133" spans="1:5" x14ac:dyDescent="0.3">
      <c r="A133" s="20">
        <v>46028</v>
      </c>
      <c r="B133" s="19" t="s">
        <v>6</v>
      </c>
      <c r="C133" s="19" t="s">
        <v>8</v>
      </c>
      <c r="D133" s="19">
        <v>361</v>
      </c>
      <c r="E133" s="21">
        <v>1</v>
      </c>
    </row>
    <row r="134" spans="1:5" x14ac:dyDescent="0.3">
      <c r="A134" s="20">
        <v>46029</v>
      </c>
      <c r="B134" s="19" t="s">
        <v>6</v>
      </c>
      <c r="C134" s="19" t="s">
        <v>8</v>
      </c>
      <c r="D134" s="19">
        <v>531</v>
      </c>
      <c r="E134" s="21">
        <v>1</v>
      </c>
    </row>
    <row r="135" spans="1:5" x14ac:dyDescent="0.3">
      <c r="A135" s="20">
        <v>46030</v>
      </c>
      <c r="B135" s="19" t="s">
        <v>6</v>
      </c>
      <c r="C135" s="19" t="s">
        <v>8</v>
      </c>
      <c r="D135" s="19">
        <v>704</v>
      </c>
      <c r="E135" s="21">
        <v>2</v>
      </c>
    </row>
    <row r="136" spans="1:5" x14ac:dyDescent="0.3">
      <c r="A136" s="20">
        <v>46031</v>
      </c>
      <c r="B136" s="19" t="s">
        <v>6</v>
      </c>
      <c r="C136" s="19" t="s">
        <v>8</v>
      </c>
      <c r="D136" s="19">
        <v>679</v>
      </c>
      <c r="E136" s="21">
        <v>2</v>
      </c>
    </row>
    <row r="137" spans="1:5" x14ac:dyDescent="0.3">
      <c r="A137" s="20">
        <v>46032</v>
      </c>
      <c r="B137" s="19" t="s">
        <v>6</v>
      </c>
      <c r="C137" s="19" t="s">
        <v>8</v>
      </c>
      <c r="D137" s="19">
        <v>482</v>
      </c>
      <c r="E137" s="21">
        <v>2</v>
      </c>
    </row>
    <row r="138" spans="1:5" x14ac:dyDescent="0.3">
      <c r="A138" s="20">
        <v>46033</v>
      </c>
      <c r="B138" s="19" t="s">
        <v>6</v>
      </c>
      <c r="C138" s="19" t="s">
        <v>8</v>
      </c>
      <c r="D138" s="19">
        <v>636</v>
      </c>
      <c r="E138" s="21">
        <v>2</v>
      </c>
    </row>
    <row r="139" spans="1:5" x14ac:dyDescent="0.3">
      <c r="A139" s="20">
        <v>46034</v>
      </c>
      <c r="B139" s="19" t="s">
        <v>6</v>
      </c>
      <c r="C139" s="19" t="s">
        <v>8</v>
      </c>
      <c r="D139" s="19">
        <v>711</v>
      </c>
      <c r="E139" s="21">
        <v>2</v>
      </c>
    </row>
    <row r="140" spans="1:5" x14ac:dyDescent="0.3">
      <c r="A140" s="20">
        <v>46035</v>
      </c>
      <c r="B140" s="19" t="s">
        <v>6</v>
      </c>
      <c r="C140" s="19" t="s">
        <v>8</v>
      </c>
      <c r="D140" s="19">
        <v>713</v>
      </c>
      <c r="E140" s="21">
        <v>2</v>
      </c>
    </row>
    <row r="141" spans="1:5" x14ac:dyDescent="0.3">
      <c r="A141" s="20">
        <v>46036</v>
      </c>
      <c r="B141" s="19" t="s">
        <v>6</v>
      </c>
      <c r="C141" s="19" t="s">
        <v>8</v>
      </c>
      <c r="D141" s="19">
        <v>389</v>
      </c>
      <c r="E141" s="21">
        <v>2</v>
      </c>
    </row>
    <row r="142" spans="1:5" x14ac:dyDescent="0.3">
      <c r="A142" s="20">
        <v>46037</v>
      </c>
      <c r="B142" s="19" t="s">
        <v>6</v>
      </c>
      <c r="C142" s="19" t="s">
        <v>8</v>
      </c>
      <c r="D142" s="19">
        <v>444</v>
      </c>
      <c r="E142" s="21">
        <v>3</v>
      </c>
    </row>
    <row r="143" spans="1:5" x14ac:dyDescent="0.3">
      <c r="A143" s="20">
        <v>46038</v>
      </c>
      <c r="B143" s="19" t="s">
        <v>6</v>
      </c>
      <c r="C143" s="19" t="s">
        <v>8</v>
      </c>
      <c r="D143" s="19">
        <v>655</v>
      </c>
      <c r="E143" s="21">
        <v>3</v>
      </c>
    </row>
    <row r="144" spans="1:5" x14ac:dyDescent="0.3">
      <c r="A144" s="20">
        <v>46039</v>
      </c>
      <c r="B144" s="19" t="s">
        <v>6</v>
      </c>
      <c r="C144" s="19" t="s">
        <v>8</v>
      </c>
      <c r="D144" s="19">
        <v>711</v>
      </c>
      <c r="E144" s="21">
        <v>3</v>
      </c>
    </row>
    <row r="145" spans="1:5" x14ac:dyDescent="0.3">
      <c r="A145" s="20">
        <v>46040</v>
      </c>
      <c r="B145" s="19" t="s">
        <v>6</v>
      </c>
      <c r="C145" s="19" t="s">
        <v>8</v>
      </c>
      <c r="D145" s="19">
        <v>448</v>
      </c>
      <c r="E145" s="21">
        <v>3</v>
      </c>
    </row>
    <row r="146" spans="1:5" x14ac:dyDescent="0.3">
      <c r="A146" s="20">
        <v>46041</v>
      </c>
      <c r="B146" s="19" t="s">
        <v>6</v>
      </c>
      <c r="C146" s="19" t="s">
        <v>8</v>
      </c>
      <c r="D146" s="19">
        <v>717</v>
      </c>
      <c r="E146" s="21">
        <v>3</v>
      </c>
    </row>
    <row r="147" spans="1:5" x14ac:dyDescent="0.3">
      <c r="A147" s="20">
        <v>46042</v>
      </c>
      <c r="B147" s="19" t="s">
        <v>6</v>
      </c>
      <c r="C147" s="19" t="s">
        <v>8</v>
      </c>
      <c r="D147" s="19">
        <v>608</v>
      </c>
      <c r="E147" s="21">
        <v>3</v>
      </c>
    </row>
    <row r="148" spans="1:5" x14ac:dyDescent="0.3">
      <c r="A148" s="20">
        <v>46043</v>
      </c>
      <c r="B148" s="19" t="s">
        <v>6</v>
      </c>
      <c r="C148" s="19" t="s">
        <v>8</v>
      </c>
      <c r="D148" s="19">
        <v>447</v>
      </c>
      <c r="E148" s="21">
        <v>3</v>
      </c>
    </row>
    <row r="149" spans="1:5" x14ac:dyDescent="0.3">
      <c r="A149" s="20">
        <v>46044</v>
      </c>
      <c r="B149" s="19" t="s">
        <v>6</v>
      </c>
      <c r="C149" s="19" t="s">
        <v>8</v>
      </c>
      <c r="D149" s="19">
        <v>546</v>
      </c>
      <c r="E149" s="21">
        <v>3</v>
      </c>
    </row>
    <row r="150" spans="1:5" x14ac:dyDescent="0.3">
      <c r="A150" s="20">
        <v>46045</v>
      </c>
      <c r="B150" s="19" t="s">
        <v>6</v>
      </c>
      <c r="C150" s="19" t="s">
        <v>8</v>
      </c>
      <c r="D150" s="19">
        <v>342</v>
      </c>
      <c r="E150" s="21">
        <v>4</v>
      </c>
    </row>
    <row r="151" spans="1:5" x14ac:dyDescent="0.3">
      <c r="A151" s="20">
        <v>46046</v>
      </c>
      <c r="B151" s="19" t="s">
        <v>6</v>
      </c>
      <c r="C151" s="19" t="s">
        <v>8</v>
      </c>
      <c r="D151" s="19">
        <v>640</v>
      </c>
      <c r="E151" s="21">
        <v>4</v>
      </c>
    </row>
    <row r="152" spans="1:5" x14ac:dyDescent="0.3">
      <c r="A152" s="20">
        <v>46047</v>
      </c>
      <c r="B152" s="19" t="s">
        <v>6</v>
      </c>
      <c r="C152" s="19" t="s">
        <v>8</v>
      </c>
      <c r="D152" s="19">
        <v>698</v>
      </c>
      <c r="E152" s="21">
        <v>4</v>
      </c>
    </row>
    <row r="153" spans="1:5" x14ac:dyDescent="0.3">
      <c r="A153" s="20">
        <v>46048</v>
      </c>
      <c r="B153" s="19" t="s">
        <v>6</v>
      </c>
      <c r="C153" s="19" t="s">
        <v>8</v>
      </c>
      <c r="D153" s="19">
        <v>691</v>
      </c>
      <c r="E153" s="21">
        <v>4</v>
      </c>
    </row>
    <row r="154" spans="1:5" x14ac:dyDescent="0.3">
      <c r="A154" s="20">
        <v>46049</v>
      </c>
      <c r="B154" s="19" t="s">
        <v>6</v>
      </c>
      <c r="C154" s="19" t="s">
        <v>8</v>
      </c>
      <c r="D154" s="19">
        <v>553</v>
      </c>
      <c r="E154" s="21">
        <v>4</v>
      </c>
    </row>
    <row r="155" spans="1:5" x14ac:dyDescent="0.3">
      <c r="A155" s="20">
        <v>46050</v>
      </c>
      <c r="B155" s="19" t="s">
        <v>6</v>
      </c>
      <c r="C155" s="19" t="s">
        <v>8</v>
      </c>
      <c r="D155" s="19">
        <v>435</v>
      </c>
      <c r="E155" s="21">
        <v>4</v>
      </c>
    </row>
    <row r="156" spans="1:5" x14ac:dyDescent="0.3">
      <c r="A156" s="20">
        <v>46051</v>
      </c>
      <c r="B156" s="19" t="s">
        <v>6</v>
      </c>
      <c r="C156" s="19" t="s">
        <v>8</v>
      </c>
      <c r="D156" s="19">
        <v>602</v>
      </c>
      <c r="E156" s="21">
        <v>4</v>
      </c>
    </row>
    <row r="157" spans="1:5" x14ac:dyDescent="0.3">
      <c r="A157" s="20">
        <v>46052</v>
      </c>
      <c r="B157" s="19" t="s">
        <v>6</v>
      </c>
      <c r="C157" s="19" t="s">
        <v>8</v>
      </c>
      <c r="D157" s="19">
        <v>473</v>
      </c>
      <c r="E157" s="21">
        <v>5</v>
      </c>
    </row>
    <row r="158" spans="1:5" x14ac:dyDescent="0.3">
      <c r="A158" s="20">
        <v>46053</v>
      </c>
      <c r="B158" s="19" t="s">
        <v>6</v>
      </c>
      <c r="C158" s="19" t="s">
        <v>8</v>
      </c>
      <c r="D158" s="19">
        <v>522</v>
      </c>
      <c r="E158" s="21">
        <v>5</v>
      </c>
    </row>
    <row r="159" spans="1:5" x14ac:dyDescent="0.3">
      <c r="A159" s="20">
        <v>46023</v>
      </c>
      <c r="B159" s="19" t="s">
        <v>7</v>
      </c>
      <c r="C159" s="19" t="s">
        <v>8</v>
      </c>
      <c r="D159" s="19">
        <v>126</v>
      </c>
      <c r="E159" s="21">
        <v>1</v>
      </c>
    </row>
    <row r="160" spans="1:5" x14ac:dyDescent="0.3">
      <c r="A160" s="20">
        <v>46024</v>
      </c>
      <c r="B160" s="19" t="s">
        <v>7</v>
      </c>
      <c r="C160" s="19" t="s">
        <v>8</v>
      </c>
      <c r="D160" s="19">
        <v>140</v>
      </c>
      <c r="E160" s="21">
        <v>1</v>
      </c>
    </row>
    <row r="161" spans="1:5" x14ac:dyDescent="0.3">
      <c r="A161" s="20">
        <v>46025</v>
      </c>
      <c r="B161" s="19" t="s">
        <v>7</v>
      </c>
      <c r="C161" s="19" t="s">
        <v>8</v>
      </c>
      <c r="D161" s="19">
        <v>137</v>
      </c>
      <c r="E161" s="21">
        <v>1</v>
      </c>
    </row>
    <row r="162" spans="1:5" x14ac:dyDescent="0.3">
      <c r="A162" s="20">
        <v>46026</v>
      </c>
      <c r="B162" s="19" t="s">
        <v>7</v>
      </c>
      <c r="C162" s="19" t="s">
        <v>8</v>
      </c>
      <c r="D162" s="19">
        <v>112</v>
      </c>
      <c r="E162" s="21">
        <v>1</v>
      </c>
    </row>
    <row r="163" spans="1:5" x14ac:dyDescent="0.3">
      <c r="A163" s="20">
        <v>46027</v>
      </c>
      <c r="B163" s="19" t="s">
        <v>7</v>
      </c>
      <c r="C163" s="19" t="s">
        <v>8</v>
      </c>
      <c r="D163" s="19">
        <v>202</v>
      </c>
      <c r="E163" s="21">
        <v>1</v>
      </c>
    </row>
    <row r="164" spans="1:5" x14ac:dyDescent="0.3">
      <c r="A164" s="20">
        <v>46028</v>
      </c>
      <c r="B164" s="19" t="s">
        <v>7</v>
      </c>
      <c r="C164" s="19" t="s">
        <v>8</v>
      </c>
      <c r="D164" s="19">
        <v>272</v>
      </c>
      <c r="E164" s="21">
        <v>1</v>
      </c>
    </row>
    <row r="165" spans="1:5" x14ac:dyDescent="0.3">
      <c r="A165" s="20">
        <v>46029</v>
      </c>
      <c r="B165" s="19" t="s">
        <v>7</v>
      </c>
      <c r="C165" s="19" t="s">
        <v>8</v>
      </c>
      <c r="D165" s="19">
        <v>218</v>
      </c>
      <c r="E165" s="21">
        <v>1</v>
      </c>
    </row>
    <row r="166" spans="1:5" x14ac:dyDescent="0.3">
      <c r="A166" s="20">
        <v>46030</v>
      </c>
      <c r="B166" s="19" t="s">
        <v>7</v>
      </c>
      <c r="C166" s="19" t="s">
        <v>8</v>
      </c>
      <c r="D166" s="19">
        <v>139</v>
      </c>
      <c r="E166" s="21">
        <v>2</v>
      </c>
    </row>
    <row r="167" spans="1:5" x14ac:dyDescent="0.3">
      <c r="A167" s="20">
        <v>46031</v>
      </c>
      <c r="B167" s="19" t="s">
        <v>7</v>
      </c>
      <c r="C167" s="19" t="s">
        <v>8</v>
      </c>
      <c r="D167" s="19">
        <v>248</v>
      </c>
      <c r="E167" s="21">
        <v>2</v>
      </c>
    </row>
    <row r="168" spans="1:5" x14ac:dyDescent="0.3">
      <c r="A168" s="20">
        <v>46032</v>
      </c>
      <c r="B168" s="19" t="s">
        <v>7</v>
      </c>
      <c r="C168" s="19" t="s">
        <v>8</v>
      </c>
      <c r="D168" s="19">
        <v>200</v>
      </c>
      <c r="E168" s="21">
        <v>2</v>
      </c>
    </row>
    <row r="169" spans="1:5" x14ac:dyDescent="0.3">
      <c r="A169" s="20">
        <v>46033</v>
      </c>
      <c r="B169" s="19" t="s">
        <v>7</v>
      </c>
      <c r="C169" s="19" t="s">
        <v>8</v>
      </c>
      <c r="D169" s="19">
        <v>256</v>
      </c>
      <c r="E169" s="21">
        <v>2</v>
      </c>
    </row>
    <row r="170" spans="1:5" x14ac:dyDescent="0.3">
      <c r="A170" s="20">
        <v>46034</v>
      </c>
      <c r="B170" s="19" t="s">
        <v>7</v>
      </c>
      <c r="C170" s="19" t="s">
        <v>8</v>
      </c>
      <c r="D170" s="19">
        <v>181</v>
      </c>
      <c r="E170" s="21">
        <v>2</v>
      </c>
    </row>
    <row r="171" spans="1:5" x14ac:dyDescent="0.3">
      <c r="A171" s="20">
        <v>46035</v>
      </c>
      <c r="B171" s="19" t="s">
        <v>7</v>
      </c>
      <c r="C171" s="19" t="s">
        <v>8</v>
      </c>
      <c r="D171" s="19">
        <v>161</v>
      </c>
      <c r="E171" s="21">
        <v>2</v>
      </c>
    </row>
    <row r="172" spans="1:5" x14ac:dyDescent="0.3">
      <c r="A172" s="20">
        <v>46036</v>
      </c>
      <c r="B172" s="19" t="s">
        <v>7</v>
      </c>
      <c r="C172" s="19" t="s">
        <v>8</v>
      </c>
      <c r="D172" s="19">
        <v>119</v>
      </c>
      <c r="E172" s="21">
        <v>2</v>
      </c>
    </row>
    <row r="173" spans="1:5" x14ac:dyDescent="0.3">
      <c r="A173" s="20">
        <v>46037</v>
      </c>
      <c r="B173" s="19" t="s">
        <v>7</v>
      </c>
      <c r="C173" s="19" t="s">
        <v>8</v>
      </c>
      <c r="D173" s="19">
        <v>144</v>
      </c>
      <c r="E173" s="21">
        <v>3</v>
      </c>
    </row>
    <row r="174" spans="1:5" x14ac:dyDescent="0.3">
      <c r="A174" s="20">
        <v>46038</v>
      </c>
      <c r="B174" s="19" t="s">
        <v>7</v>
      </c>
      <c r="C174" s="19" t="s">
        <v>8</v>
      </c>
      <c r="D174" s="19">
        <v>211</v>
      </c>
      <c r="E174" s="21">
        <v>3</v>
      </c>
    </row>
    <row r="175" spans="1:5" x14ac:dyDescent="0.3">
      <c r="A175" s="20">
        <v>46039</v>
      </c>
      <c r="B175" s="19" t="s">
        <v>7</v>
      </c>
      <c r="C175" s="19" t="s">
        <v>8</v>
      </c>
      <c r="D175" s="19">
        <v>292</v>
      </c>
      <c r="E175" s="21">
        <v>3</v>
      </c>
    </row>
    <row r="176" spans="1:5" x14ac:dyDescent="0.3">
      <c r="A176" s="20">
        <v>46040</v>
      </c>
      <c r="B176" s="19" t="s">
        <v>7</v>
      </c>
      <c r="C176" s="19" t="s">
        <v>8</v>
      </c>
      <c r="D176" s="19">
        <v>260</v>
      </c>
      <c r="E176" s="21">
        <v>3</v>
      </c>
    </row>
    <row r="177" spans="1:5" x14ac:dyDescent="0.3">
      <c r="A177" s="20">
        <v>46041</v>
      </c>
      <c r="B177" s="19" t="s">
        <v>7</v>
      </c>
      <c r="C177" s="19" t="s">
        <v>8</v>
      </c>
      <c r="D177" s="19">
        <v>271</v>
      </c>
      <c r="E177" s="21">
        <v>3</v>
      </c>
    </row>
    <row r="178" spans="1:5" x14ac:dyDescent="0.3">
      <c r="A178" s="20">
        <v>46042</v>
      </c>
      <c r="B178" s="19" t="s">
        <v>7</v>
      </c>
      <c r="C178" s="19" t="s">
        <v>8</v>
      </c>
      <c r="D178" s="19">
        <v>262</v>
      </c>
      <c r="E178" s="21">
        <v>3</v>
      </c>
    </row>
    <row r="179" spans="1:5" x14ac:dyDescent="0.3">
      <c r="A179" s="20">
        <v>46043</v>
      </c>
      <c r="B179" s="19" t="s">
        <v>7</v>
      </c>
      <c r="C179" s="19" t="s">
        <v>8</v>
      </c>
      <c r="D179" s="19">
        <v>157</v>
      </c>
      <c r="E179" s="21">
        <v>3</v>
      </c>
    </row>
    <row r="180" spans="1:5" x14ac:dyDescent="0.3">
      <c r="A180" s="20">
        <v>46044</v>
      </c>
      <c r="B180" s="19" t="s">
        <v>7</v>
      </c>
      <c r="C180" s="19" t="s">
        <v>8</v>
      </c>
      <c r="D180" s="19">
        <v>251</v>
      </c>
      <c r="E180" s="21">
        <v>3</v>
      </c>
    </row>
    <row r="181" spans="1:5" x14ac:dyDescent="0.3">
      <c r="A181" s="20">
        <v>46045</v>
      </c>
      <c r="B181" s="19" t="s">
        <v>7</v>
      </c>
      <c r="C181" s="19" t="s">
        <v>8</v>
      </c>
      <c r="D181" s="19">
        <v>148</v>
      </c>
      <c r="E181" s="21">
        <v>4</v>
      </c>
    </row>
    <row r="182" spans="1:5" x14ac:dyDescent="0.3">
      <c r="A182" s="20">
        <v>46046</v>
      </c>
      <c r="B182" s="19" t="s">
        <v>7</v>
      </c>
      <c r="C182" s="19" t="s">
        <v>8</v>
      </c>
      <c r="D182" s="19">
        <v>167</v>
      </c>
      <c r="E182" s="21">
        <v>4</v>
      </c>
    </row>
    <row r="183" spans="1:5" x14ac:dyDescent="0.3">
      <c r="A183" s="20">
        <v>46047</v>
      </c>
      <c r="B183" s="19" t="s">
        <v>7</v>
      </c>
      <c r="C183" s="19" t="s">
        <v>8</v>
      </c>
      <c r="D183" s="19">
        <v>169</v>
      </c>
      <c r="E183" s="21">
        <v>4</v>
      </c>
    </row>
    <row r="184" spans="1:5" x14ac:dyDescent="0.3">
      <c r="A184" s="20">
        <v>46048</v>
      </c>
      <c r="B184" s="19" t="s">
        <v>7</v>
      </c>
      <c r="C184" s="19" t="s">
        <v>8</v>
      </c>
      <c r="D184" s="19">
        <v>120</v>
      </c>
      <c r="E184" s="21">
        <v>4</v>
      </c>
    </row>
    <row r="185" spans="1:5" x14ac:dyDescent="0.3">
      <c r="A185" s="20">
        <v>46049</v>
      </c>
      <c r="B185" s="19" t="s">
        <v>7</v>
      </c>
      <c r="C185" s="19" t="s">
        <v>8</v>
      </c>
      <c r="D185" s="19">
        <v>150</v>
      </c>
      <c r="E185" s="21">
        <v>4</v>
      </c>
    </row>
    <row r="186" spans="1:5" x14ac:dyDescent="0.3">
      <c r="A186" s="20">
        <v>46050</v>
      </c>
      <c r="B186" s="19" t="s">
        <v>7</v>
      </c>
      <c r="C186" s="19" t="s">
        <v>8</v>
      </c>
      <c r="D186" s="19">
        <v>285</v>
      </c>
      <c r="E186" s="21">
        <v>4</v>
      </c>
    </row>
    <row r="187" spans="1:5" x14ac:dyDescent="0.3">
      <c r="A187" s="20">
        <v>46051</v>
      </c>
      <c r="B187" s="19" t="s">
        <v>7</v>
      </c>
      <c r="C187" s="19" t="s">
        <v>8</v>
      </c>
      <c r="D187" s="19">
        <v>229</v>
      </c>
      <c r="E187" s="21">
        <v>4</v>
      </c>
    </row>
    <row r="188" spans="1:5" x14ac:dyDescent="0.3">
      <c r="A188" s="20">
        <v>46052</v>
      </c>
      <c r="B188" s="19" t="s">
        <v>7</v>
      </c>
      <c r="C188" s="19" t="s">
        <v>8</v>
      </c>
      <c r="D188" s="19">
        <v>173</v>
      </c>
      <c r="E188" s="21">
        <v>5</v>
      </c>
    </row>
    <row r="189" spans="1:5" x14ac:dyDescent="0.3">
      <c r="A189" s="20">
        <v>46053</v>
      </c>
      <c r="B189" s="19" t="s">
        <v>7</v>
      </c>
      <c r="C189" s="19" t="s">
        <v>8</v>
      </c>
      <c r="D189" s="19">
        <v>210</v>
      </c>
      <c r="E189" s="21">
        <v>5</v>
      </c>
    </row>
    <row r="190" spans="1:5" x14ac:dyDescent="0.3">
      <c r="A190" s="20">
        <v>46023</v>
      </c>
      <c r="B190" s="19" t="s">
        <v>4</v>
      </c>
      <c r="C190" s="19" t="s">
        <v>9</v>
      </c>
      <c r="D190" s="19">
        <v>49</v>
      </c>
      <c r="E190" s="21">
        <v>1</v>
      </c>
    </row>
    <row r="191" spans="1:5" x14ac:dyDescent="0.3">
      <c r="A191" s="20">
        <v>46024</v>
      </c>
      <c r="B191" s="19" t="s">
        <v>4</v>
      </c>
      <c r="C191" s="19" t="s">
        <v>9</v>
      </c>
      <c r="D191" s="19">
        <v>25</v>
      </c>
      <c r="E191" s="21">
        <v>1</v>
      </c>
    </row>
    <row r="192" spans="1:5" x14ac:dyDescent="0.3">
      <c r="A192" s="20">
        <v>46025</v>
      </c>
      <c r="B192" s="19" t="s">
        <v>4</v>
      </c>
      <c r="C192" s="19" t="s">
        <v>9</v>
      </c>
      <c r="D192" s="19">
        <v>74</v>
      </c>
      <c r="E192" s="21">
        <v>1</v>
      </c>
    </row>
    <row r="193" spans="1:5" x14ac:dyDescent="0.3">
      <c r="A193" s="20">
        <v>46026</v>
      </c>
      <c r="B193" s="19" t="s">
        <v>4</v>
      </c>
      <c r="C193" s="19" t="s">
        <v>9</v>
      </c>
      <c r="D193" s="19">
        <v>25</v>
      </c>
      <c r="E193" s="21">
        <v>1</v>
      </c>
    </row>
    <row r="194" spans="1:5" x14ac:dyDescent="0.3">
      <c r="A194" s="20">
        <v>46027</v>
      </c>
      <c r="B194" s="19" t="s">
        <v>4</v>
      </c>
      <c r="C194" s="19" t="s">
        <v>9</v>
      </c>
      <c r="D194" s="19">
        <v>94</v>
      </c>
      <c r="E194" s="21">
        <v>1</v>
      </c>
    </row>
    <row r="195" spans="1:5" x14ac:dyDescent="0.3">
      <c r="A195" s="20">
        <v>46028</v>
      </c>
      <c r="B195" s="19" t="s">
        <v>4</v>
      </c>
      <c r="C195" s="19" t="s">
        <v>9</v>
      </c>
      <c r="D195" s="19">
        <v>108</v>
      </c>
      <c r="E195" s="21">
        <v>1</v>
      </c>
    </row>
    <row r="196" spans="1:5" x14ac:dyDescent="0.3">
      <c r="A196" s="20">
        <v>46029</v>
      </c>
      <c r="B196" s="19" t="s">
        <v>4</v>
      </c>
      <c r="C196" s="19" t="s">
        <v>9</v>
      </c>
      <c r="D196" s="19">
        <v>66</v>
      </c>
      <c r="E196" s="21">
        <v>1</v>
      </c>
    </row>
    <row r="197" spans="1:5" x14ac:dyDescent="0.3">
      <c r="A197" s="20">
        <v>46030</v>
      </c>
      <c r="B197" s="19" t="s">
        <v>4</v>
      </c>
      <c r="C197" s="19" t="s">
        <v>9</v>
      </c>
      <c r="D197" s="19">
        <v>42</v>
      </c>
      <c r="E197" s="21">
        <v>2</v>
      </c>
    </row>
    <row r="198" spans="1:5" x14ac:dyDescent="0.3">
      <c r="A198" s="20">
        <v>46031</v>
      </c>
      <c r="B198" s="19" t="s">
        <v>4</v>
      </c>
      <c r="C198" s="19" t="s">
        <v>9</v>
      </c>
      <c r="D198" s="19">
        <v>87</v>
      </c>
      <c r="E198" s="21">
        <v>2</v>
      </c>
    </row>
    <row r="199" spans="1:5" x14ac:dyDescent="0.3">
      <c r="A199" s="20">
        <v>46032</v>
      </c>
      <c r="B199" s="19" t="s">
        <v>4</v>
      </c>
      <c r="C199" s="19" t="s">
        <v>9</v>
      </c>
      <c r="D199" s="19">
        <v>90</v>
      </c>
      <c r="E199" s="21">
        <v>2</v>
      </c>
    </row>
    <row r="200" spans="1:5" x14ac:dyDescent="0.3">
      <c r="A200" s="20">
        <v>46033</v>
      </c>
      <c r="B200" s="19" t="s">
        <v>4</v>
      </c>
      <c r="C200" s="19" t="s">
        <v>9</v>
      </c>
      <c r="D200" s="19">
        <v>57</v>
      </c>
      <c r="E200" s="21">
        <v>2</v>
      </c>
    </row>
    <row r="201" spans="1:5" x14ac:dyDescent="0.3">
      <c r="A201" s="20">
        <v>46034</v>
      </c>
      <c r="B201" s="19" t="s">
        <v>4</v>
      </c>
      <c r="C201" s="19" t="s">
        <v>9</v>
      </c>
      <c r="D201" s="19">
        <v>63</v>
      </c>
      <c r="E201" s="21">
        <v>2</v>
      </c>
    </row>
    <row r="202" spans="1:5" x14ac:dyDescent="0.3">
      <c r="A202" s="20">
        <v>46035</v>
      </c>
      <c r="B202" s="19" t="s">
        <v>4</v>
      </c>
      <c r="C202" s="19" t="s">
        <v>9</v>
      </c>
      <c r="D202" s="19">
        <v>70</v>
      </c>
      <c r="E202" s="21">
        <v>2</v>
      </c>
    </row>
    <row r="203" spans="1:5" x14ac:dyDescent="0.3">
      <c r="A203" s="20">
        <v>46036</v>
      </c>
      <c r="B203" s="19" t="s">
        <v>4</v>
      </c>
      <c r="C203" s="19" t="s">
        <v>9</v>
      </c>
      <c r="D203" s="19">
        <v>33</v>
      </c>
      <c r="E203" s="21">
        <v>2</v>
      </c>
    </row>
    <row r="204" spans="1:5" x14ac:dyDescent="0.3">
      <c r="A204" s="20">
        <v>46037</v>
      </c>
      <c r="B204" s="19" t="s">
        <v>4</v>
      </c>
      <c r="C204" s="19" t="s">
        <v>9</v>
      </c>
      <c r="D204" s="19">
        <v>45</v>
      </c>
      <c r="E204" s="21">
        <v>3</v>
      </c>
    </row>
    <row r="205" spans="1:5" x14ac:dyDescent="0.3">
      <c r="A205" s="20">
        <v>46038</v>
      </c>
      <c r="B205" s="19" t="s">
        <v>4</v>
      </c>
      <c r="C205" s="19" t="s">
        <v>9</v>
      </c>
      <c r="D205" s="19">
        <v>109</v>
      </c>
      <c r="E205" s="21">
        <v>3</v>
      </c>
    </row>
    <row r="206" spans="1:5" x14ac:dyDescent="0.3">
      <c r="A206" s="20">
        <v>46039</v>
      </c>
      <c r="B206" s="19" t="s">
        <v>4</v>
      </c>
      <c r="C206" s="19" t="s">
        <v>9</v>
      </c>
      <c r="D206" s="19">
        <v>64</v>
      </c>
      <c r="E206" s="21">
        <v>3</v>
      </c>
    </row>
    <row r="207" spans="1:5" x14ac:dyDescent="0.3">
      <c r="A207" s="20">
        <v>46040</v>
      </c>
      <c r="B207" s="19" t="s">
        <v>4</v>
      </c>
      <c r="C207" s="19" t="s">
        <v>9</v>
      </c>
      <c r="D207" s="19">
        <v>58</v>
      </c>
      <c r="E207" s="21">
        <v>3</v>
      </c>
    </row>
    <row r="208" spans="1:5" x14ac:dyDescent="0.3">
      <c r="A208" s="20">
        <v>46041</v>
      </c>
      <c r="B208" s="19" t="s">
        <v>4</v>
      </c>
      <c r="C208" s="19" t="s">
        <v>9</v>
      </c>
      <c r="D208" s="19">
        <v>100</v>
      </c>
      <c r="E208" s="21">
        <v>3</v>
      </c>
    </row>
    <row r="209" spans="1:5" x14ac:dyDescent="0.3">
      <c r="A209" s="20">
        <v>46042</v>
      </c>
      <c r="B209" s="19" t="s">
        <v>4</v>
      </c>
      <c r="C209" s="19" t="s">
        <v>9</v>
      </c>
      <c r="D209" s="19">
        <v>90</v>
      </c>
      <c r="E209" s="21">
        <v>3</v>
      </c>
    </row>
    <row r="210" spans="1:5" x14ac:dyDescent="0.3">
      <c r="A210" s="20">
        <v>46043</v>
      </c>
      <c r="B210" s="19" t="s">
        <v>4</v>
      </c>
      <c r="C210" s="19" t="s">
        <v>9</v>
      </c>
      <c r="D210" s="19">
        <v>67</v>
      </c>
      <c r="E210" s="21">
        <v>3</v>
      </c>
    </row>
    <row r="211" spans="1:5" x14ac:dyDescent="0.3">
      <c r="A211" s="20">
        <v>46044</v>
      </c>
      <c r="B211" s="19" t="s">
        <v>4</v>
      </c>
      <c r="C211" s="19" t="s">
        <v>9</v>
      </c>
      <c r="D211" s="19">
        <v>57</v>
      </c>
      <c r="E211" s="21">
        <v>3</v>
      </c>
    </row>
    <row r="212" spans="1:5" x14ac:dyDescent="0.3">
      <c r="A212" s="20">
        <v>46045</v>
      </c>
      <c r="B212" s="19" t="s">
        <v>4</v>
      </c>
      <c r="C212" s="19" t="s">
        <v>9</v>
      </c>
      <c r="D212" s="19">
        <v>116</v>
      </c>
      <c r="E212" s="21">
        <v>4</v>
      </c>
    </row>
    <row r="213" spans="1:5" x14ac:dyDescent="0.3">
      <c r="A213" s="20">
        <v>46046</v>
      </c>
      <c r="B213" s="19" t="s">
        <v>4</v>
      </c>
      <c r="C213" s="19" t="s">
        <v>9</v>
      </c>
      <c r="D213" s="19">
        <v>34</v>
      </c>
      <c r="E213" s="21">
        <v>4</v>
      </c>
    </row>
    <row r="214" spans="1:5" x14ac:dyDescent="0.3">
      <c r="A214" s="20">
        <v>46047</v>
      </c>
      <c r="B214" s="19" t="s">
        <v>4</v>
      </c>
      <c r="C214" s="19" t="s">
        <v>9</v>
      </c>
      <c r="D214" s="19">
        <v>31</v>
      </c>
      <c r="E214" s="21">
        <v>4</v>
      </c>
    </row>
    <row r="215" spans="1:5" x14ac:dyDescent="0.3">
      <c r="A215" s="20">
        <v>46048</v>
      </c>
      <c r="B215" s="19" t="s">
        <v>4</v>
      </c>
      <c r="C215" s="19" t="s">
        <v>9</v>
      </c>
      <c r="D215" s="19">
        <v>81</v>
      </c>
      <c r="E215" s="21">
        <v>4</v>
      </c>
    </row>
    <row r="216" spans="1:5" x14ac:dyDescent="0.3">
      <c r="A216" s="20">
        <v>46049</v>
      </c>
      <c r="B216" s="19" t="s">
        <v>4</v>
      </c>
      <c r="C216" s="19" t="s">
        <v>9</v>
      </c>
      <c r="D216" s="19">
        <v>28</v>
      </c>
      <c r="E216" s="21">
        <v>4</v>
      </c>
    </row>
    <row r="217" spans="1:5" x14ac:dyDescent="0.3">
      <c r="A217" s="20">
        <v>46050</v>
      </c>
      <c r="B217" s="19" t="s">
        <v>4</v>
      </c>
      <c r="C217" s="19" t="s">
        <v>9</v>
      </c>
      <c r="D217" s="19">
        <v>101</v>
      </c>
      <c r="E217" s="21">
        <v>4</v>
      </c>
    </row>
    <row r="218" spans="1:5" x14ac:dyDescent="0.3">
      <c r="A218" s="20">
        <v>46051</v>
      </c>
      <c r="B218" s="19" t="s">
        <v>4</v>
      </c>
      <c r="C218" s="19" t="s">
        <v>9</v>
      </c>
      <c r="D218" s="19">
        <v>82</v>
      </c>
      <c r="E218" s="21">
        <v>4</v>
      </c>
    </row>
    <row r="219" spans="1:5" x14ac:dyDescent="0.3">
      <c r="A219" s="20">
        <v>46052</v>
      </c>
      <c r="B219" s="19" t="s">
        <v>4</v>
      </c>
      <c r="C219" s="19" t="s">
        <v>9</v>
      </c>
      <c r="D219" s="19">
        <v>64</v>
      </c>
      <c r="E219" s="21">
        <v>5</v>
      </c>
    </row>
    <row r="220" spans="1:5" x14ac:dyDescent="0.3">
      <c r="A220" s="20">
        <v>46053</v>
      </c>
      <c r="B220" s="19" t="s">
        <v>4</v>
      </c>
      <c r="C220" s="19" t="s">
        <v>9</v>
      </c>
      <c r="D220" s="19">
        <v>117</v>
      </c>
      <c r="E220" s="21">
        <v>5</v>
      </c>
    </row>
    <row r="221" spans="1:5" x14ac:dyDescent="0.3">
      <c r="A221" s="20">
        <v>46023</v>
      </c>
      <c r="B221" s="19" t="s">
        <v>6</v>
      </c>
      <c r="C221" s="19" t="s">
        <v>9</v>
      </c>
      <c r="D221" s="19">
        <v>763</v>
      </c>
      <c r="E221" s="21">
        <v>1</v>
      </c>
    </row>
    <row r="222" spans="1:5" x14ac:dyDescent="0.3">
      <c r="A222" s="20">
        <v>46024</v>
      </c>
      <c r="B222" s="19" t="s">
        <v>6</v>
      </c>
      <c r="C222" s="19" t="s">
        <v>9</v>
      </c>
      <c r="D222" s="19">
        <v>300</v>
      </c>
      <c r="E222" s="21">
        <v>1</v>
      </c>
    </row>
    <row r="223" spans="1:5" x14ac:dyDescent="0.3">
      <c r="A223" s="20">
        <v>46025</v>
      </c>
      <c r="B223" s="19" t="s">
        <v>6</v>
      </c>
      <c r="C223" s="19" t="s">
        <v>9</v>
      </c>
      <c r="D223" s="19">
        <v>386</v>
      </c>
      <c r="E223" s="21">
        <v>1</v>
      </c>
    </row>
    <row r="224" spans="1:5" x14ac:dyDescent="0.3">
      <c r="A224" s="20">
        <v>46026</v>
      </c>
      <c r="B224" s="19" t="s">
        <v>6</v>
      </c>
      <c r="C224" s="19" t="s">
        <v>9</v>
      </c>
      <c r="D224" s="19">
        <v>668</v>
      </c>
      <c r="E224" s="21">
        <v>1</v>
      </c>
    </row>
    <row r="225" spans="1:5" x14ac:dyDescent="0.3">
      <c r="A225" s="20">
        <v>46027</v>
      </c>
      <c r="B225" s="19" t="s">
        <v>6</v>
      </c>
      <c r="C225" s="19" t="s">
        <v>9</v>
      </c>
      <c r="D225" s="19">
        <v>252</v>
      </c>
      <c r="E225" s="21">
        <v>1</v>
      </c>
    </row>
    <row r="226" spans="1:5" x14ac:dyDescent="0.3">
      <c r="A226" s="20">
        <v>46028</v>
      </c>
      <c r="B226" s="19" t="s">
        <v>6</v>
      </c>
      <c r="C226" s="19" t="s">
        <v>9</v>
      </c>
      <c r="D226" s="19">
        <v>402</v>
      </c>
      <c r="E226" s="21">
        <v>1</v>
      </c>
    </row>
    <row r="227" spans="1:5" x14ac:dyDescent="0.3">
      <c r="A227" s="20">
        <v>46029</v>
      </c>
      <c r="B227" s="19" t="s">
        <v>6</v>
      </c>
      <c r="C227" s="19" t="s">
        <v>9</v>
      </c>
      <c r="D227" s="19">
        <v>529</v>
      </c>
      <c r="E227" s="21">
        <v>1</v>
      </c>
    </row>
    <row r="228" spans="1:5" x14ac:dyDescent="0.3">
      <c r="A228" s="20">
        <v>46030</v>
      </c>
      <c r="B228" s="19" t="s">
        <v>6</v>
      </c>
      <c r="C228" s="19" t="s">
        <v>9</v>
      </c>
      <c r="D228" s="19">
        <v>353</v>
      </c>
      <c r="E228" s="21">
        <v>2</v>
      </c>
    </row>
    <row r="229" spans="1:5" x14ac:dyDescent="0.3">
      <c r="A229" s="20">
        <v>46031</v>
      </c>
      <c r="B229" s="19" t="s">
        <v>6</v>
      </c>
      <c r="C229" s="19" t="s">
        <v>9</v>
      </c>
      <c r="D229" s="19">
        <v>391</v>
      </c>
      <c r="E229" s="21">
        <v>2</v>
      </c>
    </row>
    <row r="230" spans="1:5" x14ac:dyDescent="0.3">
      <c r="A230" s="20">
        <v>46032</v>
      </c>
      <c r="B230" s="19" t="s">
        <v>6</v>
      </c>
      <c r="C230" s="19" t="s">
        <v>9</v>
      </c>
      <c r="D230" s="19">
        <v>499</v>
      </c>
      <c r="E230" s="21">
        <v>2</v>
      </c>
    </row>
    <row r="231" spans="1:5" x14ac:dyDescent="0.3">
      <c r="A231" s="20">
        <v>46033</v>
      </c>
      <c r="B231" s="19" t="s">
        <v>6</v>
      </c>
      <c r="C231" s="19" t="s">
        <v>9</v>
      </c>
      <c r="D231" s="19">
        <v>531</v>
      </c>
      <c r="E231" s="21">
        <v>2</v>
      </c>
    </row>
    <row r="232" spans="1:5" x14ac:dyDescent="0.3">
      <c r="A232" s="20">
        <v>46034</v>
      </c>
      <c r="B232" s="19" t="s">
        <v>6</v>
      </c>
      <c r="C232" s="19" t="s">
        <v>9</v>
      </c>
      <c r="D232" s="19">
        <v>747</v>
      </c>
      <c r="E232" s="21">
        <v>2</v>
      </c>
    </row>
    <row r="233" spans="1:5" x14ac:dyDescent="0.3">
      <c r="A233" s="20">
        <v>46035</v>
      </c>
      <c r="B233" s="19" t="s">
        <v>6</v>
      </c>
      <c r="C233" s="19" t="s">
        <v>9</v>
      </c>
      <c r="D233" s="19">
        <v>753</v>
      </c>
      <c r="E233" s="21">
        <v>2</v>
      </c>
    </row>
    <row r="234" spans="1:5" x14ac:dyDescent="0.3">
      <c r="A234" s="20">
        <v>46036</v>
      </c>
      <c r="B234" s="19" t="s">
        <v>6</v>
      </c>
      <c r="C234" s="19" t="s">
        <v>9</v>
      </c>
      <c r="D234" s="19">
        <v>631</v>
      </c>
      <c r="E234" s="21">
        <v>2</v>
      </c>
    </row>
    <row r="235" spans="1:5" x14ac:dyDescent="0.3">
      <c r="A235" s="20">
        <v>46037</v>
      </c>
      <c r="B235" s="19" t="s">
        <v>6</v>
      </c>
      <c r="C235" s="19" t="s">
        <v>9</v>
      </c>
      <c r="D235" s="19">
        <v>628</v>
      </c>
      <c r="E235" s="21">
        <v>3</v>
      </c>
    </row>
    <row r="236" spans="1:5" x14ac:dyDescent="0.3">
      <c r="A236" s="20">
        <v>46038</v>
      </c>
      <c r="B236" s="19" t="s">
        <v>6</v>
      </c>
      <c r="C236" s="19" t="s">
        <v>9</v>
      </c>
      <c r="D236" s="19">
        <v>668</v>
      </c>
      <c r="E236" s="21">
        <v>3</v>
      </c>
    </row>
    <row r="237" spans="1:5" x14ac:dyDescent="0.3">
      <c r="A237" s="20">
        <v>46039</v>
      </c>
      <c r="B237" s="19" t="s">
        <v>6</v>
      </c>
      <c r="C237" s="19" t="s">
        <v>9</v>
      </c>
      <c r="D237" s="19">
        <v>540</v>
      </c>
      <c r="E237" s="21">
        <v>3</v>
      </c>
    </row>
    <row r="238" spans="1:5" x14ac:dyDescent="0.3">
      <c r="A238" s="20">
        <v>46040</v>
      </c>
      <c r="B238" s="19" t="s">
        <v>6</v>
      </c>
      <c r="C238" s="19" t="s">
        <v>9</v>
      </c>
      <c r="D238" s="19">
        <v>261</v>
      </c>
      <c r="E238" s="21">
        <v>3</v>
      </c>
    </row>
    <row r="239" spans="1:5" x14ac:dyDescent="0.3">
      <c r="A239" s="20">
        <v>46041</v>
      </c>
      <c r="B239" s="19" t="s">
        <v>6</v>
      </c>
      <c r="C239" s="19" t="s">
        <v>9</v>
      </c>
      <c r="D239" s="19">
        <v>512</v>
      </c>
      <c r="E239" s="21">
        <v>3</v>
      </c>
    </row>
    <row r="240" spans="1:5" x14ac:dyDescent="0.3">
      <c r="A240" s="20">
        <v>46042</v>
      </c>
      <c r="B240" s="19" t="s">
        <v>6</v>
      </c>
      <c r="C240" s="19" t="s">
        <v>9</v>
      </c>
      <c r="D240" s="19">
        <v>637</v>
      </c>
      <c r="E240" s="21">
        <v>3</v>
      </c>
    </row>
    <row r="241" spans="1:5" x14ac:dyDescent="0.3">
      <c r="A241" s="20">
        <v>46043</v>
      </c>
      <c r="B241" s="19" t="s">
        <v>6</v>
      </c>
      <c r="C241" s="19" t="s">
        <v>9</v>
      </c>
      <c r="D241" s="19">
        <v>573</v>
      </c>
      <c r="E241" s="21">
        <v>3</v>
      </c>
    </row>
    <row r="242" spans="1:5" x14ac:dyDescent="0.3">
      <c r="A242" s="20">
        <v>46044</v>
      </c>
      <c r="B242" s="19" t="s">
        <v>6</v>
      </c>
      <c r="C242" s="19" t="s">
        <v>9</v>
      </c>
      <c r="D242" s="19">
        <v>377</v>
      </c>
      <c r="E242" s="21">
        <v>3</v>
      </c>
    </row>
    <row r="243" spans="1:5" x14ac:dyDescent="0.3">
      <c r="A243" s="20">
        <v>46045</v>
      </c>
      <c r="B243" s="19" t="s">
        <v>6</v>
      </c>
      <c r="C243" s="19" t="s">
        <v>9</v>
      </c>
      <c r="D243" s="19">
        <v>708</v>
      </c>
      <c r="E243" s="21">
        <v>4</v>
      </c>
    </row>
    <row r="244" spans="1:5" x14ac:dyDescent="0.3">
      <c r="A244" s="20">
        <v>46046</v>
      </c>
      <c r="B244" s="19" t="s">
        <v>6</v>
      </c>
      <c r="C244" s="19" t="s">
        <v>9</v>
      </c>
      <c r="D244" s="19">
        <v>767</v>
      </c>
      <c r="E244" s="21">
        <v>4</v>
      </c>
    </row>
    <row r="245" spans="1:5" x14ac:dyDescent="0.3">
      <c r="A245" s="20">
        <v>46047</v>
      </c>
      <c r="B245" s="19" t="s">
        <v>6</v>
      </c>
      <c r="C245" s="19" t="s">
        <v>9</v>
      </c>
      <c r="D245" s="19">
        <v>268</v>
      </c>
      <c r="E245" s="21">
        <v>4</v>
      </c>
    </row>
    <row r="246" spans="1:5" x14ac:dyDescent="0.3">
      <c r="A246" s="20">
        <v>46048</v>
      </c>
      <c r="B246" s="19" t="s">
        <v>6</v>
      </c>
      <c r="C246" s="19" t="s">
        <v>9</v>
      </c>
      <c r="D246" s="19">
        <v>794</v>
      </c>
      <c r="E246" s="21">
        <v>4</v>
      </c>
    </row>
    <row r="247" spans="1:5" x14ac:dyDescent="0.3">
      <c r="A247" s="20">
        <v>46049</v>
      </c>
      <c r="B247" s="19" t="s">
        <v>6</v>
      </c>
      <c r="C247" s="19" t="s">
        <v>9</v>
      </c>
      <c r="D247" s="19">
        <v>588</v>
      </c>
      <c r="E247" s="21">
        <v>4</v>
      </c>
    </row>
    <row r="248" spans="1:5" x14ac:dyDescent="0.3">
      <c r="A248" s="20">
        <v>46050</v>
      </c>
      <c r="B248" s="19" t="s">
        <v>6</v>
      </c>
      <c r="C248" s="19" t="s">
        <v>9</v>
      </c>
      <c r="D248" s="19">
        <v>376</v>
      </c>
      <c r="E248" s="21">
        <v>4</v>
      </c>
    </row>
    <row r="249" spans="1:5" x14ac:dyDescent="0.3">
      <c r="A249" s="20">
        <v>46051</v>
      </c>
      <c r="B249" s="19" t="s">
        <v>6</v>
      </c>
      <c r="C249" s="19" t="s">
        <v>9</v>
      </c>
      <c r="D249" s="19">
        <v>799</v>
      </c>
      <c r="E249" s="21">
        <v>4</v>
      </c>
    </row>
    <row r="250" spans="1:5" x14ac:dyDescent="0.3">
      <c r="A250" s="20">
        <v>46052</v>
      </c>
      <c r="B250" s="19" t="s">
        <v>6</v>
      </c>
      <c r="C250" s="19" t="s">
        <v>9</v>
      </c>
      <c r="D250" s="19">
        <v>593</v>
      </c>
      <c r="E250" s="21">
        <v>5</v>
      </c>
    </row>
    <row r="251" spans="1:5" x14ac:dyDescent="0.3">
      <c r="A251" s="20">
        <v>46053</v>
      </c>
      <c r="B251" s="19" t="s">
        <v>6</v>
      </c>
      <c r="C251" s="19" t="s">
        <v>9</v>
      </c>
      <c r="D251" s="19">
        <v>472</v>
      </c>
      <c r="E251" s="21">
        <v>5</v>
      </c>
    </row>
    <row r="252" spans="1:5" x14ac:dyDescent="0.3">
      <c r="A252" s="20">
        <v>46023</v>
      </c>
      <c r="B252" s="19" t="s">
        <v>7</v>
      </c>
      <c r="C252" s="19" t="s">
        <v>9</v>
      </c>
      <c r="D252" s="19">
        <v>151</v>
      </c>
      <c r="E252" s="21">
        <v>1</v>
      </c>
    </row>
    <row r="253" spans="1:5" x14ac:dyDescent="0.3">
      <c r="A253" s="20">
        <v>46024</v>
      </c>
      <c r="B253" s="19" t="s">
        <v>7</v>
      </c>
      <c r="C253" s="19" t="s">
        <v>9</v>
      </c>
      <c r="D253" s="19">
        <v>289</v>
      </c>
      <c r="E253" s="21">
        <v>1</v>
      </c>
    </row>
    <row r="254" spans="1:5" x14ac:dyDescent="0.3">
      <c r="A254" s="20">
        <v>46025</v>
      </c>
      <c r="B254" s="19" t="s">
        <v>7</v>
      </c>
      <c r="C254" s="19" t="s">
        <v>9</v>
      </c>
      <c r="D254" s="19">
        <v>102</v>
      </c>
      <c r="E254" s="21">
        <v>1</v>
      </c>
    </row>
    <row r="255" spans="1:5" x14ac:dyDescent="0.3">
      <c r="A255" s="20">
        <v>46026</v>
      </c>
      <c r="B255" s="19" t="s">
        <v>7</v>
      </c>
      <c r="C255" s="19" t="s">
        <v>9</v>
      </c>
      <c r="D255" s="19">
        <v>260</v>
      </c>
      <c r="E255" s="21">
        <v>1</v>
      </c>
    </row>
    <row r="256" spans="1:5" x14ac:dyDescent="0.3">
      <c r="A256" s="20">
        <v>46027</v>
      </c>
      <c r="B256" s="19" t="s">
        <v>7</v>
      </c>
      <c r="C256" s="19" t="s">
        <v>9</v>
      </c>
      <c r="D256" s="19">
        <v>202</v>
      </c>
      <c r="E256" s="21">
        <v>1</v>
      </c>
    </row>
    <row r="257" spans="1:5" x14ac:dyDescent="0.3">
      <c r="A257" s="20">
        <v>46028</v>
      </c>
      <c r="B257" s="19" t="s">
        <v>7</v>
      </c>
      <c r="C257" s="19" t="s">
        <v>9</v>
      </c>
      <c r="D257" s="19">
        <v>171</v>
      </c>
      <c r="E257" s="21">
        <v>1</v>
      </c>
    </row>
    <row r="258" spans="1:5" x14ac:dyDescent="0.3">
      <c r="A258" s="20">
        <v>46029</v>
      </c>
      <c r="B258" s="19" t="s">
        <v>7</v>
      </c>
      <c r="C258" s="19" t="s">
        <v>9</v>
      </c>
      <c r="D258" s="19">
        <v>112</v>
      </c>
      <c r="E258" s="21">
        <v>1</v>
      </c>
    </row>
    <row r="259" spans="1:5" x14ac:dyDescent="0.3">
      <c r="A259" s="20">
        <v>46030</v>
      </c>
      <c r="B259" s="19" t="s">
        <v>7</v>
      </c>
      <c r="C259" s="19" t="s">
        <v>9</v>
      </c>
      <c r="D259" s="19">
        <v>107</v>
      </c>
      <c r="E259" s="21">
        <v>2</v>
      </c>
    </row>
    <row r="260" spans="1:5" x14ac:dyDescent="0.3">
      <c r="A260" s="20">
        <v>46031</v>
      </c>
      <c r="B260" s="19" t="s">
        <v>7</v>
      </c>
      <c r="C260" s="19" t="s">
        <v>9</v>
      </c>
      <c r="D260" s="19">
        <v>262</v>
      </c>
      <c r="E260" s="21">
        <v>2</v>
      </c>
    </row>
    <row r="261" spans="1:5" x14ac:dyDescent="0.3">
      <c r="A261" s="20">
        <v>46032</v>
      </c>
      <c r="B261" s="19" t="s">
        <v>7</v>
      </c>
      <c r="C261" s="19" t="s">
        <v>9</v>
      </c>
      <c r="D261" s="19">
        <v>264</v>
      </c>
      <c r="E261" s="21">
        <v>2</v>
      </c>
    </row>
    <row r="262" spans="1:5" x14ac:dyDescent="0.3">
      <c r="A262" s="20">
        <v>46033</v>
      </c>
      <c r="B262" s="19" t="s">
        <v>7</v>
      </c>
      <c r="C262" s="19" t="s">
        <v>9</v>
      </c>
      <c r="D262" s="19">
        <v>293</v>
      </c>
      <c r="E262" s="21">
        <v>2</v>
      </c>
    </row>
    <row r="263" spans="1:5" x14ac:dyDescent="0.3">
      <c r="A263" s="20">
        <v>46034</v>
      </c>
      <c r="B263" s="19" t="s">
        <v>7</v>
      </c>
      <c r="C263" s="19" t="s">
        <v>9</v>
      </c>
      <c r="D263" s="19">
        <v>191</v>
      </c>
      <c r="E263" s="21">
        <v>2</v>
      </c>
    </row>
    <row r="264" spans="1:5" x14ac:dyDescent="0.3">
      <c r="A264" s="20">
        <v>46035</v>
      </c>
      <c r="B264" s="19" t="s">
        <v>7</v>
      </c>
      <c r="C264" s="19" t="s">
        <v>9</v>
      </c>
      <c r="D264" s="19">
        <v>284</v>
      </c>
      <c r="E264" s="21">
        <v>2</v>
      </c>
    </row>
    <row r="265" spans="1:5" x14ac:dyDescent="0.3">
      <c r="A265" s="20">
        <v>46036</v>
      </c>
      <c r="B265" s="19" t="s">
        <v>7</v>
      </c>
      <c r="C265" s="19" t="s">
        <v>9</v>
      </c>
      <c r="D265" s="19">
        <v>135</v>
      </c>
      <c r="E265" s="21">
        <v>2</v>
      </c>
    </row>
    <row r="266" spans="1:5" x14ac:dyDescent="0.3">
      <c r="A266" s="20">
        <v>46037</v>
      </c>
      <c r="B266" s="19" t="s">
        <v>7</v>
      </c>
      <c r="C266" s="19" t="s">
        <v>9</v>
      </c>
      <c r="D266" s="19">
        <v>179</v>
      </c>
      <c r="E266" s="21">
        <v>3</v>
      </c>
    </row>
    <row r="267" spans="1:5" x14ac:dyDescent="0.3">
      <c r="A267" s="20">
        <v>46038</v>
      </c>
      <c r="B267" s="19" t="s">
        <v>7</v>
      </c>
      <c r="C267" s="19" t="s">
        <v>9</v>
      </c>
      <c r="D267" s="19">
        <v>242</v>
      </c>
      <c r="E267" s="21">
        <v>3</v>
      </c>
    </row>
    <row r="268" spans="1:5" x14ac:dyDescent="0.3">
      <c r="A268" s="20">
        <v>46039</v>
      </c>
      <c r="B268" s="19" t="s">
        <v>7</v>
      </c>
      <c r="C268" s="19" t="s">
        <v>9</v>
      </c>
      <c r="D268" s="19">
        <v>131</v>
      </c>
      <c r="E268" s="21">
        <v>3</v>
      </c>
    </row>
    <row r="269" spans="1:5" x14ac:dyDescent="0.3">
      <c r="A269" s="20">
        <v>46040</v>
      </c>
      <c r="B269" s="19" t="s">
        <v>7</v>
      </c>
      <c r="C269" s="19" t="s">
        <v>9</v>
      </c>
      <c r="D269" s="19">
        <v>238</v>
      </c>
      <c r="E269" s="21">
        <v>3</v>
      </c>
    </row>
    <row r="270" spans="1:5" x14ac:dyDescent="0.3">
      <c r="A270" s="20">
        <v>46041</v>
      </c>
      <c r="B270" s="19" t="s">
        <v>7</v>
      </c>
      <c r="C270" s="19" t="s">
        <v>9</v>
      </c>
      <c r="D270" s="19">
        <v>144</v>
      </c>
      <c r="E270" s="21">
        <v>3</v>
      </c>
    </row>
    <row r="271" spans="1:5" x14ac:dyDescent="0.3">
      <c r="A271" s="20">
        <v>46042</v>
      </c>
      <c r="B271" s="19" t="s">
        <v>7</v>
      </c>
      <c r="C271" s="19" t="s">
        <v>9</v>
      </c>
      <c r="D271" s="19">
        <v>284</v>
      </c>
      <c r="E271" s="21">
        <v>3</v>
      </c>
    </row>
    <row r="272" spans="1:5" x14ac:dyDescent="0.3">
      <c r="A272" s="20">
        <v>46043</v>
      </c>
      <c r="B272" s="19" t="s">
        <v>7</v>
      </c>
      <c r="C272" s="19" t="s">
        <v>9</v>
      </c>
      <c r="D272" s="19">
        <v>134</v>
      </c>
      <c r="E272" s="21">
        <v>3</v>
      </c>
    </row>
    <row r="273" spans="1:5" x14ac:dyDescent="0.3">
      <c r="A273" s="20">
        <v>46044</v>
      </c>
      <c r="B273" s="19" t="s">
        <v>7</v>
      </c>
      <c r="C273" s="19" t="s">
        <v>9</v>
      </c>
      <c r="D273" s="19">
        <v>287</v>
      </c>
      <c r="E273" s="21">
        <v>3</v>
      </c>
    </row>
    <row r="274" spans="1:5" x14ac:dyDescent="0.3">
      <c r="A274" s="20">
        <v>46045</v>
      </c>
      <c r="B274" s="19" t="s">
        <v>7</v>
      </c>
      <c r="C274" s="19" t="s">
        <v>9</v>
      </c>
      <c r="D274" s="19">
        <v>218</v>
      </c>
      <c r="E274" s="21">
        <v>4</v>
      </c>
    </row>
    <row r="275" spans="1:5" x14ac:dyDescent="0.3">
      <c r="A275" s="20">
        <v>46046</v>
      </c>
      <c r="B275" s="19" t="s">
        <v>7</v>
      </c>
      <c r="C275" s="19" t="s">
        <v>9</v>
      </c>
      <c r="D275" s="19">
        <v>117</v>
      </c>
      <c r="E275" s="21">
        <v>4</v>
      </c>
    </row>
    <row r="276" spans="1:5" x14ac:dyDescent="0.3">
      <c r="A276" s="20">
        <v>46047</v>
      </c>
      <c r="B276" s="19" t="s">
        <v>7</v>
      </c>
      <c r="C276" s="19" t="s">
        <v>9</v>
      </c>
      <c r="D276" s="19">
        <v>177</v>
      </c>
      <c r="E276" s="21">
        <v>4</v>
      </c>
    </row>
    <row r="277" spans="1:5" x14ac:dyDescent="0.3">
      <c r="A277" s="20">
        <v>46048</v>
      </c>
      <c r="B277" s="19" t="s">
        <v>7</v>
      </c>
      <c r="C277" s="19" t="s">
        <v>9</v>
      </c>
      <c r="D277" s="19">
        <v>144</v>
      </c>
      <c r="E277" s="21">
        <v>4</v>
      </c>
    </row>
    <row r="278" spans="1:5" x14ac:dyDescent="0.3">
      <c r="A278" s="20">
        <v>46049</v>
      </c>
      <c r="B278" s="19" t="s">
        <v>7</v>
      </c>
      <c r="C278" s="19" t="s">
        <v>9</v>
      </c>
      <c r="D278" s="19">
        <v>204</v>
      </c>
      <c r="E278" s="21">
        <v>4</v>
      </c>
    </row>
    <row r="279" spans="1:5" x14ac:dyDescent="0.3">
      <c r="A279" s="20">
        <v>46050</v>
      </c>
      <c r="B279" s="19" t="s">
        <v>7</v>
      </c>
      <c r="C279" s="19" t="s">
        <v>9</v>
      </c>
      <c r="D279" s="19">
        <v>200</v>
      </c>
      <c r="E279" s="21">
        <v>4</v>
      </c>
    </row>
    <row r="280" spans="1:5" x14ac:dyDescent="0.3">
      <c r="A280" s="20">
        <v>46051</v>
      </c>
      <c r="B280" s="19" t="s">
        <v>7</v>
      </c>
      <c r="C280" s="19" t="s">
        <v>9</v>
      </c>
      <c r="D280" s="19">
        <v>197</v>
      </c>
      <c r="E280" s="21">
        <v>4</v>
      </c>
    </row>
    <row r="281" spans="1:5" x14ac:dyDescent="0.3">
      <c r="A281" s="20">
        <v>46052</v>
      </c>
      <c r="B281" s="19" t="s">
        <v>7</v>
      </c>
      <c r="C281" s="19" t="s">
        <v>9</v>
      </c>
      <c r="D281" s="19">
        <v>246</v>
      </c>
      <c r="E281" s="21">
        <v>5</v>
      </c>
    </row>
    <row r="282" spans="1:5" x14ac:dyDescent="0.3">
      <c r="A282" s="20">
        <v>46053</v>
      </c>
      <c r="B282" s="19" t="s">
        <v>7</v>
      </c>
      <c r="C282" s="19" t="s">
        <v>9</v>
      </c>
      <c r="D282" s="19">
        <v>211</v>
      </c>
      <c r="E282" s="21">
        <v>5</v>
      </c>
    </row>
    <row r="283" spans="1:5" x14ac:dyDescent="0.3">
      <c r="A283" s="20">
        <v>46023</v>
      </c>
      <c r="B283" s="19" t="s">
        <v>4</v>
      </c>
      <c r="C283" s="19" t="s">
        <v>10</v>
      </c>
      <c r="D283" s="19">
        <v>53</v>
      </c>
      <c r="E283" s="21">
        <v>1</v>
      </c>
    </row>
    <row r="284" spans="1:5" x14ac:dyDescent="0.3">
      <c r="A284" s="20">
        <v>46024</v>
      </c>
      <c r="B284" s="19" t="s">
        <v>4</v>
      </c>
      <c r="C284" s="19" t="s">
        <v>10</v>
      </c>
      <c r="D284" s="19">
        <v>79</v>
      </c>
      <c r="E284" s="21">
        <v>1</v>
      </c>
    </row>
    <row r="285" spans="1:5" x14ac:dyDescent="0.3">
      <c r="A285" s="20">
        <v>46025</v>
      </c>
      <c r="B285" s="19" t="s">
        <v>4</v>
      </c>
      <c r="C285" s="19" t="s">
        <v>10</v>
      </c>
      <c r="D285" s="19">
        <v>54</v>
      </c>
      <c r="E285" s="21">
        <v>1</v>
      </c>
    </row>
    <row r="286" spans="1:5" x14ac:dyDescent="0.3">
      <c r="A286" s="20">
        <v>46026</v>
      </c>
      <c r="B286" s="19" t="s">
        <v>4</v>
      </c>
      <c r="C286" s="19" t="s">
        <v>10</v>
      </c>
      <c r="D286" s="19">
        <v>40</v>
      </c>
      <c r="E286" s="21">
        <v>1</v>
      </c>
    </row>
    <row r="287" spans="1:5" x14ac:dyDescent="0.3">
      <c r="A287" s="20">
        <v>46027</v>
      </c>
      <c r="B287" s="19" t="s">
        <v>4</v>
      </c>
      <c r="C287" s="19" t="s">
        <v>10</v>
      </c>
      <c r="D287" s="19">
        <v>33</v>
      </c>
      <c r="E287" s="21">
        <v>1</v>
      </c>
    </row>
    <row r="288" spans="1:5" x14ac:dyDescent="0.3">
      <c r="A288" s="20">
        <v>46028</v>
      </c>
      <c r="B288" s="19" t="s">
        <v>4</v>
      </c>
      <c r="C288" s="19" t="s">
        <v>10</v>
      </c>
      <c r="D288" s="19">
        <v>36</v>
      </c>
      <c r="E288" s="21">
        <v>1</v>
      </c>
    </row>
    <row r="289" spans="1:5" x14ac:dyDescent="0.3">
      <c r="A289" s="20">
        <v>46029</v>
      </c>
      <c r="B289" s="19" t="s">
        <v>4</v>
      </c>
      <c r="C289" s="19" t="s">
        <v>10</v>
      </c>
      <c r="D289" s="19">
        <v>70</v>
      </c>
      <c r="E289" s="21">
        <v>1</v>
      </c>
    </row>
    <row r="290" spans="1:5" x14ac:dyDescent="0.3">
      <c r="A290" s="20">
        <v>46030</v>
      </c>
      <c r="B290" s="19" t="s">
        <v>4</v>
      </c>
      <c r="C290" s="19" t="s">
        <v>10</v>
      </c>
      <c r="D290" s="19">
        <v>51</v>
      </c>
      <c r="E290" s="21">
        <v>2</v>
      </c>
    </row>
    <row r="291" spans="1:5" x14ac:dyDescent="0.3">
      <c r="A291" s="20">
        <v>46031</v>
      </c>
      <c r="B291" s="19" t="s">
        <v>4</v>
      </c>
      <c r="C291" s="19" t="s">
        <v>10</v>
      </c>
      <c r="D291" s="19">
        <v>49</v>
      </c>
      <c r="E291" s="21">
        <v>2</v>
      </c>
    </row>
    <row r="292" spans="1:5" x14ac:dyDescent="0.3">
      <c r="A292" s="20">
        <v>46032</v>
      </c>
      <c r="B292" s="19" t="s">
        <v>4</v>
      </c>
      <c r="C292" s="19" t="s">
        <v>10</v>
      </c>
      <c r="D292" s="19">
        <v>80</v>
      </c>
      <c r="E292" s="21">
        <v>2</v>
      </c>
    </row>
    <row r="293" spans="1:5" x14ac:dyDescent="0.3">
      <c r="A293" s="20">
        <v>46033</v>
      </c>
      <c r="B293" s="19" t="s">
        <v>4</v>
      </c>
      <c r="C293" s="19" t="s">
        <v>10</v>
      </c>
      <c r="D293" s="19">
        <v>115</v>
      </c>
      <c r="E293" s="21">
        <v>2</v>
      </c>
    </row>
    <row r="294" spans="1:5" x14ac:dyDescent="0.3">
      <c r="A294" s="20">
        <v>46034</v>
      </c>
      <c r="B294" s="19" t="s">
        <v>4</v>
      </c>
      <c r="C294" s="19" t="s">
        <v>10</v>
      </c>
      <c r="D294" s="19">
        <v>49</v>
      </c>
      <c r="E294" s="21">
        <v>2</v>
      </c>
    </row>
    <row r="295" spans="1:5" x14ac:dyDescent="0.3">
      <c r="A295" s="20">
        <v>46035</v>
      </c>
      <c r="B295" s="19" t="s">
        <v>4</v>
      </c>
      <c r="C295" s="19" t="s">
        <v>10</v>
      </c>
      <c r="D295" s="19">
        <v>85</v>
      </c>
      <c r="E295" s="21">
        <v>2</v>
      </c>
    </row>
    <row r="296" spans="1:5" x14ac:dyDescent="0.3">
      <c r="A296" s="20">
        <v>46036</v>
      </c>
      <c r="B296" s="19" t="s">
        <v>4</v>
      </c>
      <c r="C296" s="19" t="s">
        <v>10</v>
      </c>
      <c r="D296" s="19">
        <v>57</v>
      </c>
      <c r="E296" s="21">
        <v>2</v>
      </c>
    </row>
    <row r="297" spans="1:5" x14ac:dyDescent="0.3">
      <c r="A297" s="20">
        <v>46037</v>
      </c>
      <c r="B297" s="19" t="s">
        <v>4</v>
      </c>
      <c r="C297" s="19" t="s">
        <v>10</v>
      </c>
      <c r="D297" s="19">
        <v>35</v>
      </c>
      <c r="E297" s="21">
        <v>3</v>
      </c>
    </row>
    <row r="298" spans="1:5" x14ac:dyDescent="0.3">
      <c r="A298" s="20">
        <v>46038</v>
      </c>
      <c r="B298" s="19" t="s">
        <v>4</v>
      </c>
      <c r="C298" s="19" t="s">
        <v>10</v>
      </c>
      <c r="D298" s="19">
        <v>87</v>
      </c>
      <c r="E298" s="21">
        <v>3</v>
      </c>
    </row>
    <row r="299" spans="1:5" x14ac:dyDescent="0.3">
      <c r="A299" s="20">
        <v>46039</v>
      </c>
      <c r="B299" s="19" t="s">
        <v>4</v>
      </c>
      <c r="C299" s="19" t="s">
        <v>10</v>
      </c>
      <c r="D299" s="19">
        <v>43</v>
      </c>
      <c r="E299" s="21">
        <v>3</v>
      </c>
    </row>
    <row r="300" spans="1:5" x14ac:dyDescent="0.3">
      <c r="A300" s="20">
        <v>46040</v>
      </c>
      <c r="B300" s="19" t="s">
        <v>4</v>
      </c>
      <c r="C300" s="19" t="s">
        <v>10</v>
      </c>
      <c r="D300" s="19">
        <v>44</v>
      </c>
      <c r="E300" s="21">
        <v>3</v>
      </c>
    </row>
    <row r="301" spans="1:5" x14ac:dyDescent="0.3">
      <c r="A301" s="20">
        <v>46041</v>
      </c>
      <c r="B301" s="19" t="s">
        <v>4</v>
      </c>
      <c r="C301" s="19" t="s">
        <v>10</v>
      </c>
      <c r="D301" s="19">
        <v>104</v>
      </c>
      <c r="E301" s="21">
        <v>3</v>
      </c>
    </row>
    <row r="302" spans="1:5" x14ac:dyDescent="0.3">
      <c r="A302" s="20">
        <v>46042</v>
      </c>
      <c r="B302" s="19" t="s">
        <v>4</v>
      </c>
      <c r="C302" s="19" t="s">
        <v>10</v>
      </c>
      <c r="D302" s="19">
        <v>87</v>
      </c>
      <c r="E302" s="21">
        <v>3</v>
      </c>
    </row>
    <row r="303" spans="1:5" x14ac:dyDescent="0.3">
      <c r="A303" s="20">
        <v>46043</v>
      </c>
      <c r="B303" s="19" t="s">
        <v>4</v>
      </c>
      <c r="C303" s="19" t="s">
        <v>10</v>
      </c>
      <c r="D303" s="19">
        <v>113</v>
      </c>
      <c r="E303" s="21">
        <v>3</v>
      </c>
    </row>
    <row r="304" spans="1:5" x14ac:dyDescent="0.3">
      <c r="A304" s="20">
        <v>46044</v>
      </c>
      <c r="B304" s="19" t="s">
        <v>4</v>
      </c>
      <c r="C304" s="19" t="s">
        <v>10</v>
      </c>
      <c r="D304" s="19">
        <v>65</v>
      </c>
      <c r="E304" s="21">
        <v>3</v>
      </c>
    </row>
    <row r="305" spans="1:5" x14ac:dyDescent="0.3">
      <c r="A305" s="20">
        <v>46045</v>
      </c>
      <c r="B305" s="19" t="s">
        <v>4</v>
      </c>
      <c r="C305" s="19" t="s">
        <v>10</v>
      </c>
      <c r="D305" s="19">
        <v>32</v>
      </c>
      <c r="E305" s="21">
        <v>4</v>
      </c>
    </row>
    <row r="306" spans="1:5" x14ac:dyDescent="0.3">
      <c r="A306" s="20">
        <v>46046</v>
      </c>
      <c r="B306" s="19" t="s">
        <v>4</v>
      </c>
      <c r="C306" s="19" t="s">
        <v>10</v>
      </c>
      <c r="D306" s="19">
        <v>53</v>
      </c>
      <c r="E306" s="21">
        <v>4</v>
      </c>
    </row>
    <row r="307" spans="1:5" x14ac:dyDescent="0.3">
      <c r="A307" s="20">
        <v>46047</v>
      </c>
      <c r="B307" s="19" t="s">
        <v>4</v>
      </c>
      <c r="C307" s="19" t="s">
        <v>10</v>
      </c>
      <c r="D307" s="19">
        <v>43</v>
      </c>
      <c r="E307" s="21">
        <v>4</v>
      </c>
    </row>
    <row r="308" spans="1:5" x14ac:dyDescent="0.3">
      <c r="A308" s="20">
        <v>46048</v>
      </c>
      <c r="B308" s="19" t="s">
        <v>4</v>
      </c>
      <c r="C308" s="19" t="s">
        <v>10</v>
      </c>
      <c r="D308" s="19">
        <v>111</v>
      </c>
      <c r="E308" s="21">
        <v>4</v>
      </c>
    </row>
    <row r="309" spans="1:5" x14ac:dyDescent="0.3">
      <c r="A309" s="20">
        <v>46049</v>
      </c>
      <c r="B309" s="19" t="s">
        <v>4</v>
      </c>
      <c r="C309" s="19" t="s">
        <v>10</v>
      </c>
      <c r="D309" s="19">
        <v>93</v>
      </c>
      <c r="E309" s="21">
        <v>4</v>
      </c>
    </row>
    <row r="310" spans="1:5" x14ac:dyDescent="0.3">
      <c r="A310" s="20">
        <v>46050</v>
      </c>
      <c r="B310" s="19" t="s">
        <v>4</v>
      </c>
      <c r="C310" s="19" t="s">
        <v>10</v>
      </c>
      <c r="D310" s="19">
        <v>95</v>
      </c>
      <c r="E310" s="21">
        <v>4</v>
      </c>
    </row>
    <row r="311" spans="1:5" x14ac:dyDescent="0.3">
      <c r="A311" s="20">
        <v>46051</v>
      </c>
      <c r="B311" s="19" t="s">
        <v>4</v>
      </c>
      <c r="C311" s="19" t="s">
        <v>10</v>
      </c>
      <c r="D311" s="19">
        <v>71</v>
      </c>
      <c r="E311" s="21">
        <v>4</v>
      </c>
    </row>
    <row r="312" spans="1:5" x14ac:dyDescent="0.3">
      <c r="A312" s="20">
        <v>46052</v>
      </c>
      <c r="B312" s="19" t="s">
        <v>4</v>
      </c>
      <c r="C312" s="19" t="s">
        <v>10</v>
      </c>
      <c r="D312" s="19">
        <v>45</v>
      </c>
      <c r="E312" s="21">
        <v>5</v>
      </c>
    </row>
    <row r="313" spans="1:5" x14ac:dyDescent="0.3">
      <c r="A313" s="20">
        <v>46053</v>
      </c>
      <c r="B313" s="19" t="s">
        <v>4</v>
      </c>
      <c r="C313" s="19" t="s">
        <v>10</v>
      </c>
      <c r="D313" s="19">
        <v>104</v>
      </c>
      <c r="E313" s="21">
        <v>5</v>
      </c>
    </row>
    <row r="314" spans="1:5" x14ac:dyDescent="0.3">
      <c r="A314" s="20">
        <v>46023</v>
      </c>
      <c r="B314" s="19" t="s">
        <v>6</v>
      </c>
      <c r="C314" s="19" t="s">
        <v>10</v>
      </c>
      <c r="D314" s="19">
        <v>554</v>
      </c>
      <c r="E314" s="21">
        <v>1</v>
      </c>
    </row>
    <row r="315" spans="1:5" x14ac:dyDescent="0.3">
      <c r="A315" s="20">
        <v>46024</v>
      </c>
      <c r="B315" s="19" t="s">
        <v>6</v>
      </c>
      <c r="C315" s="19" t="s">
        <v>10</v>
      </c>
      <c r="D315" s="19">
        <v>614</v>
      </c>
      <c r="E315" s="21">
        <v>1</v>
      </c>
    </row>
    <row r="316" spans="1:5" x14ac:dyDescent="0.3">
      <c r="A316" s="20">
        <v>46025</v>
      </c>
      <c r="B316" s="19" t="s">
        <v>6</v>
      </c>
      <c r="C316" s="19" t="s">
        <v>10</v>
      </c>
      <c r="D316" s="19">
        <v>528</v>
      </c>
      <c r="E316" s="21">
        <v>1</v>
      </c>
    </row>
    <row r="317" spans="1:5" x14ac:dyDescent="0.3">
      <c r="A317" s="20">
        <v>46026</v>
      </c>
      <c r="B317" s="19" t="s">
        <v>6</v>
      </c>
      <c r="C317" s="19" t="s">
        <v>10</v>
      </c>
      <c r="D317" s="19">
        <v>455</v>
      </c>
      <c r="E317" s="21">
        <v>1</v>
      </c>
    </row>
    <row r="318" spans="1:5" x14ac:dyDescent="0.3">
      <c r="A318" s="20">
        <v>46027</v>
      </c>
      <c r="B318" s="19" t="s">
        <v>6</v>
      </c>
      <c r="C318" s="19" t="s">
        <v>10</v>
      </c>
      <c r="D318" s="19">
        <v>304</v>
      </c>
      <c r="E318" s="21">
        <v>1</v>
      </c>
    </row>
    <row r="319" spans="1:5" x14ac:dyDescent="0.3">
      <c r="A319" s="20">
        <v>46028</v>
      </c>
      <c r="B319" s="19" t="s">
        <v>6</v>
      </c>
      <c r="C319" s="19" t="s">
        <v>10</v>
      </c>
      <c r="D319" s="19">
        <v>265</v>
      </c>
      <c r="E319" s="21">
        <v>1</v>
      </c>
    </row>
    <row r="320" spans="1:5" x14ac:dyDescent="0.3">
      <c r="A320" s="20">
        <v>46029</v>
      </c>
      <c r="B320" s="19" t="s">
        <v>6</v>
      </c>
      <c r="C320" s="19" t="s">
        <v>10</v>
      </c>
      <c r="D320" s="19">
        <v>702</v>
      </c>
      <c r="E320" s="21">
        <v>1</v>
      </c>
    </row>
    <row r="321" spans="1:5" x14ac:dyDescent="0.3">
      <c r="A321" s="20">
        <v>46030</v>
      </c>
      <c r="B321" s="19" t="s">
        <v>6</v>
      </c>
      <c r="C321" s="19" t="s">
        <v>10</v>
      </c>
      <c r="D321" s="19">
        <v>480</v>
      </c>
      <c r="E321" s="21">
        <v>2</v>
      </c>
    </row>
    <row r="322" spans="1:5" x14ac:dyDescent="0.3">
      <c r="A322" s="20">
        <v>46031</v>
      </c>
      <c r="B322" s="19" t="s">
        <v>6</v>
      </c>
      <c r="C322" s="19" t="s">
        <v>10</v>
      </c>
      <c r="D322" s="19">
        <v>377</v>
      </c>
      <c r="E322" s="21">
        <v>2</v>
      </c>
    </row>
    <row r="323" spans="1:5" x14ac:dyDescent="0.3">
      <c r="A323" s="20">
        <v>46032</v>
      </c>
      <c r="B323" s="19" t="s">
        <v>6</v>
      </c>
      <c r="C323" s="19" t="s">
        <v>10</v>
      </c>
      <c r="D323" s="19">
        <v>769</v>
      </c>
      <c r="E323" s="21">
        <v>2</v>
      </c>
    </row>
    <row r="324" spans="1:5" x14ac:dyDescent="0.3">
      <c r="A324" s="20">
        <v>46033</v>
      </c>
      <c r="B324" s="19" t="s">
        <v>6</v>
      </c>
      <c r="C324" s="19" t="s">
        <v>10</v>
      </c>
      <c r="D324" s="19">
        <v>585</v>
      </c>
      <c r="E324" s="21">
        <v>2</v>
      </c>
    </row>
    <row r="325" spans="1:5" x14ac:dyDescent="0.3">
      <c r="A325" s="20">
        <v>46034</v>
      </c>
      <c r="B325" s="19" t="s">
        <v>6</v>
      </c>
      <c r="C325" s="19" t="s">
        <v>10</v>
      </c>
      <c r="D325" s="19">
        <v>788</v>
      </c>
      <c r="E325" s="21">
        <v>2</v>
      </c>
    </row>
    <row r="326" spans="1:5" x14ac:dyDescent="0.3">
      <c r="A326" s="20">
        <v>46035</v>
      </c>
      <c r="B326" s="19" t="s">
        <v>6</v>
      </c>
      <c r="C326" s="19" t="s">
        <v>10</v>
      </c>
      <c r="D326" s="19">
        <v>633</v>
      </c>
      <c r="E326" s="21">
        <v>2</v>
      </c>
    </row>
    <row r="327" spans="1:5" x14ac:dyDescent="0.3">
      <c r="A327" s="20">
        <v>46036</v>
      </c>
      <c r="B327" s="19" t="s">
        <v>6</v>
      </c>
      <c r="C327" s="19" t="s">
        <v>10</v>
      </c>
      <c r="D327" s="19">
        <v>403</v>
      </c>
      <c r="E327" s="21">
        <v>2</v>
      </c>
    </row>
    <row r="328" spans="1:5" x14ac:dyDescent="0.3">
      <c r="A328" s="20">
        <v>46037</v>
      </c>
      <c r="B328" s="19" t="s">
        <v>6</v>
      </c>
      <c r="C328" s="19" t="s">
        <v>10</v>
      </c>
      <c r="D328" s="19">
        <v>511</v>
      </c>
      <c r="E328" s="21">
        <v>3</v>
      </c>
    </row>
    <row r="329" spans="1:5" x14ac:dyDescent="0.3">
      <c r="A329" s="20">
        <v>46038</v>
      </c>
      <c r="B329" s="19" t="s">
        <v>6</v>
      </c>
      <c r="C329" s="19" t="s">
        <v>10</v>
      </c>
      <c r="D329" s="19">
        <v>585</v>
      </c>
      <c r="E329" s="21">
        <v>3</v>
      </c>
    </row>
    <row r="330" spans="1:5" x14ac:dyDescent="0.3">
      <c r="A330" s="20">
        <v>46039</v>
      </c>
      <c r="B330" s="19" t="s">
        <v>6</v>
      </c>
      <c r="C330" s="19" t="s">
        <v>10</v>
      </c>
      <c r="D330" s="19">
        <v>756</v>
      </c>
      <c r="E330" s="21">
        <v>3</v>
      </c>
    </row>
    <row r="331" spans="1:5" x14ac:dyDescent="0.3">
      <c r="A331" s="20">
        <v>46040</v>
      </c>
      <c r="B331" s="19" t="s">
        <v>6</v>
      </c>
      <c r="C331" s="19" t="s">
        <v>10</v>
      </c>
      <c r="D331" s="19">
        <v>587</v>
      </c>
      <c r="E331" s="21">
        <v>3</v>
      </c>
    </row>
    <row r="332" spans="1:5" x14ac:dyDescent="0.3">
      <c r="A332" s="20">
        <v>46041</v>
      </c>
      <c r="B332" s="19" t="s">
        <v>6</v>
      </c>
      <c r="C332" s="19" t="s">
        <v>10</v>
      </c>
      <c r="D332" s="19">
        <v>487</v>
      </c>
      <c r="E332" s="21">
        <v>3</v>
      </c>
    </row>
    <row r="333" spans="1:5" x14ac:dyDescent="0.3">
      <c r="A333" s="20">
        <v>46042</v>
      </c>
      <c r="B333" s="19" t="s">
        <v>6</v>
      </c>
      <c r="C333" s="19" t="s">
        <v>10</v>
      </c>
      <c r="D333" s="19">
        <v>347</v>
      </c>
      <c r="E333" s="21">
        <v>3</v>
      </c>
    </row>
    <row r="334" spans="1:5" x14ac:dyDescent="0.3">
      <c r="A334" s="20">
        <v>46043</v>
      </c>
      <c r="B334" s="19" t="s">
        <v>6</v>
      </c>
      <c r="C334" s="19" t="s">
        <v>10</v>
      </c>
      <c r="D334" s="19">
        <v>583</v>
      </c>
      <c r="E334" s="21">
        <v>3</v>
      </c>
    </row>
    <row r="335" spans="1:5" x14ac:dyDescent="0.3">
      <c r="A335" s="20">
        <v>46044</v>
      </c>
      <c r="B335" s="19" t="s">
        <v>6</v>
      </c>
      <c r="C335" s="19" t="s">
        <v>10</v>
      </c>
      <c r="D335" s="19">
        <v>418</v>
      </c>
      <c r="E335" s="21">
        <v>3</v>
      </c>
    </row>
    <row r="336" spans="1:5" x14ac:dyDescent="0.3">
      <c r="A336" s="20">
        <v>46045</v>
      </c>
      <c r="B336" s="19" t="s">
        <v>6</v>
      </c>
      <c r="C336" s="19" t="s">
        <v>10</v>
      </c>
      <c r="D336" s="19">
        <v>520</v>
      </c>
      <c r="E336" s="21">
        <v>4</v>
      </c>
    </row>
    <row r="337" spans="1:5" x14ac:dyDescent="0.3">
      <c r="A337" s="20">
        <v>46046</v>
      </c>
      <c r="B337" s="19" t="s">
        <v>6</v>
      </c>
      <c r="C337" s="19" t="s">
        <v>10</v>
      </c>
      <c r="D337" s="19">
        <v>452</v>
      </c>
      <c r="E337" s="21">
        <v>4</v>
      </c>
    </row>
    <row r="338" spans="1:5" x14ac:dyDescent="0.3">
      <c r="A338" s="20">
        <v>46047</v>
      </c>
      <c r="B338" s="19" t="s">
        <v>6</v>
      </c>
      <c r="C338" s="19" t="s">
        <v>10</v>
      </c>
      <c r="D338" s="19">
        <v>749</v>
      </c>
      <c r="E338" s="21">
        <v>4</v>
      </c>
    </row>
    <row r="339" spans="1:5" x14ac:dyDescent="0.3">
      <c r="A339" s="20">
        <v>46048</v>
      </c>
      <c r="B339" s="19" t="s">
        <v>6</v>
      </c>
      <c r="C339" s="19" t="s">
        <v>10</v>
      </c>
      <c r="D339" s="19">
        <v>771</v>
      </c>
      <c r="E339" s="21">
        <v>4</v>
      </c>
    </row>
    <row r="340" spans="1:5" x14ac:dyDescent="0.3">
      <c r="A340" s="20">
        <v>46049</v>
      </c>
      <c r="B340" s="19" t="s">
        <v>6</v>
      </c>
      <c r="C340" s="19" t="s">
        <v>10</v>
      </c>
      <c r="D340" s="19">
        <v>283</v>
      </c>
      <c r="E340" s="21">
        <v>4</v>
      </c>
    </row>
    <row r="341" spans="1:5" x14ac:dyDescent="0.3">
      <c r="A341" s="20">
        <v>46050</v>
      </c>
      <c r="B341" s="19" t="s">
        <v>6</v>
      </c>
      <c r="C341" s="19" t="s">
        <v>10</v>
      </c>
      <c r="D341" s="19">
        <v>359</v>
      </c>
      <c r="E341" s="21">
        <v>4</v>
      </c>
    </row>
    <row r="342" spans="1:5" x14ac:dyDescent="0.3">
      <c r="A342" s="20">
        <v>46051</v>
      </c>
      <c r="B342" s="19" t="s">
        <v>6</v>
      </c>
      <c r="C342" s="19" t="s">
        <v>10</v>
      </c>
      <c r="D342" s="19">
        <v>390</v>
      </c>
      <c r="E342" s="21">
        <v>4</v>
      </c>
    </row>
    <row r="343" spans="1:5" x14ac:dyDescent="0.3">
      <c r="A343" s="20">
        <v>46052</v>
      </c>
      <c r="B343" s="19" t="s">
        <v>6</v>
      </c>
      <c r="C343" s="19" t="s">
        <v>10</v>
      </c>
      <c r="D343" s="19">
        <v>302</v>
      </c>
      <c r="E343" s="21">
        <v>5</v>
      </c>
    </row>
    <row r="344" spans="1:5" x14ac:dyDescent="0.3">
      <c r="A344" s="20">
        <v>46053</v>
      </c>
      <c r="B344" s="19" t="s">
        <v>6</v>
      </c>
      <c r="C344" s="19" t="s">
        <v>10</v>
      </c>
      <c r="D344" s="19">
        <v>566</v>
      </c>
      <c r="E344" s="21">
        <v>5</v>
      </c>
    </row>
    <row r="345" spans="1:5" x14ac:dyDescent="0.3">
      <c r="A345" s="20">
        <v>46023</v>
      </c>
      <c r="B345" s="19" t="s">
        <v>7</v>
      </c>
      <c r="C345" s="19" t="s">
        <v>10</v>
      </c>
      <c r="D345" s="19">
        <v>112</v>
      </c>
      <c r="E345" s="21">
        <v>1</v>
      </c>
    </row>
    <row r="346" spans="1:5" x14ac:dyDescent="0.3">
      <c r="A346" s="20">
        <v>46024</v>
      </c>
      <c r="B346" s="19" t="s">
        <v>7</v>
      </c>
      <c r="C346" s="19" t="s">
        <v>10</v>
      </c>
      <c r="D346" s="19">
        <v>251</v>
      </c>
      <c r="E346" s="21">
        <v>1</v>
      </c>
    </row>
    <row r="347" spans="1:5" x14ac:dyDescent="0.3">
      <c r="A347" s="20">
        <v>46025</v>
      </c>
      <c r="B347" s="19" t="s">
        <v>7</v>
      </c>
      <c r="C347" s="19" t="s">
        <v>10</v>
      </c>
      <c r="D347" s="19">
        <v>181</v>
      </c>
      <c r="E347" s="21">
        <v>1</v>
      </c>
    </row>
    <row r="348" spans="1:5" x14ac:dyDescent="0.3">
      <c r="A348" s="20">
        <v>46026</v>
      </c>
      <c r="B348" s="19" t="s">
        <v>7</v>
      </c>
      <c r="C348" s="19" t="s">
        <v>10</v>
      </c>
      <c r="D348" s="19">
        <v>253</v>
      </c>
      <c r="E348" s="21">
        <v>1</v>
      </c>
    </row>
    <row r="349" spans="1:5" x14ac:dyDescent="0.3">
      <c r="A349" s="20">
        <v>46027</v>
      </c>
      <c r="B349" s="19" t="s">
        <v>7</v>
      </c>
      <c r="C349" s="19" t="s">
        <v>10</v>
      </c>
      <c r="D349" s="19">
        <v>199</v>
      </c>
      <c r="E349" s="21">
        <v>1</v>
      </c>
    </row>
    <row r="350" spans="1:5" x14ac:dyDescent="0.3">
      <c r="A350" s="20">
        <v>46028</v>
      </c>
      <c r="B350" s="19" t="s">
        <v>7</v>
      </c>
      <c r="C350" s="19" t="s">
        <v>10</v>
      </c>
      <c r="D350" s="19">
        <v>104</v>
      </c>
      <c r="E350" s="21">
        <v>1</v>
      </c>
    </row>
    <row r="351" spans="1:5" x14ac:dyDescent="0.3">
      <c r="A351" s="20">
        <v>46029</v>
      </c>
      <c r="B351" s="19" t="s">
        <v>7</v>
      </c>
      <c r="C351" s="19" t="s">
        <v>10</v>
      </c>
      <c r="D351" s="19">
        <v>286</v>
      </c>
      <c r="E351" s="21">
        <v>1</v>
      </c>
    </row>
    <row r="352" spans="1:5" x14ac:dyDescent="0.3">
      <c r="A352" s="20">
        <v>46030</v>
      </c>
      <c r="B352" s="19" t="s">
        <v>7</v>
      </c>
      <c r="C352" s="19" t="s">
        <v>10</v>
      </c>
      <c r="D352" s="19">
        <v>128</v>
      </c>
      <c r="E352" s="21">
        <v>2</v>
      </c>
    </row>
    <row r="353" spans="1:5" x14ac:dyDescent="0.3">
      <c r="A353" s="20">
        <v>46031</v>
      </c>
      <c r="B353" s="19" t="s">
        <v>7</v>
      </c>
      <c r="C353" s="19" t="s">
        <v>10</v>
      </c>
      <c r="D353" s="19">
        <v>239</v>
      </c>
      <c r="E353" s="21">
        <v>2</v>
      </c>
    </row>
    <row r="354" spans="1:5" x14ac:dyDescent="0.3">
      <c r="A354" s="20">
        <v>46032</v>
      </c>
      <c r="B354" s="19" t="s">
        <v>7</v>
      </c>
      <c r="C354" s="19" t="s">
        <v>10</v>
      </c>
      <c r="D354" s="19">
        <v>138</v>
      </c>
      <c r="E354" s="21">
        <v>2</v>
      </c>
    </row>
    <row r="355" spans="1:5" x14ac:dyDescent="0.3">
      <c r="A355" s="20">
        <v>46033</v>
      </c>
      <c r="B355" s="19" t="s">
        <v>7</v>
      </c>
      <c r="C355" s="19" t="s">
        <v>10</v>
      </c>
      <c r="D355" s="19">
        <v>126</v>
      </c>
      <c r="E355" s="21">
        <v>2</v>
      </c>
    </row>
    <row r="356" spans="1:5" x14ac:dyDescent="0.3">
      <c r="A356" s="20">
        <v>46034</v>
      </c>
      <c r="B356" s="19" t="s">
        <v>7</v>
      </c>
      <c r="C356" s="19" t="s">
        <v>10</v>
      </c>
      <c r="D356" s="19">
        <v>261</v>
      </c>
      <c r="E356" s="21">
        <v>2</v>
      </c>
    </row>
    <row r="357" spans="1:5" x14ac:dyDescent="0.3">
      <c r="A357" s="20">
        <v>46035</v>
      </c>
      <c r="B357" s="19" t="s">
        <v>7</v>
      </c>
      <c r="C357" s="19" t="s">
        <v>10</v>
      </c>
      <c r="D357" s="19">
        <v>184</v>
      </c>
      <c r="E357" s="21">
        <v>2</v>
      </c>
    </row>
    <row r="358" spans="1:5" x14ac:dyDescent="0.3">
      <c r="A358" s="20">
        <v>46036</v>
      </c>
      <c r="B358" s="19" t="s">
        <v>7</v>
      </c>
      <c r="C358" s="19" t="s">
        <v>10</v>
      </c>
      <c r="D358" s="19">
        <v>254</v>
      </c>
      <c r="E358" s="21">
        <v>2</v>
      </c>
    </row>
    <row r="359" spans="1:5" x14ac:dyDescent="0.3">
      <c r="A359" s="20">
        <v>46037</v>
      </c>
      <c r="B359" s="19" t="s">
        <v>7</v>
      </c>
      <c r="C359" s="19" t="s">
        <v>10</v>
      </c>
      <c r="D359" s="19">
        <v>190</v>
      </c>
      <c r="E359" s="21">
        <v>3</v>
      </c>
    </row>
    <row r="360" spans="1:5" x14ac:dyDescent="0.3">
      <c r="A360" s="20">
        <v>46038</v>
      </c>
      <c r="B360" s="19" t="s">
        <v>7</v>
      </c>
      <c r="C360" s="19" t="s">
        <v>10</v>
      </c>
      <c r="D360" s="19">
        <v>185</v>
      </c>
      <c r="E360" s="21">
        <v>3</v>
      </c>
    </row>
    <row r="361" spans="1:5" x14ac:dyDescent="0.3">
      <c r="A361" s="20">
        <v>46039</v>
      </c>
      <c r="B361" s="19" t="s">
        <v>7</v>
      </c>
      <c r="C361" s="19" t="s">
        <v>10</v>
      </c>
      <c r="D361" s="19">
        <v>237</v>
      </c>
      <c r="E361" s="21">
        <v>3</v>
      </c>
    </row>
    <row r="362" spans="1:5" x14ac:dyDescent="0.3">
      <c r="A362" s="20">
        <v>46040</v>
      </c>
      <c r="B362" s="19" t="s">
        <v>7</v>
      </c>
      <c r="C362" s="19" t="s">
        <v>10</v>
      </c>
      <c r="D362" s="19">
        <v>128</v>
      </c>
      <c r="E362" s="21">
        <v>3</v>
      </c>
    </row>
    <row r="363" spans="1:5" x14ac:dyDescent="0.3">
      <c r="A363" s="20">
        <v>46041</v>
      </c>
      <c r="B363" s="19" t="s">
        <v>7</v>
      </c>
      <c r="C363" s="19" t="s">
        <v>10</v>
      </c>
      <c r="D363" s="19">
        <v>261</v>
      </c>
      <c r="E363" s="21">
        <v>3</v>
      </c>
    </row>
    <row r="364" spans="1:5" x14ac:dyDescent="0.3">
      <c r="A364" s="20">
        <v>46042</v>
      </c>
      <c r="B364" s="19" t="s">
        <v>7</v>
      </c>
      <c r="C364" s="19" t="s">
        <v>10</v>
      </c>
      <c r="D364" s="19">
        <v>111</v>
      </c>
      <c r="E364" s="21">
        <v>3</v>
      </c>
    </row>
    <row r="365" spans="1:5" x14ac:dyDescent="0.3">
      <c r="A365" s="20">
        <v>46043</v>
      </c>
      <c r="B365" s="19" t="s">
        <v>7</v>
      </c>
      <c r="C365" s="19" t="s">
        <v>10</v>
      </c>
      <c r="D365" s="19">
        <v>240</v>
      </c>
      <c r="E365" s="21">
        <v>3</v>
      </c>
    </row>
    <row r="366" spans="1:5" x14ac:dyDescent="0.3">
      <c r="A366" s="20">
        <v>46044</v>
      </c>
      <c r="B366" s="19" t="s">
        <v>7</v>
      </c>
      <c r="C366" s="19" t="s">
        <v>10</v>
      </c>
      <c r="D366" s="19">
        <v>165</v>
      </c>
      <c r="E366" s="21">
        <v>3</v>
      </c>
    </row>
    <row r="367" spans="1:5" x14ac:dyDescent="0.3">
      <c r="A367" s="20">
        <v>46045</v>
      </c>
      <c r="B367" s="19" t="s">
        <v>7</v>
      </c>
      <c r="C367" s="19" t="s">
        <v>10</v>
      </c>
      <c r="D367" s="19">
        <v>190</v>
      </c>
      <c r="E367" s="21">
        <v>4</v>
      </c>
    </row>
    <row r="368" spans="1:5" x14ac:dyDescent="0.3">
      <c r="A368" s="20">
        <v>46046</v>
      </c>
      <c r="B368" s="19" t="s">
        <v>7</v>
      </c>
      <c r="C368" s="19" t="s">
        <v>10</v>
      </c>
      <c r="D368" s="19">
        <v>148</v>
      </c>
      <c r="E368" s="21">
        <v>4</v>
      </c>
    </row>
    <row r="369" spans="1:5" x14ac:dyDescent="0.3">
      <c r="A369" s="20">
        <v>46047</v>
      </c>
      <c r="B369" s="19" t="s">
        <v>7</v>
      </c>
      <c r="C369" s="19" t="s">
        <v>10</v>
      </c>
      <c r="D369" s="19">
        <v>197</v>
      </c>
      <c r="E369" s="21">
        <v>4</v>
      </c>
    </row>
    <row r="370" spans="1:5" x14ac:dyDescent="0.3">
      <c r="A370" s="20">
        <v>46048</v>
      </c>
      <c r="B370" s="19" t="s">
        <v>7</v>
      </c>
      <c r="C370" s="19" t="s">
        <v>10</v>
      </c>
      <c r="D370" s="19">
        <v>115</v>
      </c>
      <c r="E370" s="21">
        <v>4</v>
      </c>
    </row>
    <row r="371" spans="1:5" x14ac:dyDescent="0.3">
      <c r="A371" s="20">
        <v>46049</v>
      </c>
      <c r="B371" s="19" t="s">
        <v>7</v>
      </c>
      <c r="C371" s="19" t="s">
        <v>10</v>
      </c>
      <c r="D371" s="19">
        <v>103</v>
      </c>
      <c r="E371" s="21">
        <v>4</v>
      </c>
    </row>
    <row r="372" spans="1:5" x14ac:dyDescent="0.3">
      <c r="A372" s="20">
        <v>46050</v>
      </c>
      <c r="B372" s="19" t="s">
        <v>7</v>
      </c>
      <c r="C372" s="19" t="s">
        <v>10</v>
      </c>
      <c r="D372" s="19">
        <v>113</v>
      </c>
      <c r="E372" s="21">
        <v>4</v>
      </c>
    </row>
    <row r="373" spans="1:5" x14ac:dyDescent="0.3">
      <c r="A373" s="20">
        <v>46051</v>
      </c>
      <c r="B373" s="19" t="s">
        <v>7</v>
      </c>
      <c r="C373" s="19" t="s">
        <v>10</v>
      </c>
      <c r="D373" s="19">
        <v>220</v>
      </c>
      <c r="E373" s="21">
        <v>4</v>
      </c>
    </row>
    <row r="374" spans="1:5" x14ac:dyDescent="0.3">
      <c r="A374" s="20">
        <v>46052</v>
      </c>
      <c r="B374" s="19" t="s">
        <v>7</v>
      </c>
      <c r="C374" s="19" t="s">
        <v>10</v>
      </c>
      <c r="D374" s="19">
        <v>242</v>
      </c>
      <c r="E374" s="21">
        <v>5</v>
      </c>
    </row>
    <row r="375" spans="1:5" x14ac:dyDescent="0.3">
      <c r="A375" s="20">
        <v>46053</v>
      </c>
      <c r="B375" s="19" t="s">
        <v>7</v>
      </c>
      <c r="C375" s="19" t="s">
        <v>10</v>
      </c>
      <c r="D375" s="19">
        <v>267</v>
      </c>
      <c r="E375" s="21">
        <v>5</v>
      </c>
    </row>
    <row r="376" spans="1:5" x14ac:dyDescent="0.3">
      <c r="A376" s="20">
        <v>46023</v>
      </c>
      <c r="B376" s="19" t="s">
        <v>4</v>
      </c>
      <c r="C376" s="19" t="s">
        <v>11</v>
      </c>
      <c r="D376" s="19">
        <v>90</v>
      </c>
      <c r="E376" s="21">
        <v>1</v>
      </c>
    </row>
    <row r="377" spans="1:5" x14ac:dyDescent="0.3">
      <c r="A377" s="20">
        <v>46024</v>
      </c>
      <c r="B377" s="19" t="s">
        <v>4</v>
      </c>
      <c r="C377" s="19" t="s">
        <v>11</v>
      </c>
      <c r="D377" s="19">
        <v>100</v>
      </c>
      <c r="E377" s="21">
        <v>1</v>
      </c>
    </row>
    <row r="378" spans="1:5" x14ac:dyDescent="0.3">
      <c r="A378" s="20">
        <v>46025</v>
      </c>
      <c r="B378" s="19" t="s">
        <v>4</v>
      </c>
      <c r="C378" s="19" t="s">
        <v>11</v>
      </c>
      <c r="D378" s="19">
        <v>30</v>
      </c>
      <c r="E378" s="21">
        <v>1</v>
      </c>
    </row>
    <row r="379" spans="1:5" x14ac:dyDescent="0.3">
      <c r="A379" s="20">
        <v>46026</v>
      </c>
      <c r="B379" s="19" t="s">
        <v>4</v>
      </c>
      <c r="C379" s="19" t="s">
        <v>11</v>
      </c>
      <c r="D379" s="19">
        <v>100</v>
      </c>
      <c r="E379" s="21">
        <v>1</v>
      </c>
    </row>
    <row r="380" spans="1:5" x14ac:dyDescent="0.3">
      <c r="A380" s="20">
        <v>46027</v>
      </c>
      <c r="B380" s="19" t="s">
        <v>4</v>
      </c>
      <c r="C380" s="19" t="s">
        <v>11</v>
      </c>
      <c r="D380" s="19">
        <v>92</v>
      </c>
      <c r="E380" s="21">
        <v>1</v>
      </c>
    </row>
    <row r="381" spans="1:5" x14ac:dyDescent="0.3">
      <c r="A381" s="20">
        <v>46028</v>
      </c>
      <c r="B381" s="19" t="s">
        <v>4</v>
      </c>
      <c r="C381" s="19" t="s">
        <v>11</v>
      </c>
      <c r="D381" s="19">
        <v>67</v>
      </c>
      <c r="E381" s="21">
        <v>1</v>
      </c>
    </row>
    <row r="382" spans="1:5" x14ac:dyDescent="0.3">
      <c r="A382" s="20">
        <v>46029</v>
      </c>
      <c r="B382" s="19" t="s">
        <v>4</v>
      </c>
      <c r="C382" s="19" t="s">
        <v>11</v>
      </c>
      <c r="D382" s="19">
        <v>31</v>
      </c>
      <c r="E382" s="21">
        <v>1</v>
      </c>
    </row>
    <row r="383" spans="1:5" x14ac:dyDescent="0.3">
      <c r="A383" s="20">
        <v>46030</v>
      </c>
      <c r="B383" s="19" t="s">
        <v>4</v>
      </c>
      <c r="C383" s="19" t="s">
        <v>11</v>
      </c>
      <c r="D383" s="19">
        <v>79</v>
      </c>
      <c r="E383" s="21">
        <v>2</v>
      </c>
    </row>
    <row r="384" spans="1:5" x14ac:dyDescent="0.3">
      <c r="A384" s="20">
        <v>46031</v>
      </c>
      <c r="B384" s="19" t="s">
        <v>4</v>
      </c>
      <c r="C384" s="19" t="s">
        <v>11</v>
      </c>
      <c r="D384" s="19">
        <v>117</v>
      </c>
      <c r="E384" s="21">
        <v>2</v>
      </c>
    </row>
    <row r="385" spans="1:5" x14ac:dyDescent="0.3">
      <c r="A385" s="20">
        <v>46032</v>
      </c>
      <c r="B385" s="19" t="s">
        <v>4</v>
      </c>
      <c r="C385" s="19" t="s">
        <v>11</v>
      </c>
      <c r="D385" s="19">
        <v>119</v>
      </c>
      <c r="E385" s="21">
        <v>2</v>
      </c>
    </row>
    <row r="386" spans="1:5" x14ac:dyDescent="0.3">
      <c r="A386" s="20">
        <v>46033</v>
      </c>
      <c r="B386" s="19" t="s">
        <v>4</v>
      </c>
      <c r="C386" s="19" t="s">
        <v>11</v>
      </c>
      <c r="D386" s="19">
        <v>80</v>
      </c>
      <c r="E386" s="21">
        <v>2</v>
      </c>
    </row>
    <row r="387" spans="1:5" x14ac:dyDescent="0.3">
      <c r="A387" s="20">
        <v>46034</v>
      </c>
      <c r="B387" s="19" t="s">
        <v>4</v>
      </c>
      <c r="C387" s="19" t="s">
        <v>11</v>
      </c>
      <c r="D387" s="19">
        <v>59</v>
      </c>
      <c r="E387" s="21">
        <v>2</v>
      </c>
    </row>
    <row r="388" spans="1:5" x14ac:dyDescent="0.3">
      <c r="A388" s="20">
        <v>46035</v>
      </c>
      <c r="B388" s="19" t="s">
        <v>4</v>
      </c>
      <c r="C388" s="19" t="s">
        <v>11</v>
      </c>
      <c r="D388" s="19">
        <v>89</v>
      </c>
      <c r="E388" s="21">
        <v>2</v>
      </c>
    </row>
    <row r="389" spans="1:5" x14ac:dyDescent="0.3">
      <c r="A389" s="20">
        <v>46036</v>
      </c>
      <c r="B389" s="19" t="s">
        <v>4</v>
      </c>
      <c r="C389" s="19" t="s">
        <v>11</v>
      </c>
      <c r="D389" s="19">
        <v>107</v>
      </c>
      <c r="E389" s="21">
        <v>2</v>
      </c>
    </row>
    <row r="390" spans="1:5" x14ac:dyDescent="0.3">
      <c r="A390" s="20">
        <v>46037</v>
      </c>
      <c r="B390" s="19" t="s">
        <v>4</v>
      </c>
      <c r="C390" s="19" t="s">
        <v>11</v>
      </c>
      <c r="D390" s="19">
        <v>90</v>
      </c>
      <c r="E390" s="21">
        <v>3</v>
      </c>
    </row>
    <row r="391" spans="1:5" x14ac:dyDescent="0.3">
      <c r="A391" s="20">
        <v>46038</v>
      </c>
      <c r="B391" s="19" t="s">
        <v>4</v>
      </c>
      <c r="C391" s="19" t="s">
        <v>11</v>
      </c>
      <c r="D391" s="19">
        <v>83</v>
      </c>
      <c r="E391" s="21">
        <v>3</v>
      </c>
    </row>
    <row r="392" spans="1:5" x14ac:dyDescent="0.3">
      <c r="A392" s="20">
        <v>46039</v>
      </c>
      <c r="B392" s="19" t="s">
        <v>4</v>
      </c>
      <c r="C392" s="19" t="s">
        <v>11</v>
      </c>
      <c r="D392" s="19">
        <v>30</v>
      </c>
      <c r="E392" s="21">
        <v>3</v>
      </c>
    </row>
    <row r="393" spans="1:5" x14ac:dyDescent="0.3">
      <c r="A393" s="20">
        <v>46040</v>
      </c>
      <c r="B393" s="19" t="s">
        <v>4</v>
      </c>
      <c r="C393" s="19" t="s">
        <v>11</v>
      </c>
      <c r="D393" s="19">
        <v>115</v>
      </c>
      <c r="E393" s="21">
        <v>3</v>
      </c>
    </row>
    <row r="394" spans="1:5" x14ac:dyDescent="0.3">
      <c r="A394" s="20">
        <v>46041</v>
      </c>
      <c r="B394" s="19" t="s">
        <v>4</v>
      </c>
      <c r="C394" s="19" t="s">
        <v>11</v>
      </c>
      <c r="D394" s="19">
        <v>95</v>
      </c>
      <c r="E394" s="21">
        <v>3</v>
      </c>
    </row>
    <row r="395" spans="1:5" x14ac:dyDescent="0.3">
      <c r="A395" s="20">
        <v>46042</v>
      </c>
      <c r="B395" s="19" t="s">
        <v>4</v>
      </c>
      <c r="C395" s="19" t="s">
        <v>11</v>
      </c>
      <c r="D395" s="19">
        <v>71</v>
      </c>
      <c r="E395" s="21">
        <v>3</v>
      </c>
    </row>
    <row r="396" spans="1:5" x14ac:dyDescent="0.3">
      <c r="A396" s="20">
        <v>46043</v>
      </c>
      <c r="B396" s="19" t="s">
        <v>4</v>
      </c>
      <c r="C396" s="19" t="s">
        <v>11</v>
      </c>
      <c r="D396" s="19">
        <v>119</v>
      </c>
      <c r="E396" s="21">
        <v>3</v>
      </c>
    </row>
    <row r="397" spans="1:5" x14ac:dyDescent="0.3">
      <c r="A397" s="20">
        <v>46044</v>
      </c>
      <c r="B397" s="19" t="s">
        <v>4</v>
      </c>
      <c r="C397" s="19" t="s">
        <v>11</v>
      </c>
      <c r="D397" s="19">
        <v>113</v>
      </c>
      <c r="E397" s="21">
        <v>3</v>
      </c>
    </row>
    <row r="398" spans="1:5" x14ac:dyDescent="0.3">
      <c r="A398" s="20">
        <v>46045</v>
      </c>
      <c r="B398" s="19" t="s">
        <v>4</v>
      </c>
      <c r="C398" s="19" t="s">
        <v>11</v>
      </c>
      <c r="D398" s="19">
        <v>81</v>
      </c>
      <c r="E398" s="21">
        <v>4</v>
      </c>
    </row>
    <row r="399" spans="1:5" x14ac:dyDescent="0.3">
      <c r="A399" s="20">
        <v>46046</v>
      </c>
      <c r="B399" s="19" t="s">
        <v>4</v>
      </c>
      <c r="C399" s="19" t="s">
        <v>11</v>
      </c>
      <c r="D399" s="19">
        <v>28</v>
      </c>
      <c r="E399" s="21">
        <v>4</v>
      </c>
    </row>
    <row r="400" spans="1:5" x14ac:dyDescent="0.3">
      <c r="A400" s="20">
        <v>46047</v>
      </c>
      <c r="B400" s="19" t="s">
        <v>4</v>
      </c>
      <c r="C400" s="19" t="s">
        <v>11</v>
      </c>
      <c r="D400" s="19">
        <v>45</v>
      </c>
      <c r="E400" s="21">
        <v>4</v>
      </c>
    </row>
    <row r="401" spans="1:5" x14ac:dyDescent="0.3">
      <c r="A401" s="20">
        <v>46048</v>
      </c>
      <c r="B401" s="19" t="s">
        <v>4</v>
      </c>
      <c r="C401" s="19" t="s">
        <v>11</v>
      </c>
      <c r="D401" s="19">
        <v>110</v>
      </c>
      <c r="E401" s="21">
        <v>4</v>
      </c>
    </row>
    <row r="402" spans="1:5" x14ac:dyDescent="0.3">
      <c r="A402" s="20">
        <v>46049</v>
      </c>
      <c r="B402" s="19" t="s">
        <v>4</v>
      </c>
      <c r="C402" s="19" t="s">
        <v>11</v>
      </c>
      <c r="D402" s="19">
        <v>61</v>
      </c>
      <c r="E402" s="21">
        <v>4</v>
      </c>
    </row>
    <row r="403" spans="1:5" x14ac:dyDescent="0.3">
      <c r="A403" s="20">
        <v>46050</v>
      </c>
      <c r="B403" s="19" t="s">
        <v>4</v>
      </c>
      <c r="C403" s="19" t="s">
        <v>11</v>
      </c>
      <c r="D403" s="19">
        <v>54</v>
      </c>
      <c r="E403" s="21">
        <v>4</v>
      </c>
    </row>
    <row r="404" spans="1:5" x14ac:dyDescent="0.3">
      <c r="A404" s="20">
        <v>46051</v>
      </c>
      <c r="B404" s="19" t="s">
        <v>4</v>
      </c>
      <c r="C404" s="19" t="s">
        <v>11</v>
      </c>
      <c r="D404" s="19">
        <v>73</v>
      </c>
      <c r="E404" s="21">
        <v>4</v>
      </c>
    </row>
    <row r="405" spans="1:5" x14ac:dyDescent="0.3">
      <c r="A405" s="20">
        <v>46052</v>
      </c>
      <c r="B405" s="19" t="s">
        <v>4</v>
      </c>
      <c r="C405" s="19" t="s">
        <v>11</v>
      </c>
      <c r="D405" s="19">
        <v>49</v>
      </c>
      <c r="E405" s="21">
        <v>5</v>
      </c>
    </row>
    <row r="406" spans="1:5" x14ac:dyDescent="0.3">
      <c r="A406" s="20">
        <v>46053</v>
      </c>
      <c r="B406" s="19" t="s">
        <v>4</v>
      </c>
      <c r="C406" s="19" t="s">
        <v>11</v>
      </c>
      <c r="D406" s="19">
        <v>81</v>
      </c>
      <c r="E406" s="21">
        <v>5</v>
      </c>
    </row>
    <row r="407" spans="1:5" x14ac:dyDescent="0.3">
      <c r="A407" s="20">
        <v>46023</v>
      </c>
      <c r="B407" s="19" t="s">
        <v>6</v>
      </c>
      <c r="C407" s="19" t="s">
        <v>11</v>
      </c>
      <c r="D407" s="19">
        <v>316</v>
      </c>
      <c r="E407" s="21">
        <v>1</v>
      </c>
    </row>
    <row r="408" spans="1:5" x14ac:dyDescent="0.3">
      <c r="A408" s="20">
        <v>46024</v>
      </c>
      <c r="B408" s="19" t="s">
        <v>6</v>
      </c>
      <c r="C408" s="19" t="s">
        <v>11</v>
      </c>
      <c r="D408" s="19">
        <v>433</v>
      </c>
      <c r="E408" s="21">
        <v>1</v>
      </c>
    </row>
    <row r="409" spans="1:5" x14ac:dyDescent="0.3">
      <c r="A409" s="20">
        <v>46025</v>
      </c>
      <c r="B409" s="19" t="s">
        <v>6</v>
      </c>
      <c r="C409" s="19" t="s">
        <v>11</v>
      </c>
      <c r="D409" s="19">
        <v>632</v>
      </c>
      <c r="E409" s="21">
        <v>1</v>
      </c>
    </row>
    <row r="410" spans="1:5" x14ac:dyDescent="0.3">
      <c r="A410" s="20">
        <v>46026</v>
      </c>
      <c r="B410" s="19" t="s">
        <v>6</v>
      </c>
      <c r="C410" s="19" t="s">
        <v>11</v>
      </c>
      <c r="D410" s="19">
        <v>747</v>
      </c>
      <c r="E410" s="21">
        <v>1</v>
      </c>
    </row>
    <row r="411" spans="1:5" x14ac:dyDescent="0.3">
      <c r="A411" s="20">
        <v>46027</v>
      </c>
      <c r="B411" s="19" t="s">
        <v>6</v>
      </c>
      <c r="C411" s="19" t="s">
        <v>11</v>
      </c>
      <c r="D411" s="19">
        <v>688</v>
      </c>
      <c r="E411" s="21">
        <v>1</v>
      </c>
    </row>
    <row r="412" spans="1:5" x14ac:dyDescent="0.3">
      <c r="A412" s="20">
        <v>46028</v>
      </c>
      <c r="B412" s="19" t="s">
        <v>6</v>
      </c>
      <c r="C412" s="19" t="s">
        <v>11</v>
      </c>
      <c r="D412" s="19">
        <v>300</v>
      </c>
      <c r="E412" s="21">
        <v>1</v>
      </c>
    </row>
    <row r="413" spans="1:5" x14ac:dyDescent="0.3">
      <c r="A413" s="20">
        <v>46029</v>
      </c>
      <c r="B413" s="19" t="s">
        <v>6</v>
      </c>
      <c r="C413" s="19" t="s">
        <v>11</v>
      </c>
      <c r="D413" s="19">
        <v>367</v>
      </c>
      <c r="E413" s="21">
        <v>1</v>
      </c>
    </row>
    <row r="414" spans="1:5" x14ac:dyDescent="0.3">
      <c r="A414" s="20">
        <v>46030</v>
      </c>
      <c r="B414" s="19" t="s">
        <v>6</v>
      </c>
      <c r="C414" s="19" t="s">
        <v>11</v>
      </c>
      <c r="D414" s="19">
        <v>250</v>
      </c>
      <c r="E414" s="21">
        <v>2</v>
      </c>
    </row>
    <row r="415" spans="1:5" x14ac:dyDescent="0.3">
      <c r="A415" s="20">
        <v>46031</v>
      </c>
      <c r="B415" s="19" t="s">
        <v>6</v>
      </c>
      <c r="C415" s="19" t="s">
        <v>11</v>
      </c>
      <c r="D415" s="19">
        <v>711</v>
      </c>
      <c r="E415" s="21">
        <v>2</v>
      </c>
    </row>
    <row r="416" spans="1:5" x14ac:dyDescent="0.3">
      <c r="A416" s="20">
        <v>46032</v>
      </c>
      <c r="B416" s="19" t="s">
        <v>6</v>
      </c>
      <c r="C416" s="19" t="s">
        <v>11</v>
      </c>
      <c r="D416" s="19">
        <v>508</v>
      </c>
      <c r="E416" s="21">
        <v>2</v>
      </c>
    </row>
    <row r="417" spans="1:5" x14ac:dyDescent="0.3">
      <c r="A417" s="20">
        <v>46033</v>
      </c>
      <c r="B417" s="19" t="s">
        <v>6</v>
      </c>
      <c r="C417" s="19" t="s">
        <v>11</v>
      </c>
      <c r="D417" s="19">
        <v>403</v>
      </c>
      <c r="E417" s="21">
        <v>2</v>
      </c>
    </row>
    <row r="418" spans="1:5" x14ac:dyDescent="0.3">
      <c r="A418" s="20">
        <v>46034</v>
      </c>
      <c r="B418" s="19" t="s">
        <v>6</v>
      </c>
      <c r="C418" s="19" t="s">
        <v>11</v>
      </c>
      <c r="D418" s="19">
        <v>310</v>
      </c>
      <c r="E418" s="21">
        <v>2</v>
      </c>
    </row>
    <row r="419" spans="1:5" x14ac:dyDescent="0.3">
      <c r="A419" s="20">
        <v>46035</v>
      </c>
      <c r="B419" s="19" t="s">
        <v>6</v>
      </c>
      <c r="C419" s="19" t="s">
        <v>11</v>
      </c>
      <c r="D419" s="19">
        <v>339</v>
      </c>
      <c r="E419" s="21">
        <v>2</v>
      </c>
    </row>
    <row r="420" spans="1:5" x14ac:dyDescent="0.3">
      <c r="A420" s="20">
        <v>46036</v>
      </c>
      <c r="B420" s="19" t="s">
        <v>6</v>
      </c>
      <c r="C420" s="19" t="s">
        <v>11</v>
      </c>
      <c r="D420" s="19">
        <v>727</v>
      </c>
      <c r="E420" s="21">
        <v>2</v>
      </c>
    </row>
    <row r="421" spans="1:5" x14ac:dyDescent="0.3">
      <c r="A421" s="20">
        <v>46037</v>
      </c>
      <c r="B421" s="19" t="s">
        <v>6</v>
      </c>
      <c r="C421" s="19" t="s">
        <v>11</v>
      </c>
      <c r="D421" s="19">
        <v>399</v>
      </c>
      <c r="E421" s="21">
        <v>3</v>
      </c>
    </row>
    <row r="422" spans="1:5" x14ac:dyDescent="0.3">
      <c r="A422" s="20">
        <v>46038</v>
      </c>
      <c r="B422" s="19" t="s">
        <v>6</v>
      </c>
      <c r="C422" s="19" t="s">
        <v>11</v>
      </c>
      <c r="D422" s="19">
        <v>707</v>
      </c>
      <c r="E422" s="21">
        <v>3</v>
      </c>
    </row>
    <row r="423" spans="1:5" x14ac:dyDescent="0.3">
      <c r="A423" s="20">
        <v>46039</v>
      </c>
      <c r="B423" s="19" t="s">
        <v>6</v>
      </c>
      <c r="C423" s="19" t="s">
        <v>11</v>
      </c>
      <c r="D423" s="19">
        <v>409</v>
      </c>
      <c r="E423" s="21">
        <v>3</v>
      </c>
    </row>
    <row r="424" spans="1:5" x14ac:dyDescent="0.3">
      <c r="A424" s="20">
        <v>46040</v>
      </c>
      <c r="B424" s="19" t="s">
        <v>6</v>
      </c>
      <c r="C424" s="19" t="s">
        <v>11</v>
      </c>
      <c r="D424" s="19">
        <v>281</v>
      </c>
      <c r="E424" s="21">
        <v>3</v>
      </c>
    </row>
    <row r="425" spans="1:5" x14ac:dyDescent="0.3">
      <c r="A425" s="20">
        <v>46041</v>
      </c>
      <c r="B425" s="19" t="s">
        <v>6</v>
      </c>
      <c r="C425" s="19" t="s">
        <v>11</v>
      </c>
      <c r="D425" s="19">
        <v>426</v>
      </c>
      <c r="E425" s="21">
        <v>3</v>
      </c>
    </row>
    <row r="426" spans="1:5" x14ac:dyDescent="0.3">
      <c r="A426" s="20">
        <v>46042</v>
      </c>
      <c r="B426" s="19" t="s">
        <v>6</v>
      </c>
      <c r="C426" s="19" t="s">
        <v>11</v>
      </c>
      <c r="D426" s="19">
        <v>760</v>
      </c>
      <c r="E426" s="21">
        <v>3</v>
      </c>
    </row>
    <row r="427" spans="1:5" x14ac:dyDescent="0.3">
      <c r="A427" s="20">
        <v>46043</v>
      </c>
      <c r="B427" s="19" t="s">
        <v>6</v>
      </c>
      <c r="C427" s="19" t="s">
        <v>11</v>
      </c>
      <c r="D427" s="19">
        <v>471</v>
      </c>
      <c r="E427" s="21">
        <v>3</v>
      </c>
    </row>
    <row r="428" spans="1:5" x14ac:dyDescent="0.3">
      <c r="A428" s="20">
        <v>46044</v>
      </c>
      <c r="B428" s="19" t="s">
        <v>6</v>
      </c>
      <c r="C428" s="19" t="s">
        <v>11</v>
      </c>
      <c r="D428" s="19">
        <v>664</v>
      </c>
      <c r="E428" s="21">
        <v>3</v>
      </c>
    </row>
    <row r="429" spans="1:5" x14ac:dyDescent="0.3">
      <c r="A429" s="20">
        <v>46045</v>
      </c>
      <c r="B429" s="19" t="s">
        <v>6</v>
      </c>
      <c r="C429" s="19" t="s">
        <v>11</v>
      </c>
      <c r="D429" s="19">
        <v>585</v>
      </c>
      <c r="E429" s="21">
        <v>4</v>
      </c>
    </row>
    <row r="430" spans="1:5" x14ac:dyDescent="0.3">
      <c r="A430" s="20">
        <v>46046</v>
      </c>
      <c r="B430" s="19" t="s">
        <v>6</v>
      </c>
      <c r="C430" s="19" t="s">
        <v>11</v>
      </c>
      <c r="D430" s="19">
        <v>567</v>
      </c>
      <c r="E430" s="21">
        <v>4</v>
      </c>
    </row>
    <row r="431" spans="1:5" x14ac:dyDescent="0.3">
      <c r="A431" s="20">
        <v>46047</v>
      </c>
      <c r="B431" s="19" t="s">
        <v>6</v>
      </c>
      <c r="C431" s="19" t="s">
        <v>11</v>
      </c>
      <c r="D431" s="19">
        <v>750</v>
      </c>
      <c r="E431" s="21">
        <v>4</v>
      </c>
    </row>
    <row r="432" spans="1:5" x14ac:dyDescent="0.3">
      <c r="A432" s="20">
        <v>46048</v>
      </c>
      <c r="B432" s="19" t="s">
        <v>6</v>
      </c>
      <c r="C432" s="19" t="s">
        <v>11</v>
      </c>
      <c r="D432" s="19">
        <v>306</v>
      </c>
      <c r="E432" s="21">
        <v>4</v>
      </c>
    </row>
    <row r="433" spans="1:5" x14ac:dyDescent="0.3">
      <c r="A433" s="20">
        <v>46049</v>
      </c>
      <c r="B433" s="19" t="s">
        <v>6</v>
      </c>
      <c r="C433" s="19" t="s">
        <v>11</v>
      </c>
      <c r="D433" s="19">
        <v>322</v>
      </c>
      <c r="E433" s="21">
        <v>4</v>
      </c>
    </row>
    <row r="434" spans="1:5" x14ac:dyDescent="0.3">
      <c r="A434" s="20">
        <v>46050</v>
      </c>
      <c r="B434" s="19" t="s">
        <v>6</v>
      </c>
      <c r="C434" s="19" t="s">
        <v>11</v>
      </c>
      <c r="D434" s="19">
        <v>516</v>
      </c>
      <c r="E434" s="21">
        <v>4</v>
      </c>
    </row>
    <row r="435" spans="1:5" x14ac:dyDescent="0.3">
      <c r="A435" s="20">
        <v>46051</v>
      </c>
      <c r="B435" s="19" t="s">
        <v>6</v>
      </c>
      <c r="C435" s="19" t="s">
        <v>11</v>
      </c>
      <c r="D435" s="19">
        <v>631</v>
      </c>
      <c r="E435" s="21">
        <v>4</v>
      </c>
    </row>
    <row r="436" spans="1:5" x14ac:dyDescent="0.3">
      <c r="A436" s="20">
        <v>46052</v>
      </c>
      <c r="B436" s="19" t="s">
        <v>6</v>
      </c>
      <c r="C436" s="19" t="s">
        <v>11</v>
      </c>
      <c r="D436" s="19">
        <v>550</v>
      </c>
      <c r="E436" s="21">
        <v>5</v>
      </c>
    </row>
    <row r="437" spans="1:5" x14ac:dyDescent="0.3">
      <c r="A437" s="20">
        <v>46053</v>
      </c>
      <c r="B437" s="19" t="s">
        <v>6</v>
      </c>
      <c r="C437" s="19" t="s">
        <v>11</v>
      </c>
      <c r="D437" s="19">
        <v>261</v>
      </c>
      <c r="E437" s="21">
        <v>5</v>
      </c>
    </row>
    <row r="438" spans="1:5" x14ac:dyDescent="0.3">
      <c r="A438" s="20">
        <v>46023</v>
      </c>
      <c r="B438" s="19" t="s">
        <v>7</v>
      </c>
      <c r="C438" s="19" t="s">
        <v>11</v>
      </c>
      <c r="D438" s="19">
        <v>274</v>
      </c>
      <c r="E438" s="21">
        <v>1</v>
      </c>
    </row>
    <row r="439" spans="1:5" x14ac:dyDescent="0.3">
      <c r="A439" s="20">
        <v>46024</v>
      </c>
      <c r="B439" s="19" t="s">
        <v>7</v>
      </c>
      <c r="C439" s="19" t="s">
        <v>11</v>
      </c>
      <c r="D439" s="19">
        <v>271</v>
      </c>
      <c r="E439" s="21">
        <v>1</v>
      </c>
    </row>
    <row r="440" spans="1:5" x14ac:dyDescent="0.3">
      <c r="A440" s="20">
        <v>46025</v>
      </c>
      <c r="B440" s="19" t="s">
        <v>7</v>
      </c>
      <c r="C440" s="19" t="s">
        <v>11</v>
      </c>
      <c r="D440" s="19">
        <v>272</v>
      </c>
      <c r="E440" s="21">
        <v>1</v>
      </c>
    </row>
    <row r="441" spans="1:5" x14ac:dyDescent="0.3">
      <c r="A441" s="20">
        <v>46026</v>
      </c>
      <c r="B441" s="19" t="s">
        <v>7</v>
      </c>
      <c r="C441" s="19" t="s">
        <v>11</v>
      </c>
      <c r="D441" s="19">
        <v>181</v>
      </c>
      <c r="E441" s="21">
        <v>1</v>
      </c>
    </row>
    <row r="442" spans="1:5" x14ac:dyDescent="0.3">
      <c r="A442" s="20">
        <v>46027</v>
      </c>
      <c r="B442" s="19" t="s">
        <v>7</v>
      </c>
      <c r="C442" s="19" t="s">
        <v>11</v>
      </c>
      <c r="D442" s="19">
        <v>183</v>
      </c>
      <c r="E442" s="21">
        <v>1</v>
      </c>
    </row>
    <row r="443" spans="1:5" x14ac:dyDescent="0.3">
      <c r="A443" s="20">
        <v>46028</v>
      </c>
      <c r="B443" s="19" t="s">
        <v>7</v>
      </c>
      <c r="C443" s="19" t="s">
        <v>11</v>
      </c>
      <c r="D443" s="19">
        <v>169</v>
      </c>
      <c r="E443" s="21">
        <v>1</v>
      </c>
    </row>
    <row r="444" spans="1:5" x14ac:dyDescent="0.3">
      <c r="A444" s="20">
        <v>46029</v>
      </c>
      <c r="B444" s="19" t="s">
        <v>7</v>
      </c>
      <c r="C444" s="19" t="s">
        <v>11</v>
      </c>
      <c r="D444" s="19">
        <v>165</v>
      </c>
      <c r="E444" s="21">
        <v>1</v>
      </c>
    </row>
    <row r="445" spans="1:5" x14ac:dyDescent="0.3">
      <c r="A445" s="20">
        <v>46030</v>
      </c>
      <c r="B445" s="19" t="s">
        <v>7</v>
      </c>
      <c r="C445" s="19" t="s">
        <v>11</v>
      </c>
      <c r="D445" s="19">
        <v>233</v>
      </c>
      <c r="E445" s="21">
        <v>2</v>
      </c>
    </row>
    <row r="446" spans="1:5" x14ac:dyDescent="0.3">
      <c r="A446" s="20">
        <v>46031</v>
      </c>
      <c r="B446" s="19" t="s">
        <v>7</v>
      </c>
      <c r="C446" s="19" t="s">
        <v>11</v>
      </c>
      <c r="D446" s="19">
        <v>165</v>
      </c>
      <c r="E446" s="21">
        <v>2</v>
      </c>
    </row>
    <row r="447" spans="1:5" x14ac:dyDescent="0.3">
      <c r="A447" s="20">
        <v>46032</v>
      </c>
      <c r="B447" s="19" t="s">
        <v>7</v>
      </c>
      <c r="C447" s="19" t="s">
        <v>11</v>
      </c>
      <c r="D447" s="19">
        <v>178</v>
      </c>
      <c r="E447" s="21">
        <v>2</v>
      </c>
    </row>
    <row r="448" spans="1:5" x14ac:dyDescent="0.3">
      <c r="A448" s="20">
        <v>46033</v>
      </c>
      <c r="B448" s="19" t="s">
        <v>7</v>
      </c>
      <c r="C448" s="19" t="s">
        <v>11</v>
      </c>
      <c r="D448" s="19">
        <v>284</v>
      </c>
      <c r="E448" s="21">
        <v>2</v>
      </c>
    </row>
    <row r="449" spans="1:5" x14ac:dyDescent="0.3">
      <c r="A449" s="20">
        <v>46034</v>
      </c>
      <c r="B449" s="19" t="s">
        <v>7</v>
      </c>
      <c r="C449" s="19" t="s">
        <v>11</v>
      </c>
      <c r="D449" s="19">
        <v>197</v>
      </c>
      <c r="E449" s="21">
        <v>2</v>
      </c>
    </row>
    <row r="450" spans="1:5" x14ac:dyDescent="0.3">
      <c r="A450" s="20">
        <v>46035</v>
      </c>
      <c r="B450" s="19" t="s">
        <v>7</v>
      </c>
      <c r="C450" s="19" t="s">
        <v>11</v>
      </c>
      <c r="D450" s="19">
        <v>105</v>
      </c>
      <c r="E450" s="21">
        <v>2</v>
      </c>
    </row>
    <row r="451" spans="1:5" x14ac:dyDescent="0.3">
      <c r="A451" s="20">
        <v>46036</v>
      </c>
      <c r="B451" s="19" t="s">
        <v>7</v>
      </c>
      <c r="C451" s="19" t="s">
        <v>11</v>
      </c>
      <c r="D451" s="19">
        <v>228</v>
      </c>
      <c r="E451" s="21">
        <v>2</v>
      </c>
    </row>
    <row r="452" spans="1:5" x14ac:dyDescent="0.3">
      <c r="A452" s="20">
        <v>46037</v>
      </c>
      <c r="B452" s="19" t="s">
        <v>7</v>
      </c>
      <c r="C452" s="19" t="s">
        <v>11</v>
      </c>
      <c r="D452" s="19">
        <v>204</v>
      </c>
      <c r="E452" s="21">
        <v>3</v>
      </c>
    </row>
    <row r="453" spans="1:5" x14ac:dyDescent="0.3">
      <c r="A453" s="20">
        <v>46038</v>
      </c>
      <c r="B453" s="19" t="s">
        <v>7</v>
      </c>
      <c r="C453" s="19" t="s">
        <v>11</v>
      </c>
      <c r="D453" s="19">
        <v>294</v>
      </c>
      <c r="E453" s="21">
        <v>3</v>
      </c>
    </row>
    <row r="454" spans="1:5" x14ac:dyDescent="0.3">
      <c r="A454" s="20">
        <v>46039</v>
      </c>
      <c r="B454" s="19" t="s">
        <v>7</v>
      </c>
      <c r="C454" s="19" t="s">
        <v>11</v>
      </c>
      <c r="D454" s="19">
        <v>281</v>
      </c>
      <c r="E454" s="21">
        <v>3</v>
      </c>
    </row>
    <row r="455" spans="1:5" x14ac:dyDescent="0.3">
      <c r="A455" s="20">
        <v>46040</v>
      </c>
      <c r="B455" s="19" t="s">
        <v>7</v>
      </c>
      <c r="C455" s="19" t="s">
        <v>11</v>
      </c>
      <c r="D455" s="19">
        <v>239</v>
      </c>
      <c r="E455" s="21">
        <v>3</v>
      </c>
    </row>
    <row r="456" spans="1:5" x14ac:dyDescent="0.3">
      <c r="A456" s="20">
        <v>46041</v>
      </c>
      <c r="B456" s="19" t="s">
        <v>7</v>
      </c>
      <c r="C456" s="19" t="s">
        <v>11</v>
      </c>
      <c r="D456" s="19">
        <v>277</v>
      </c>
      <c r="E456" s="21">
        <v>3</v>
      </c>
    </row>
    <row r="457" spans="1:5" x14ac:dyDescent="0.3">
      <c r="A457" s="20">
        <v>46042</v>
      </c>
      <c r="B457" s="19" t="s">
        <v>7</v>
      </c>
      <c r="C457" s="19" t="s">
        <v>11</v>
      </c>
      <c r="D457" s="19">
        <v>271</v>
      </c>
      <c r="E457" s="21">
        <v>3</v>
      </c>
    </row>
    <row r="458" spans="1:5" x14ac:dyDescent="0.3">
      <c r="A458" s="20">
        <v>46043</v>
      </c>
      <c r="B458" s="19" t="s">
        <v>7</v>
      </c>
      <c r="C458" s="19" t="s">
        <v>11</v>
      </c>
      <c r="D458" s="19">
        <v>300</v>
      </c>
      <c r="E458" s="21">
        <v>3</v>
      </c>
    </row>
    <row r="459" spans="1:5" x14ac:dyDescent="0.3">
      <c r="A459" s="20">
        <v>46044</v>
      </c>
      <c r="B459" s="19" t="s">
        <v>7</v>
      </c>
      <c r="C459" s="19" t="s">
        <v>11</v>
      </c>
      <c r="D459" s="19">
        <v>247</v>
      </c>
      <c r="E459" s="21">
        <v>3</v>
      </c>
    </row>
    <row r="460" spans="1:5" x14ac:dyDescent="0.3">
      <c r="A460" s="20">
        <v>46045</v>
      </c>
      <c r="B460" s="19" t="s">
        <v>7</v>
      </c>
      <c r="C460" s="19" t="s">
        <v>11</v>
      </c>
      <c r="D460" s="19">
        <v>105</v>
      </c>
      <c r="E460" s="21">
        <v>4</v>
      </c>
    </row>
    <row r="461" spans="1:5" x14ac:dyDescent="0.3">
      <c r="A461" s="20">
        <v>46046</v>
      </c>
      <c r="B461" s="19" t="s">
        <v>7</v>
      </c>
      <c r="C461" s="19" t="s">
        <v>11</v>
      </c>
      <c r="D461" s="19">
        <v>178</v>
      </c>
      <c r="E461" s="21">
        <v>4</v>
      </c>
    </row>
    <row r="462" spans="1:5" x14ac:dyDescent="0.3">
      <c r="A462" s="20">
        <v>46047</v>
      </c>
      <c r="B462" s="19" t="s">
        <v>7</v>
      </c>
      <c r="C462" s="19" t="s">
        <v>11</v>
      </c>
      <c r="D462" s="19">
        <v>173</v>
      </c>
      <c r="E462" s="21">
        <v>4</v>
      </c>
    </row>
    <row r="463" spans="1:5" x14ac:dyDescent="0.3">
      <c r="A463" s="20">
        <v>46048</v>
      </c>
      <c r="B463" s="19" t="s">
        <v>7</v>
      </c>
      <c r="C463" s="19" t="s">
        <v>11</v>
      </c>
      <c r="D463" s="19">
        <v>245</v>
      </c>
      <c r="E463" s="21">
        <v>4</v>
      </c>
    </row>
    <row r="464" spans="1:5" x14ac:dyDescent="0.3">
      <c r="A464" s="20">
        <v>46049</v>
      </c>
      <c r="B464" s="19" t="s">
        <v>7</v>
      </c>
      <c r="C464" s="19" t="s">
        <v>11</v>
      </c>
      <c r="D464" s="19">
        <v>245</v>
      </c>
      <c r="E464" s="21">
        <v>4</v>
      </c>
    </row>
    <row r="465" spans="1:5" x14ac:dyDescent="0.3">
      <c r="A465" s="20">
        <v>46050</v>
      </c>
      <c r="B465" s="19" t="s">
        <v>7</v>
      </c>
      <c r="C465" s="19" t="s">
        <v>11</v>
      </c>
      <c r="D465" s="19">
        <v>116</v>
      </c>
      <c r="E465" s="21">
        <v>4</v>
      </c>
    </row>
    <row r="466" spans="1:5" x14ac:dyDescent="0.3">
      <c r="A466" s="20">
        <v>46051</v>
      </c>
      <c r="B466" s="19" t="s">
        <v>7</v>
      </c>
      <c r="C466" s="19" t="s">
        <v>11</v>
      </c>
      <c r="D466" s="19">
        <v>212</v>
      </c>
      <c r="E466" s="21">
        <v>4</v>
      </c>
    </row>
    <row r="467" spans="1:5" x14ac:dyDescent="0.3">
      <c r="A467" s="20">
        <v>46052</v>
      </c>
      <c r="B467" s="19" t="s">
        <v>7</v>
      </c>
      <c r="C467" s="19" t="s">
        <v>11</v>
      </c>
      <c r="D467" s="19">
        <v>182</v>
      </c>
      <c r="E467" s="21">
        <v>5</v>
      </c>
    </row>
    <row r="468" spans="1:5" ht="15" thickBot="1" x14ac:dyDescent="0.35">
      <c r="A468" s="22">
        <v>46053</v>
      </c>
      <c r="B468" s="23" t="s">
        <v>7</v>
      </c>
      <c r="C468" s="23" t="s">
        <v>11</v>
      </c>
      <c r="D468" s="23">
        <v>109</v>
      </c>
      <c r="E468" s="2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9D67-3C98-41B7-9C23-39A777EB0332}">
  <dimension ref="A3:H15"/>
  <sheetViews>
    <sheetView zoomScale="130" zoomScaleNormal="130" workbookViewId="0">
      <selection activeCell="C8" sqref="C8"/>
    </sheetView>
  </sheetViews>
  <sheetFormatPr defaultRowHeight="14.4" x14ac:dyDescent="0.3"/>
  <cols>
    <col min="1" max="1" width="22.88671875" bestFit="1" customWidth="1"/>
    <col min="2" max="2" width="9.44140625" customWidth="1"/>
    <col min="3" max="7" width="10.44140625" bestFit="1" customWidth="1"/>
    <col min="8" max="8" width="10.77734375" bestFit="1" customWidth="1"/>
    <col min="9" max="10" width="18.109375" bestFit="1" customWidth="1"/>
    <col min="11" max="11" width="22.6640625" bestFit="1" customWidth="1"/>
    <col min="12" max="12" width="22.88671875" bestFit="1" customWidth="1"/>
  </cols>
  <sheetData>
    <row r="3" spans="1:8" x14ac:dyDescent="0.3">
      <c r="C3" s="7" t="s">
        <v>2</v>
      </c>
    </row>
    <row r="4" spans="1:8" x14ac:dyDescent="0.3">
      <c r="A4" s="7" t="s">
        <v>22</v>
      </c>
      <c r="B4" s="7" t="s">
        <v>1</v>
      </c>
      <c r="C4" s="9" t="s">
        <v>5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16</v>
      </c>
    </row>
    <row r="5" spans="1:8" x14ac:dyDescent="0.3">
      <c r="A5" t="s">
        <v>18</v>
      </c>
      <c r="B5" t="s">
        <v>4</v>
      </c>
      <c r="C5" s="10">
        <v>75.451612903225808</v>
      </c>
      <c r="D5" s="10">
        <v>81.741935483870961</v>
      </c>
      <c r="E5" s="10">
        <v>68.612903225806448</v>
      </c>
      <c r="F5" s="10">
        <v>66.967741935483872</v>
      </c>
      <c r="G5" s="10">
        <v>79.290322580645167</v>
      </c>
      <c r="H5" s="10">
        <v>74.412903225806446</v>
      </c>
    </row>
    <row r="6" spans="1:8" x14ac:dyDescent="0.3">
      <c r="B6" t="s">
        <v>6</v>
      </c>
      <c r="C6" s="10">
        <v>473.96774193548384</v>
      </c>
      <c r="D6" s="10">
        <v>553.80645161290317</v>
      </c>
      <c r="E6" s="10">
        <v>540.83870967741939</v>
      </c>
      <c r="F6" s="10">
        <v>520.09677419354841</v>
      </c>
      <c r="G6" s="10">
        <v>494.70967741935482</v>
      </c>
      <c r="H6" s="10">
        <v>516.68387096774188</v>
      </c>
    </row>
    <row r="7" spans="1:8" x14ac:dyDescent="0.3">
      <c r="B7" t="s">
        <v>7</v>
      </c>
      <c r="C7" s="10">
        <v>215.74193548387098</v>
      </c>
      <c r="D7" s="10">
        <v>193.87096774193549</v>
      </c>
      <c r="E7" s="10">
        <v>199.2258064516129</v>
      </c>
      <c r="F7" s="10">
        <v>188</v>
      </c>
      <c r="G7" s="10">
        <v>212.35483870967741</v>
      </c>
      <c r="H7" s="10">
        <v>201.83870967741936</v>
      </c>
    </row>
    <row r="8" spans="1:8" x14ac:dyDescent="0.3">
      <c r="A8" t="s">
        <v>21</v>
      </c>
      <c r="B8" t="s">
        <v>4</v>
      </c>
      <c r="C8" s="10">
        <v>25.393469708768752</v>
      </c>
      <c r="D8" s="10">
        <v>26.512282901345916</v>
      </c>
      <c r="E8" s="10">
        <v>27.541964953626017</v>
      </c>
      <c r="F8" s="10">
        <v>25.93102994977221</v>
      </c>
      <c r="G8" s="10">
        <v>27.747936335224708</v>
      </c>
      <c r="H8" s="10">
        <v>27.262827604462359</v>
      </c>
    </row>
    <row r="9" spans="1:8" x14ac:dyDescent="0.3">
      <c r="B9" t="s">
        <v>6</v>
      </c>
      <c r="C9" s="10">
        <v>164.50188426628799</v>
      </c>
      <c r="D9" s="10">
        <v>126.2530534552087</v>
      </c>
      <c r="E9" s="10">
        <v>167.20995046294027</v>
      </c>
      <c r="F9" s="10">
        <v>152.84619189463291</v>
      </c>
      <c r="G9" s="10">
        <v>167.49235775505565</v>
      </c>
      <c r="H9" s="10">
        <v>159.157935553122</v>
      </c>
    </row>
    <row r="10" spans="1:8" x14ac:dyDescent="0.3">
      <c r="B10" t="s">
        <v>7</v>
      </c>
      <c r="C10" s="10">
        <v>48.146930858494102</v>
      </c>
      <c r="D10" s="10">
        <v>55.04997256773737</v>
      </c>
      <c r="E10" s="10">
        <v>60.204870490694098</v>
      </c>
      <c r="F10" s="10">
        <v>57.808359703531664</v>
      </c>
      <c r="G10" s="10">
        <v>57.83265535122856</v>
      </c>
      <c r="H10" s="10">
        <v>56.965579179345603</v>
      </c>
    </row>
    <row r="11" spans="1:8" x14ac:dyDescent="0.3">
      <c r="A11" t="s">
        <v>19</v>
      </c>
      <c r="C11" s="10">
        <v>255.05376344086022</v>
      </c>
      <c r="D11" s="10">
        <v>276.47311827956992</v>
      </c>
      <c r="E11" s="10">
        <v>269.55913978494624</v>
      </c>
      <c r="F11" s="10">
        <v>258.35483870967744</v>
      </c>
      <c r="G11" s="10">
        <v>262.11827956989248</v>
      </c>
      <c r="H11" s="10">
        <v>264.31182795698925</v>
      </c>
    </row>
    <row r="12" spans="1:8" x14ac:dyDescent="0.3">
      <c r="A12" t="s">
        <v>20</v>
      </c>
      <c r="C12" s="10">
        <v>193.00216532249024</v>
      </c>
      <c r="D12" s="10">
        <v>217.04865870379169</v>
      </c>
      <c r="E12" s="10">
        <v>224.54481854352352</v>
      </c>
      <c r="F12" s="10">
        <v>214.05906355873057</v>
      </c>
      <c r="G12" s="10">
        <v>201.79979695964536</v>
      </c>
      <c r="H12" s="10">
        <v>210.53560874177907</v>
      </c>
    </row>
    <row r="15" spans="1:8" x14ac:dyDescent="0.3">
      <c r="B15" s="6" t="s">
        <v>3</v>
      </c>
      <c r="C15" s="9" t="s">
        <v>55</v>
      </c>
      <c r="D15" s="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C84B-850F-47CD-9D23-88A83F8FBF27}">
  <dimension ref="A2:E77"/>
  <sheetViews>
    <sheetView topLeftCell="A34" zoomScale="115" zoomScaleNormal="115" workbookViewId="0">
      <selection activeCell="E50" sqref="E50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8.109375" bestFit="1" customWidth="1"/>
    <col min="4" max="4" width="6" bestFit="1" customWidth="1"/>
    <col min="5" max="5" width="10.77734375" bestFit="1" customWidth="1"/>
  </cols>
  <sheetData>
    <row r="2" spans="1:5" x14ac:dyDescent="0.3">
      <c r="A2" s="7" t="s">
        <v>27</v>
      </c>
      <c r="B2" t="s">
        <v>47</v>
      </c>
    </row>
    <row r="4" spans="1:5" x14ac:dyDescent="0.3">
      <c r="A4" s="7" t="s">
        <v>15</v>
      </c>
      <c r="B4" s="7" t="s">
        <v>17</v>
      </c>
    </row>
    <row r="5" spans="1:5" x14ac:dyDescent="0.3">
      <c r="A5" s="7" t="s">
        <v>14</v>
      </c>
      <c r="B5" t="s">
        <v>4</v>
      </c>
      <c r="C5" t="s">
        <v>6</v>
      </c>
      <c r="D5" t="s">
        <v>7</v>
      </c>
      <c r="E5" t="s">
        <v>16</v>
      </c>
    </row>
    <row r="6" spans="1:5" x14ac:dyDescent="0.3">
      <c r="A6" s="18">
        <v>46023</v>
      </c>
      <c r="B6">
        <v>331</v>
      </c>
      <c r="C6">
        <v>2362</v>
      </c>
      <c r="D6">
        <v>851</v>
      </c>
      <c r="E6">
        <v>3544</v>
      </c>
    </row>
    <row r="7" spans="1:5" x14ac:dyDescent="0.3">
      <c r="A7" s="18">
        <v>46024</v>
      </c>
      <c r="B7">
        <v>304</v>
      </c>
      <c r="C7">
        <v>2509</v>
      </c>
      <c r="D7">
        <v>1213</v>
      </c>
      <c r="E7">
        <v>4026</v>
      </c>
    </row>
    <row r="8" spans="1:5" x14ac:dyDescent="0.3">
      <c r="A8" s="18">
        <v>46025</v>
      </c>
      <c r="B8">
        <v>251</v>
      </c>
      <c r="C8">
        <v>2237</v>
      </c>
      <c r="D8">
        <v>883</v>
      </c>
      <c r="E8">
        <v>3371</v>
      </c>
    </row>
    <row r="9" spans="1:5" x14ac:dyDescent="0.3">
      <c r="A9" s="18">
        <v>46026</v>
      </c>
      <c r="B9">
        <v>378</v>
      </c>
      <c r="C9">
        <v>3021</v>
      </c>
      <c r="D9">
        <v>1062</v>
      </c>
      <c r="E9">
        <v>4461</v>
      </c>
    </row>
    <row r="10" spans="1:5" x14ac:dyDescent="0.3">
      <c r="A10" s="18">
        <v>46027</v>
      </c>
      <c r="B10">
        <v>376</v>
      </c>
      <c r="C10">
        <v>2206</v>
      </c>
      <c r="D10">
        <v>1049</v>
      </c>
      <c r="E10">
        <v>3631</v>
      </c>
    </row>
    <row r="11" spans="1:5" x14ac:dyDescent="0.3">
      <c r="A11" s="18">
        <v>46028</v>
      </c>
      <c r="B11">
        <v>379</v>
      </c>
      <c r="C11">
        <v>2034</v>
      </c>
      <c r="D11">
        <v>920</v>
      </c>
      <c r="E11">
        <v>3333</v>
      </c>
    </row>
    <row r="12" spans="1:5" x14ac:dyDescent="0.3">
      <c r="A12" s="18">
        <v>46029</v>
      </c>
      <c r="B12">
        <v>323</v>
      </c>
      <c r="C12">
        <v>2405</v>
      </c>
      <c r="D12">
        <v>1036</v>
      </c>
      <c r="E12">
        <v>3764</v>
      </c>
    </row>
    <row r="13" spans="1:5" x14ac:dyDescent="0.3">
      <c r="A13" s="18">
        <v>46030</v>
      </c>
      <c r="B13">
        <v>351</v>
      </c>
      <c r="C13">
        <v>2337</v>
      </c>
      <c r="D13">
        <v>851</v>
      </c>
      <c r="E13">
        <v>3539</v>
      </c>
    </row>
    <row r="14" spans="1:5" x14ac:dyDescent="0.3">
      <c r="A14" s="18">
        <v>46031</v>
      </c>
      <c r="B14">
        <v>446</v>
      </c>
      <c r="C14">
        <v>2470</v>
      </c>
      <c r="D14">
        <v>1071</v>
      </c>
      <c r="E14">
        <v>3987</v>
      </c>
    </row>
    <row r="15" spans="1:5" x14ac:dyDescent="0.3">
      <c r="A15" s="18">
        <v>46032</v>
      </c>
      <c r="B15">
        <v>359</v>
      </c>
      <c r="C15">
        <v>2671</v>
      </c>
      <c r="D15">
        <v>949</v>
      </c>
      <c r="E15">
        <v>3979</v>
      </c>
    </row>
    <row r="16" spans="1:5" x14ac:dyDescent="0.3">
      <c r="A16" s="18">
        <v>46033</v>
      </c>
      <c r="B16">
        <v>443</v>
      </c>
      <c r="C16">
        <v>2949</v>
      </c>
      <c r="D16">
        <v>1186</v>
      </c>
      <c r="E16">
        <v>4578</v>
      </c>
    </row>
    <row r="17" spans="1:5" x14ac:dyDescent="0.3">
      <c r="A17" s="18">
        <v>46034</v>
      </c>
      <c r="B17">
        <v>319</v>
      </c>
      <c r="C17">
        <v>3149</v>
      </c>
      <c r="D17">
        <v>1004</v>
      </c>
      <c r="E17">
        <v>4472</v>
      </c>
    </row>
    <row r="18" spans="1:5" x14ac:dyDescent="0.3">
      <c r="A18" s="18">
        <v>46035</v>
      </c>
      <c r="B18">
        <v>411</v>
      </c>
      <c r="C18">
        <v>2827</v>
      </c>
      <c r="D18">
        <v>984</v>
      </c>
      <c r="E18">
        <v>4222</v>
      </c>
    </row>
    <row r="19" spans="1:5" x14ac:dyDescent="0.3">
      <c r="A19" s="18">
        <v>46036</v>
      </c>
      <c r="B19">
        <v>359</v>
      </c>
      <c r="C19">
        <v>2404</v>
      </c>
      <c r="D19">
        <v>853</v>
      </c>
      <c r="E19">
        <v>3616</v>
      </c>
    </row>
    <row r="20" spans="1:5" x14ac:dyDescent="0.3">
      <c r="A20" s="18">
        <v>46037</v>
      </c>
      <c r="B20">
        <v>384</v>
      </c>
      <c r="C20">
        <v>2739</v>
      </c>
      <c r="D20">
        <v>878</v>
      </c>
      <c r="E20">
        <v>4001</v>
      </c>
    </row>
    <row r="21" spans="1:5" x14ac:dyDescent="0.3">
      <c r="A21" s="18">
        <v>46038</v>
      </c>
      <c r="B21">
        <v>510</v>
      </c>
      <c r="C21">
        <v>3107</v>
      </c>
      <c r="D21">
        <v>1209</v>
      </c>
      <c r="E21">
        <v>4826</v>
      </c>
    </row>
    <row r="22" spans="1:5" x14ac:dyDescent="0.3">
      <c r="A22" s="18">
        <v>46039</v>
      </c>
      <c r="B22">
        <v>225</v>
      </c>
      <c r="C22">
        <v>3125</v>
      </c>
      <c r="D22">
        <v>1215</v>
      </c>
      <c r="E22">
        <v>4565</v>
      </c>
    </row>
    <row r="23" spans="1:5" x14ac:dyDescent="0.3">
      <c r="A23" s="18">
        <v>46040</v>
      </c>
      <c r="B23">
        <v>296</v>
      </c>
      <c r="C23">
        <v>1930</v>
      </c>
      <c r="D23">
        <v>1127</v>
      </c>
      <c r="E23">
        <v>3353</v>
      </c>
    </row>
    <row r="24" spans="1:5" x14ac:dyDescent="0.3">
      <c r="A24" s="18">
        <v>46041</v>
      </c>
      <c r="B24">
        <v>459</v>
      </c>
      <c r="C24">
        <v>2866</v>
      </c>
      <c r="D24">
        <v>1155</v>
      </c>
      <c r="E24">
        <v>4480</v>
      </c>
    </row>
    <row r="25" spans="1:5" x14ac:dyDescent="0.3">
      <c r="A25" s="18">
        <v>46042</v>
      </c>
      <c r="B25">
        <v>452</v>
      </c>
      <c r="C25">
        <v>2683</v>
      </c>
      <c r="D25">
        <v>1173</v>
      </c>
      <c r="E25">
        <v>4308</v>
      </c>
    </row>
    <row r="26" spans="1:5" x14ac:dyDescent="0.3">
      <c r="A26" s="18">
        <v>46043</v>
      </c>
      <c r="B26">
        <v>489</v>
      </c>
      <c r="C26">
        <v>2513</v>
      </c>
      <c r="D26">
        <v>1022</v>
      </c>
      <c r="E26">
        <v>4024</v>
      </c>
    </row>
    <row r="27" spans="1:5" x14ac:dyDescent="0.3">
      <c r="A27" s="18">
        <v>46044</v>
      </c>
      <c r="B27">
        <v>360</v>
      </c>
      <c r="C27">
        <v>2267</v>
      </c>
      <c r="D27">
        <v>1075</v>
      </c>
      <c r="E27">
        <v>3702</v>
      </c>
    </row>
    <row r="28" spans="1:5" x14ac:dyDescent="0.3">
      <c r="A28" s="18">
        <v>46045</v>
      </c>
      <c r="B28">
        <v>427</v>
      </c>
      <c r="C28">
        <v>2422</v>
      </c>
      <c r="D28">
        <v>864</v>
      </c>
      <c r="E28">
        <v>3713</v>
      </c>
    </row>
    <row r="29" spans="1:5" x14ac:dyDescent="0.3">
      <c r="A29" s="18">
        <v>46046</v>
      </c>
      <c r="B29">
        <v>265</v>
      </c>
      <c r="C29">
        <v>2920</v>
      </c>
      <c r="D29">
        <v>853</v>
      </c>
      <c r="E29">
        <v>4038</v>
      </c>
    </row>
    <row r="30" spans="1:5" x14ac:dyDescent="0.3">
      <c r="A30" s="18">
        <v>46047</v>
      </c>
      <c r="B30">
        <v>279</v>
      </c>
      <c r="C30">
        <v>2900</v>
      </c>
      <c r="D30">
        <v>950</v>
      </c>
      <c r="E30">
        <v>4129</v>
      </c>
    </row>
    <row r="31" spans="1:5" x14ac:dyDescent="0.3">
      <c r="A31" s="18">
        <v>46048</v>
      </c>
      <c r="B31">
        <v>420</v>
      </c>
      <c r="C31">
        <v>3022</v>
      </c>
      <c r="D31">
        <v>824</v>
      </c>
      <c r="E31">
        <v>4266</v>
      </c>
    </row>
    <row r="32" spans="1:5" x14ac:dyDescent="0.3">
      <c r="A32" s="18">
        <v>46049</v>
      </c>
      <c r="B32">
        <v>282</v>
      </c>
      <c r="C32">
        <v>2112</v>
      </c>
      <c r="D32">
        <v>977</v>
      </c>
      <c r="E32">
        <v>3371</v>
      </c>
    </row>
    <row r="33" spans="1:5" x14ac:dyDescent="0.3">
      <c r="A33" s="18">
        <v>46050</v>
      </c>
      <c r="B33">
        <v>390</v>
      </c>
      <c r="C33">
        <v>2267</v>
      </c>
      <c r="D33">
        <v>999</v>
      </c>
      <c r="E33">
        <v>3656</v>
      </c>
    </row>
    <row r="34" spans="1:5" x14ac:dyDescent="0.3">
      <c r="A34" s="18">
        <v>46051</v>
      </c>
      <c r="B34">
        <v>418</v>
      </c>
      <c r="C34">
        <v>2880</v>
      </c>
      <c r="D34">
        <v>1116</v>
      </c>
      <c r="E34">
        <v>4414</v>
      </c>
    </row>
    <row r="35" spans="1:5" x14ac:dyDescent="0.3">
      <c r="A35" s="18">
        <v>46052</v>
      </c>
      <c r="B35">
        <v>328</v>
      </c>
      <c r="C35">
        <v>2197</v>
      </c>
      <c r="D35">
        <v>1009</v>
      </c>
      <c r="E35">
        <v>3534</v>
      </c>
    </row>
    <row r="36" spans="1:5" x14ac:dyDescent="0.3">
      <c r="A36" s="18">
        <v>46053</v>
      </c>
      <c r="B36">
        <v>520</v>
      </c>
      <c r="C36">
        <v>2555</v>
      </c>
      <c r="D36">
        <v>927</v>
      </c>
      <c r="E36">
        <v>4002</v>
      </c>
    </row>
    <row r="37" spans="1:5" x14ac:dyDescent="0.3">
      <c r="A37" s="18" t="s">
        <v>16</v>
      </c>
      <c r="B37">
        <v>11534</v>
      </c>
      <c r="C37">
        <v>80086</v>
      </c>
      <c r="D37">
        <v>31285</v>
      </c>
      <c r="E37">
        <v>122905</v>
      </c>
    </row>
    <row r="42" spans="1:5" x14ac:dyDescent="0.3">
      <c r="A42" s="7" t="s">
        <v>27</v>
      </c>
      <c r="B42" t="s">
        <v>47</v>
      </c>
    </row>
    <row r="43" spans="1:5" x14ac:dyDescent="0.3">
      <c r="A43" s="7" t="s">
        <v>1</v>
      </c>
      <c r="B43" t="s">
        <v>47</v>
      </c>
    </row>
    <row r="45" spans="1:5" x14ac:dyDescent="0.3">
      <c r="A45" s="7" t="s">
        <v>14</v>
      </c>
      <c r="B45" t="s">
        <v>15</v>
      </c>
    </row>
    <row r="46" spans="1:5" x14ac:dyDescent="0.3">
      <c r="A46" s="18">
        <v>46023</v>
      </c>
      <c r="B46">
        <v>3544</v>
      </c>
    </row>
    <row r="47" spans="1:5" x14ac:dyDescent="0.3">
      <c r="A47" s="18">
        <v>46024</v>
      </c>
      <c r="B47">
        <v>4026</v>
      </c>
    </row>
    <row r="48" spans="1:5" x14ac:dyDescent="0.3">
      <c r="A48" s="18">
        <v>46025</v>
      </c>
      <c r="B48">
        <v>3371</v>
      </c>
    </row>
    <row r="49" spans="1:2" x14ac:dyDescent="0.3">
      <c r="A49" s="18">
        <v>46026</v>
      </c>
      <c r="B49">
        <v>4461</v>
      </c>
    </row>
    <row r="50" spans="1:2" x14ac:dyDescent="0.3">
      <c r="A50" s="18">
        <v>46027</v>
      </c>
      <c r="B50">
        <v>3631</v>
      </c>
    </row>
    <row r="51" spans="1:2" x14ac:dyDescent="0.3">
      <c r="A51" s="18">
        <v>46028</v>
      </c>
      <c r="B51">
        <v>3333</v>
      </c>
    </row>
    <row r="52" spans="1:2" x14ac:dyDescent="0.3">
      <c r="A52" s="18">
        <v>46029</v>
      </c>
      <c r="B52">
        <v>3764</v>
      </c>
    </row>
    <row r="53" spans="1:2" x14ac:dyDescent="0.3">
      <c r="A53" s="18">
        <v>46030</v>
      </c>
      <c r="B53">
        <v>3539</v>
      </c>
    </row>
    <row r="54" spans="1:2" x14ac:dyDescent="0.3">
      <c r="A54" s="18">
        <v>46031</v>
      </c>
      <c r="B54">
        <v>3987</v>
      </c>
    </row>
    <row r="55" spans="1:2" x14ac:dyDescent="0.3">
      <c r="A55" s="18">
        <v>46032</v>
      </c>
      <c r="B55">
        <v>3979</v>
      </c>
    </row>
    <row r="56" spans="1:2" x14ac:dyDescent="0.3">
      <c r="A56" s="18">
        <v>46033</v>
      </c>
      <c r="B56">
        <v>4578</v>
      </c>
    </row>
    <row r="57" spans="1:2" x14ac:dyDescent="0.3">
      <c r="A57" s="18">
        <v>46034</v>
      </c>
      <c r="B57">
        <v>4472</v>
      </c>
    </row>
    <row r="58" spans="1:2" x14ac:dyDescent="0.3">
      <c r="A58" s="18">
        <v>46035</v>
      </c>
      <c r="B58">
        <v>4222</v>
      </c>
    </row>
    <row r="59" spans="1:2" x14ac:dyDescent="0.3">
      <c r="A59" s="18">
        <v>46036</v>
      </c>
      <c r="B59">
        <v>3616</v>
      </c>
    </row>
    <row r="60" spans="1:2" x14ac:dyDescent="0.3">
      <c r="A60" s="18">
        <v>46037</v>
      </c>
      <c r="B60">
        <v>4001</v>
      </c>
    </row>
    <row r="61" spans="1:2" x14ac:dyDescent="0.3">
      <c r="A61" s="18">
        <v>46038</v>
      </c>
      <c r="B61">
        <v>4826</v>
      </c>
    </row>
    <row r="62" spans="1:2" x14ac:dyDescent="0.3">
      <c r="A62" s="18">
        <v>46039</v>
      </c>
      <c r="B62">
        <v>4565</v>
      </c>
    </row>
    <row r="63" spans="1:2" x14ac:dyDescent="0.3">
      <c r="A63" s="18">
        <v>46040</v>
      </c>
      <c r="B63">
        <v>3353</v>
      </c>
    </row>
    <row r="64" spans="1:2" x14ac:dyDescent="0.3">
      <c r="A64" s="18">
        <v>46041</v>
      </c>
      <c r="B64">
        <v>4480</v>
      </c>
    </row>
    <row r="65" spans="1:2" x14ac:dyDescent="0.3">
      <c r="A65" s="18">
        <v>46042</v>
      </c>
      <c r="B65">
        <v>4308</v>
      </c>
    </row>
    <row r="66" spans="1:2" x14ac:dyDescent="0.3">
      <c r="A66" s="18">
        <v>46043</v>
      </c>
      <c r="B66">
        <v>4024</v>
      </c>
    </row>
    <row r="67" spans="1:2" x14ac:dyDescent="0.3">
      <c r="A67" s="18">
        <v>46044</v>
      </c>
      <c r="B67">
        <v>3702</v>
      </c>
    </row>
    <row r="68" spans="1:2" x14ac:dyDescent="0.3">
      <c r="A68" s="18">
        <v>46045</v>
      </c>
      <c r="B68">
        <v>3713</v>
      </c>
    </row>
    <row r="69" spans="1:2" x14ac:dyDescent="0.3">
      <c r="A69" s="18">
        <v>46046</v>
      </c>
      <c r="B69">
        <v>4038</v>
      </c>
    </row>
    <row r="70" spans="1:2" x14ac:dyDescent="0.3">
      <c r="A70" s="18">
        <v>46047</v>
      </c>
      <c r="B70">
        <v>4129</v>
      </c>
    </row>
    <row r="71" spans="1:2" x14ac:dyDescent="0.3">
      <c r="A71" s="18">
        <v>46048</v>
      </c>
      <c r="B71">
        <v>4266</v>
      </c>
    </row>
    <row r="72" spans="1:2" x14ac:dyDescent="0.3">
      <c r="A72" s="18">
        <v>46049</v>
      </c>
      <c r="B72">
        <v>3371</v>
      </c>
    </row>
    <row r="73" spans="1:2" x14ac:dyDescent="0.3">
      <c r="A73" s="18">
        <v>46050</v>
      </c>
      <c r="B73">
        <v>3656</v>
      </c>
    </row>
    <row r="74" spans="1:2" x14ac:dyDescent="0.3">
      <c r="A74" s="18">
        <v>46051</v>
      </c>
      <c r="B74">
        <v>4414</v>
      </c>
    </row>
    <row r="75" spans="1:2" x14ac:dyDescent="0.3">
      <c r="A75" s="18">
        <v>46052</v>
      </c>
      <c r="B75">
        <v>3534</v>
      </c>
    </row>
    <row r="76" spans="1:2" x14ac:dyDescent="0.3">
      <c r="A76" s="18">
        <v>46053</v>
      </c>
      <c r="B76">
        <v>4002</v>
      </c>
    </row>
    <row r="77" spans="1:2" x14ac:dyDescent="0.3">
      <c r="A77" s="18" t="s">
        <v>16</v>
      </c>
      <c r="B77">
        <v>122905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02E9-65EF-4068-B439-2F5862BE53EA}">
  <dimension ref="A2:G77"/>
  <sheetViews>
    <sheetView topLeftCell="E28" workbookViewId="0">
      <selection activeCell="V13" sqref="V13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6" width="6.44140625" bestFit="1" customWidth="1"/>
    <col min="7" max="7" width="10.77734375" bestFit="1" customWidth="1"/>
  </cols>
  <sheetData>
    <row r="2" spans="1:7" x14ac:dyDescent="0.3">
      <c r="A2" s="7" t="s">
        <v>27</v>
      </c>
      <c r="B2" t="s">
        <v>47</v>
      </c>
    </row>
    <row r="4" spans="1:7" x14ac:dyDescent="0.3">
      <c r="A4" s="7" t="s">
        <v>15</v>
      </c>
      <c r="B4" s="7" t="s">
        <v>17</v>
      </c>
    </row>
    <row r="5" spans="1:7" x14ac:dyDescent="0.3">
      <c r="A5" s="7" t="s">
        <v>14</v>
      </c>
      <c r="B5" t="s">
        <v>5</v>
      </c>
      <c r="C5" t="s">
        <v>8</v>
      </c>
      <c r="D5" t="s">
        <v>9</v>
      </c>
      <c r="E5" t="s">
        <v>10</v>
      </c>
      <c r="F5" t="s">
        <v>11</v>
      </c>
      <c r="G5" t="s">
        <v>16</v>
      </c>
    </row>
    <row r="6" spans="1:7" x14ac:dyDescent="0.3">
      <c r="A6" s="18">
        <v>46023</v>
      </c>
      <c r="B6">
        <v>560</v>
      </c>
      <c r="C6">
        <v>622</v>
      </c>
      <c r="D6">
        <v>963</v>
      </c>
      <c r="E6">
        <v>719</v>
      </c>
      <c r="F6">
        <v>680</v>
      </c>
      <c r="G6">
        <v>3544</v>
      </c>
    </row>
    <row r="7" spans="1:7" x14ac:dyDescent="0.3">
      <c r="A7" s="18">
        <v>46024</v>
      </c>
      <c r="B7">
        <v>845</v>
      </c>
      <c r="C7">
        <v>819</v>
      </c>
      <c r="D7">
        <v>614</v>
      </c>
      <c r="E7">
        <v>944</v>
      </c>
      <c r="F7">
        <v>804</v>
      </c>
      <c r="G7">
        <v>4026</v>
      </c>
    </row>
    <row r="8" spans="1:7" x14ac:dyDescent="0.3">
      <c r="A8" s="18">
        <v>46025</v>
      </c>
      <c r="B8">
        <v>568</v>
      </c>
      <c r="C8">
        <v>544</v>
      </c>
      <c r="D8">
        <v>562</v>
      </c>
      <c r="E8">
        <v>763</v>
      </c>
      <c r="F8">
        <v>934</v>
      </c>
      <c r="G8">
        <v>3371</v>
      </c>
    </row>
    <row r="9" spans="1:7" x14ac:dyDescent="0.3">
      <c r="A9" s="18">
        <v>46026</v>
      </c>
      <c r="B9">
        <v>857</v>
      </c>
      <c r="C9">
        <v>875</v>
      </c>
      <c r="D9">
        <v>953</v>
      </c>
      <c r="E9">
        <v>748</v>
      </c>
      <c r="F9">
        <v>1028</v>
      </c>
      <c r="G9">
        <v>4461</v>
      </c>
    </row>
    <row r="10" spans="1:7" x14ac:dyDescent="0.3">
      <c r="A10" s="18">
        <v>46027</v>
      </c>
      <c r="B10">
        <v>946</v>
      </c>
      <c r="C10">
        <v>638</v>
      </c>
      <c r="D10">
        <v>548</v>
      </c>
      <c r="E10">
        <v>536</v>
      </c>
      <c r="F10">
        <v>963</v>
      </c>
      <c r="G10">
        <v>3631</v>
      </c>
    </row>
    <row r="11" spans="1:7" x14ac:dyDescent="0.3">
      <c r="A11" s="18">
        <v>46028</v>
      </c>
      <c r="B11">
        <v>1011</v>
      </c>
      <c r="C11">
        <v>700</v>
      </c>
      <c r="D11">
        <v>681</v>
      </c>
      <c r="E11">
        <v>405</v>
      </c>
      <c r="F11">
        <v>536</v>
      </c>
      <c r="G11">
        <v>3333</v>
      </c>
    </row>
    <row r="12" spans="1:7" x14ac:dyDescent="0.3">
      <c r="A12" s="18">
        <v>46029</v>
      </c>
      <c r="B12">
        <v>616</v>
      </c>
      <c r="C12">
        <v>820</v>
      </c>
      <c r="D12">
        <v>707</v>
      </c>
      <c r="E12">
        <v>1058</v>
      </c>
      <c r="F12">
        <v>563</v>
      </c>
      <c r="G12">
        <v>3764</v>
      </c>
    </row>
    <row r="13" spans="1:7" x14ac:dyDescent="0.3">
      <c r="A13" s="18">
        <v>46030</v>
      </c>
      <c r="B13">
        <v>869</v>
      </c>
      <c r="C13">
        <v>947</v>
      </c>
      <c r="D13">
        <v>502</v>
      </c>
      <c r="E13">
        <v>659</v>
      </c>
      <c r="F13">
        <v>562</v>
      </c>
      <c r="G13">
        <v>3539</v>
      </c>
    </row>
    <row r="14" spans="1:7" x14ac:dyDescent="0.3">
      <c r="A14" s="18">
        <v>46031</v>
      </c>
      <c r="B14">
        <v>563</v>
      </c>
      <c r="C14">
        <v>1026</v>
      </c>
      <c r="D14">
        <v>740</v>
      </c>
      <c r="E14">
        <v>665</v>
      </c>
      <c r="F14">
        <v>993</v>
      </c>
      <c r="G14">
        <v>3987</v>
      </c>
    </row>
    <row r="15" spans="1:7" x14ac:dyDescent="0.3">
      <c r="A15" s="18">
        <v>46032</v>
      </c>
      <c r="B15">
        <v>610</v>
      </c>
      <c r="C15">
        <v>724</v>
      </c>
      <c r="D15">
        <v>853</v>
      </c>
      <c r="E15">
        <v>987</v>
      </c>
      <c r="F15">
        <v>805</v>
      </c>
      <c r="G15">
        <v>3979</v>
      </c>
    </row>
    <row r="16" spans="1:7" x14ac:dyDescent="0.3">
      <c r="A16" s="18">
        <v>46033</v>
      </c>
      <c r="B16">
        <v>1093</v>
      </c>
      <c r="C16">
        <v>1011</v>
      </c>
      <c r="D16">
        <v>881</v>
      </c>
      <c r="E16">
        <v>826</v>
      </c>
      <c r="F16">
        <v>767</v>
      </c>
      <c r="G16">
        <v>4578</v>
      </c>
    </row>
    <row r="17" spans="1:7" x14ac:dyDescent="0.3">
      <c r="A17" s="18">
        <v>46034</v>
      </c>
      <c r="B17">
        <v>830</v>
      </c>
      <c r="C17">
        <v>977</v>
      </c>
      <c r="D17">
        <v>1001</v>
      </c>
      <c r="E17">
        <v>1098</v>
      </c>
      <c r="F17">
        <v>566</v>
      </c>
      <c r="G17">
        <v>4472</v>
      </c>
    </row>
    <row r="18" spans="1:7" x14ac:dyDescent="0.3">
      <c r="A18" s="18">
        <v>46035</v>
      </c>
      <c r="B18">
        <v>745</v>
      </c>
      <c r="C18">
        <v>935</v>
      </c>
      <c r="D18">
        <v>1107</v>
      </c>
      <c r="E18">
        <v>902</v>
      </c>
      <c r="F18">
        <v>533</v>
      </c>
      <c r="G18">
        <v>4222</v>
      </c>
    </row>
    <row r="19" spans="1:7" x14ac:dyDescent="0.3">
      <c r="A19" s="18">
        <v>46036</v>
      </c>
      <c r="B19">
        <v>463</v>
      </c>
      <c r="C19">
        <v>578</v>
      </c>
      <c r="D19">
        <v>799</v>
      </c>
      <c r="E19">
        <v>714</v>
      </c>
      <c r="F19">
        <v>1062</v>
      </c>
      <c r="G19">
        <v>3616</v>
      </c>
    </row>
    <row r="20" spans="1:7" x14ac:dyDescent="0.3">
      <c r="A20" s="18">
        <v>46037</v>
      </c>
      <c r="B20">
        <v>1031</v>
      </c>
      <c r="C20">
        <v>689</v>
      </c>
      <c r="D20">
        <v>852</v>
      </c>
      <c r="E20">
        <v>736</v>
      </c>
      <c r="F20">
        <v>693</v>
      </c>
      <c r="G20">
        <v>4001</v>
      </c>
    </row>
    <row r="21" spans="1:7" x14ac:dyDescent="0.3">
      <c r="A21" s="18">
        <v>46038</v>
      </c>
      <c r="B21">
        <v>889</v>
      </c>
      <c r="C21">
        <v>977</v>
      </c>
      <c r="D21">
        <v>1019</v>
      </c>
      <c r="E21">
        <v>857</v>
      </c>
      <c r="F21">
        <v>1084</v>
      </c>
      <c r="G21">
        <v>4826</v>
      </c>
    </row>
    <row r="22" spans="1:7" x14ac:dyDescent="0.3">
      <c r="A22" s="18">
        <v>46039</v>
      </c>
      <c r="B22">
        <v>1041</v>
      </c>
      <c r="C22">
        <v>1033</v>
      </c>
      <c r="D22">
        <v>735</v>
      </c>
      <c r="E22">
        <v>1036</v>
      </c>
      <c r="F22">
        <v>720</v>
      </c>
      <c r="G22">
        <v>4565</v>
      </c>
    </row>
    <row r="23" spans="1:7" x14ac:dyDescent="0.3">
      <c r="A23" s="18">
        <v>46040</v>
      </c>
      <c r="B23">
        <v>662</v>
      </c>
      <c r="C23">
        <v>740</v>
      </c>
      <c r="D23">
        <v>557</v>
      </c>
      <c r="E23">
        <v>759</v>
      </c>
      <c r="F23">
        <v>635</v>
      </c>
      <c r="G23">
        <v>3353</v>
      </c>
    </row>
    <row r="24" spans="1:7" x14ac:dyDescent="0.3">
      <c r="A24" s="18">
        <v>46041</v>
      </c>
      <c r="B24">
        <v>987</v>
      </c>
      <c r="C24">
        <v>1087</v>
      </c>
      <c r="D24">
        <v>756</v>
      </c>
      <c r="E24">
        <v>852</v>
      </c>
      <c r="F24">
        <v>798</v>
      </c>
      <c r="G24">
        <v>4480</v>
      </c>
    </row>
    <row r="25" spans="1:7" x14ac:dyDescent="0.3">
      <c r="A25" s="18">
        <v>46042</v>
      </c>
      <c r="B25">
        <v>681</v>
      </c>
      <c r="C25">
        <v>969</v>
      </c>
      <c r="D25">
        <v>1011</v>
      </c>
      <c r="E25">
        <v>545</v>
      </c>
      <c r="F25">
        <v>1102</v>
      </c>
      <c r="G25">
        <v>4308</v>
      </c>
    </row>
    <row r="26" spans="1:7" x14ac:dyDescent="0.3">
      <c r="A26" s="18">
        <v>46043</v>
      </c>
      <c r="B26">
        <v>708</v>
      </c>
      <c r="C26">
        <v>716</v>
      </c>
      <c r="D26">
        <v>774</v>
      </c>
      <c r="E26">
        <v>936</v>
      </c>
      <c r="F26">
        <v>890</v>
      </c>
      <c r="G26">
        <v>4024</v>
      </c>
    </row>
    <row r="27" spans="1:7" x14ac:dyDescent="0.3">
      <c r="A27" s="18">
        <v>46044</v>
      </c>
      <c r="B27">
        <v>426</v>
      </c>
      <c r="C27">
        <v>883</v>
      </c>
      <c r="D27">
        <v>721</v>
      </c>
      <c r="E27">
        <v>648</v>
      </c>
      <c r="F27">
        <v>1024</v>
      </c>
      <c r="G27">
        <v>3702</v>
      </c>
    </row>
    <row r="28" spans="1:7" x14ac:dyDescent="0.3">
      <c r="A28" s="18">
        <v>46045</v>
      </c>
      <c r="B28">
        <v>549</v>
      </c>
      <c r="C28">
        <v>609</v>
      </c>
      <c r="D28">
        <v>1042</v>
      </c>
      <c r="E28">
        <v>742</v>
      </c>
      <c r="F28">
        <v>771</v>
      </c>
      <c r="G28">
        <v>3713</v>
      </c>
    </row>
    <row r="29" spans="1:7" x14ac:dyDescent="0.3">
      <c r="A29" s="18">
        <v>46046</v>
      </c>
      <c r="B29">
        <v>816</v>
      </c>
      <c r="C29">
        <v>878</v>
      </c>
      <c r="D29">
        <v>918</v>
      </c>
      <c r="E29">
        <v>653</v>
      </c>
      <c r="F29">
        <v>773</v>
      </c>
      <c r="G29">
        <v>4038</v>
      </c>
    </row>
    <row r="30" spans="1:7" x14ac:dyDescent="0.3">
      <c r="A30" s="18">
        <v>46047</v>
      </c>
      <c r="B30">
        <v>760</v>
      </c>
      <c r="C30">
        <v>936</v>
      </c>
      <c r="D30">
        <v>476</v>
      </c>
      <c r="E30">
        <v>989</v>
      </c>
      <c r="F30">
        <v>968</v>
      </c>
      <c r="G30">
        <v>4129</v>
      </c>
    </row>
    <row r="31" spans="1:7" x14ac:dyDescent="0.3">
      <c r="A31" s="18">
        <v>46048</v>
      </c>
      <c r="B31">
        <v>695</v>
      </c>
      <c r="C31">
        <v>894</v>
      </c>
      <c r="D31">
        <v>1019</v>
      </c>
      <c r="E31">
        <v>997</v>
      </c>
      <c r="F31">
        <v>661</v>
      </c>
      <c r="G31">
        <v>4266</v>
      </c>
    </row>
    <row r="32" spans="1:7" x14ac:dyDescent="0.3">
      <c r="A32" s="18">
        <v>46049</v>
      </c>
      <c r="B32">
        <v>666</v>
      </c>
      <c r="C32">
        <v>778</v>
      </c>
      <c r="D32">
        <v>820</v>
      </c>
      <c r="E32">
        <v>479</v>
      </c>
      <c r="F32">
        <v>628</v>
      </c>
      <c r="G32">
        <v>3371</v>
      </c>
    </row>
    <row r="33" spans="1:7" x14ac:dyDescent="0.3">
      <c r="A33" s="18">
        <v>46050</v>
      </c>
      <c r="B33">
        <v>918</v>
      </c>
      <c r="C33">
        <v>808</v>
      </c>
      <c r="D33">
        <v>677</v>
      </c>
      <c r="E33">
        <v>567</v>
      </c>
      <c r="F33">
        <v>686</v>
      </c>
      <c r="G33">
        <v>3656</v>
      </c>
    </row>
    <row r="34" spans="1:7" x14ac:dyDescent="0.3">
      <c r="A34" s="18">
        <v>46051</v>
      </c>
      <c r="B34">
        <v>803</v>
      </c>
      <c r="C34">
        <v>936</v>
      </c>
      <c r="D34">
        <v>1078</v>
      </c>
      <c r="E34">
        <v>681</v>
      </c>
      <c r="F34">
        <v>916</v>
      </c>
      <c r="G34">
        <v>4414</v>
      </c>
    </row>
    <row r="35" spans="1:7" x14ac:dyDescent="0.3">
      <c r="A35" s="18">
        <v>46052</v>
      </c>
      <c r="B35">
        <v>540</v>
      </c>
      <c r="C35">
        <v>721</v>
      </c>
      <c r="D35">
        <v>903</v>
      </c>
      <c r="E35">
        <v>589</v>
      </c>
      <c r="F35">
        <v>781</v>
      </c>
      <c r="G35">
        <v>3534</v>
      </c>
    </row>
    <row r="36" spans="1:7" x14ac:dyDescent="0.3">
      <c r="A36" s="18">
        <v>46053</v>
      </c>
      <c r="B36">
        <v>972</v>
      </c>
      <c r="C36">
        <v>842</v>
      </c>
      <c r="D36">
        <v>800</v>
      </c>
      <c r="E36">
        <v>937</v>
      </c>
      <c r="F36">
        <v>451</v>
      </c>
      <c r="G36">
        <v>4002</v>
      </c>
    </row>
    <row r="37" spans="1:7" x14ac:dyDescent="0.3">
      <c r="A37" s="18" t="s">
        <v>16</v>
      </c>
      <c r="B37">
        <v>23720</v>
      </c>
      <c r="C37">
        <v>25712</v>
      </c>
      <c r="D37">
        <v>25069</v>
      </c>
      <c r="E37">
        <v>24027</v>
      </c>
      <c r="F37">
        <v>24377</v>
      </c>
      <c r="G37">
        <v>122905</v>
      </c>
    </row>
    <row r="41" spans="1:7" x14ac:dyDescent="0.3">
      <c r="A41" s="7" t="s">
        <v>27</v>
      </c>
      <c r="B41" t="s">
        <v>47</v>
      </c>
    </row>
    <row r="42" spans="1:7" x14ac:dyDescent="0.3">
      <c r="A42" s="7" t="s">
        <v>1</v>
      </c>
      <c r="B42" t="s">
        <v>47</v>
      </c>
    </row>
    <row r="43" spans="1:7" x14ac:dyDescent="0.3">
      <c r="A43" s="7" t="s">
        <v>2</v>
      </c>
      <c r="B43" t="s">
        <v>47</v>
      </c>
    </row>
    <row r="45" spans="1:7" x14ac:dyDescent="0.3">
      <c r="A45" s="7" t="s">
        <v>14</v>
      </c>
      <c r="B45" t="s">
        <v>15</v>
      </c>
    </row>
    <row r="46" spans="1:7" x14ac:dyDescent="0.3">
      <c r="A46" s="18">
        <v>46023</v>
      </c>
      <c r="B46">
        <v>3544</v>
      </c>
    </row>
    <row r="47" spans="1:7" x14ac:dyDescent="0.3">
      <c r="A47" s="18">
        <v>46024</v>
      </c>
      <c r="B47">
        <v>4026</v>
      </c>
    </row>
    <row r="48" spans="1:7" x14ac:dyDescent="0.3">
      <c r="A48" s="18">
        <v>46025</v>
      </c>
      <c r="B48">
        <v>3371</v>
      </c>
    </row>
    <row r="49" spans="1:2" x14ac:dyDescent="0.3">
      <c r="A49" s="18">
        <v>46026</v>
      </c>
      <c r="B49">
        <v>4461</v>
      </c>
    </row>
    <row r="50" spans="1:2" x14ac:dyDescent="0.3">
      <c r="A50" s="18">
        <v>46027</v>
      </c>
      <c r="B50">
        <v>3631</v>
      </c>
    </row>
    <row r="51" spans="1:2" x14ac:dyDescent="0.3">
      <c r="A51" s="18">
        <v>46028</v>
      </c>
      <c r="B51">
        <v>3333</v>
      </c>
    </row>
    <row r="52" spans="1:2" x14ac:dyDescent="0.3">
      <c r="A52" s="18">
        <v>46029</v>
      </c>
      <c r="B52">
        <v>3764</v>
      </c>
    </row>
    <row r="53" spans="1:2" x14ac:dyDescent="0.3">
      <c r="A53" s="18">
        <v>46030</v>
      </c>
      <c r="B53">
        <v>3539</v>
      </c>
    </row>
    <row r="54" spans="1:2" x14ac:dyDescent="0.3">
      <c r="A54" s="18">
        <v>46031</v>
      </c>
      <c r="B54">
        <v>3987</v>
      </c>
    </row>
    <row r="55" spans="1:2" x14ac:dyDescent="0.3">
      <c r="A55" s="18">
        <v>46032</v>
      </c>
      <c r="B55">
        <v>3979</v>
      </c>
    </row>
    <row r="56" spans="1:2" x14ac:dyDescent="0.3">
      <c r="A56" s="18">
        <v>46033</v>
      </c>
      <c r="B56">
        <v>4578</v>
      </c>
    </row>
    <row r="57" spans="1:2" x14ac:dyDescent="0.3">
      <c r="A57" s="18">
        <v>46034</v>
      </c>
      <c r="B57">
        <v>4472</v>
      </c>
    </row>
    <row r="58" spans="1:2" x14ac:dyDescent="0.3">
      <c r="A58" s="18">
        <v>46035</v>
      </c>
      <c r="B58">
        <v>4222</v>
      </c>
    </row>
    <row r="59" spans="1:2" x14ac:dyDescent="0.3">
      <c r="A59" s="18">
        <v>46036</v>
      </c>
      <c r="B59">
        <v>3616</v>
      </c>
    </row>
    <row r="60" spans="1:2" x14ac:dyDescent="0.3">
      <c r="A60" s="18">
        <v>46037</v>
      </c>
      <c r="B60">
        <v>4001</v>
      </c>
    </row>
    <row r="61" spans="1:2" x14ac:dyDescent="0.3">
      <c r="A61" s="18">
        <v>46038</v>
      </c>
      <c r="B61">
        <v>4826</v>
      </c>
    </row>
    <row r="62" spans="1:2" x14ac:dyDescent="0.3">
      <c r="A62" s="18">
        <v>46039</v>
      </c>
      <c r="B62">
        <v>4565</v>
      </c>
    </row>
    <row r="63" spans="1:2" x14ac:dyDescent="0.3">
      <c r="A63" s="18">
        <v>46040</v>
      </c>
      <c r="B63">
        <v>3353</v>
      </c>
    </row>
    <row r="64" spans="1:2" x14ac:dyDescent="0.3">
      <c r="A64" s="18">
        <v>46041</v>
      </c>
      <c r="B64">
        <v>4480</v>
      </c>
    </row>
    <row r="65" spans="1:2" x14ac:dyDescent="0.3">
      <c r="A65" s="18">
        <v>46042</v>
      </c>
      <c r="B65">
        <v>4308</v>
      </c>
    </row>
    <row r="66" spans="1:2" x14ac:dyDescent="0.3">
      <c r="A66" s="18">
        <v>46043</v>
      </c>
      <c r="B66">
        <v>4024</v>
      </c>
    </row>
    <row r="67" spans="1:2" x14ac:dyDescent="0.3">
      <c r="A67" s="18">
        <v>46044</v>
      </c>
      <c r="B67">
        <v>3702</v>
      </c>
    </row>
    <row r="68" spans="1:2" x14ac:dyDescent="0.3">
      <c r="A68" s="18">
        <v>46045</v>
      </c>
      <c r="B68">
        <v>3713</v>
      </c>
    </row>
    <row r="69" spans="1:2" x14ac:dyDescent="0.3">
      <c r="A69" s="18">
        <v>46046</v>
      </c>
      <c r="B69">
        <v>4038</v>
      </c>
    </row>
    <row r="70" spans="1:2" x14ac:dyDescent="0.3">
      <c r="A70" s="18">
        <v>46047</v>
      </c>
      <c r="B70">
        <v>4129</v>
      </c>
    </row>
    <row r="71" spans="1:2" x14ac:dyDescent="0.3">
      <c r="A71" s="18">
        <v>46048</v>
      </c>
      <c r="B71">
        <v>4266</v>
      </c>
    </row>
    <row r="72" spans="1:2" x14ac:dyDescent="0.3">
      <c r="A72" s="18">
        <v>46049</v>
      </c>
      <c r="B72">
        <v>3371</v>
      </c>
    </row>
    <row r="73" spans="1:2" x14ac:dyDescent="0.3">
      <c r="A73" s="18">
        <v>46050</v>
      </c>
      <c r="B73">
        <v>3656</v>
      </c>
    </row>
    <row r="74" spans="1:2" x14ac:dyDescent="0.3">
      <c r="A74" s="18">
        <v>46051</v>
      </c>
      <c r="B74">
        <v>4414</v>
      </c>
    </row>
    <row r="75" spans="1:2" x14ac:dyDescent="0.3">
      <c r="A75" s="18">
        <v>46052</v>
      </c>
      <c r="B75">
        <v>3534</v>
      </c>
    </row>
    <row r="76" spans="1:2" x14ac:dyDescent="0.3">
      <c r="A76" s="18">
        <v>46053</v>
      </c>
      <c r="B76">
        <v>4002</v>
      </c>
    </row>
    <row r="77" spans="1:2" x14ac:dyDescent="0.3">
      <c r="A77" s="18" t="s">
        <v>16</v>
      </c>
      <c r="B77">
        <v>122905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34C0-38A7-46B4-9206-D6AFF16BE035}">
  <dimension ref="A1:B50"/>
  <sheetViews>
    <sheetView workbookViewId="0">
      <selection activeCell="J67" sqref="J67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6" width="6.44140625" bestFit="1" customWidth="1"/>
    <col min="7" max="7" width="10.77734375" bestFit="1" customWidth="1"/>
  </cols>
  <sheetData>
    <row r="1" spans="1:2" x14ac:dyDescent="0.3">
      <c r="A1" s="7" t="s">
        <v>27</v>
      </c>
      <c r="B1" t="s">
        <v>47</v>
      </c>
    </row>
    <row r="2" spans="1:2" x14ac:dyDescent="0.3">
      <c r="A2" s="7" t="s">
        <v>2</v>
      </c>
      <c r="B2" t="s">
        <v>47</v>
      </c>
    </row>
    <row r="4" spans="1:2" x14ac:dyDescent="0.3">
      <c r="A4" s="7" t="s">
        <v>14</v>
      </c>
      <c r="B4" t="s">
        <v>15</v>
      </c>
    </row>
    <row r="5" spans="1:2" x14ac:dyDescent="0.3">
      <c r="A5" s="18">
        <v>46023</v>
      </c>
      <c r="B5">
        <v>3544</v>
      </c>
    </row>
    <row r="6" spans="1:2" x14ac:dyDescent="0.3">
      <c r="A6" s="18">
        <v>46024</v>
      </c>
      <c r="B6">
        <v>4026</v>
      </c>
    </row>
    <row r="7" spans="1:2" x14ac:dyDescent="0.3">
      <c r="A7" s="18">
        <v>46025</v>
      </c>
      <c r="B7">
        <v>3371</v>
      </c>
    </row>
    <row r="8" spans="1:2" x14ac:dyDescent="0.3">
      <c r="A8" s="18">
        <v>46026</v>
      </c>
      <c r="B8">
        <v>4461</v>
      </c>
    </row>
    <row r="9" spans="1:2" x14ac:dyDescent="0.3">
      <c r="A9" s="18">
        <v>46027</v>
      </c>
      <c r="B9">
        <v>3631</v>
      </c>
    </row>
    <row r="10" spans="1:2" x14ac:dyDescent="0.3">
      <c r="A10" s="18">
        <v>46028</v>
      </c>
      <c r="B10">
        <v>3333</v>
      </c>
    </row>
    <row r="11" spans="1:2" x14ac:dyDescent="0.3">
      <c r="A11" s="18">
        <v>46029</v>
      </c>
      <c r="B11">
        <v>3764</v>
      </c>
    </row>
    <row r="12" spans="1:2" x14ac:dyDescent="0.3">
      <c r="A12" s="18">
        <v>46030</v>
      </c>
      <c r="B12">
        <v>3539</v>
      </c>
    </row>
    <row r="13" spans="1:2" x14ac:dyDescent="0.3">
      <c r="A13" s="18">
        <v>46031</v>
      </c>
      <c r="B13">
        <v>3987</v>
      </c>
    </row>
    <row r="14" spans="1:2" x14ac:dyDescent="0.3">
      <c r="A14" s="18">
        <v>46032</v>
      </c>
      <c r="B14">
        <v>3979</v>
      </c>
    </row>
    <row r="15" spans="1:2" x14ac:dyDescent="0.3">
      <c r="A15" s="18">
        <v>46033</v>
      </c>
      <c r="B15">
        <v>4578</v>
      </c>
    </row>
    <row r="16" spans="1:2" x14ac:dyDescent="0.3">
      <c r="A16" s="18">
        <v>46034</v>
      </c>
      <c r="B16">
        <v>4472</v>
      </c>
    </row>
    <row r="17" spans="1:2" x14ac:dyDescent="0.3">
      <c r="A17" s="18">
        <v>46035</v>
      </c>
      <c r="B17">
        <v>4222</v>
      </c>
    </row>
    <row r="18" spans="1:2" x14ac:dyDescent="0.3">
      <c r="A18" s="18">
        <v>46036</v>
      </c>
      <c r="B18">
        <v>3616</v>
      </c>
    </row>
    <row r="19" spans="1:2" x14ac:dyDescent="0.3">
      <c r="A19" s="18">
        <v>46037</v>
      </c>
      <c r="B19">
        <v>4001</v>
      </c>
    </row>
    <row r="20" spans="1:2" x14ac:dyDescent="0.3">
      <c r="A20" s="18">
        <v>46038</v>
      </c>
      <c r="B20">
        <v>4826</v>
      </c>
    </row>
    <row r="21" spans="1:2" x14ac:dyDescent="0.3">
      <c r="A21" s="18">
        <v>46039</v>
      </c>
      <c r="B21">
        <v>4565</v>
      </c>
    </row>
    <row r="22" spans="1:2" x14ac:dyDescent="0.3">
      <c r="A22" s="18">
        <v>46040</v>
      </c>
      <c r="B22">
        <v>3353</v>
      </c>
    </row>
    <row r="23" spans="1:2" x14ac:dyDescent="0.3">
      <c r="A23" s="18">
        <v>46041</v>
      </c>
      <c r="B23">
        <v>4480</v>
      </c>
    </row>
    <row r="24" spans="1:2" x14ac:dyDescent="0.3">
      <c r="A24" s="18">
        <v>46042</v>
      </c>
      <c r="B24">
        <v>4308</v>
      </c>
    </row>
    <row r="25" spans="1:2" x14ac:dyDescent="0.3">
      <c r="A25" s="18">
        <v>46043</v>
      </c>
      <c r="B25">
        <v>4024</v>
      </c>
    </row>
    <row r="26" spans="1:2" x14ac:dyDescent="0.3">
      <c r="A26" s="18">
        <v>46044</v>
      </c>
      <c r="B26">
        <v>3702</v>
      </c>
    </row>
    <row r="27" spans="1:2" x14ac:dyDescent="0.3">
      <c r="A27" s="18">
        <v>46045</v>
      </c>
      <c r="B27">
        <v>3713</v>
      </c>
    </row>
    <row r="28" spans="1:2" x14ac:dyDescent="0.3">
      <c r="A28" s="18">
        <v>46046</v>
      </c>
      <c r="B28">
        <v>4038</v>
      </c>
    </row>
    <row r="29" spans="1:2" x14ac:dyDescent="0.3">
      <c r="A29" s="18">
        <v>46047</v>
      </c>
      <c r="B29">
        <v>4129</v>
      </c>
    </row>
    <row r="30" spans="1:2" x14ac:dyDescent="0.3">
      <c r="A30" s="18">
        <v>46048</v>
      </c>
      <c r="B30">
        <v>4266</v>
      </c>
    </row>
    <row r="31" spans="1:2" x14ac:dyDescent="0.3">
      <c r="A31" s="18">
        <v>46049</v>
      </c>
      <c r="B31">
        <v>3371</v>
      </c>
    </row>
    <row r="32" spans="1:2" x14ac:dyDescent="0.3">
      <c r="A32" s="18">
        <v>46050</v>
      </c>
      <c r="B32">
        <v>3656</v>
      </c>
    </row>
    <row r="33" spans="1:2" x14ac:dyDescent="0.3">
      <c r="A33" s="18">
        <v>46051</v>
      </c>
      <c r="B33">
        <v>4414</v>
      </c>
    </row>
    <row r="34" spans="1:2" x14ac:dyDescent="0.3">
      <c r="A34" s="18">
        <v>46052</v>
      </c>
      <c r="B34">
        <v>3534</v>
      </c>
    </row>
    <row r="35" spans="1:2" x14ac:dyDescent="0.3">
      <c r="A35" s="18">
        <v>46053</v>
      </c>
      <c r="B35">
        <v>4002</v>
      </c>
    </row>
    <row r="36" spans="1:2" x14ac:dyDescent="0.3">
      <c r="A36" s="18" t="s">
        <v>16</v>
      </c>
      <c r="B36">
        <v>122905</v>
      </c>
    </row>
    <row r="41" spans="1:2" x14ac:dyDescent="0.3">
      <c r="A41" s="7" t="s">
        <v>0</v>
      </c>
      <c r="B41" t="s">
        <v>47</v>
      </c>
    </row>
    <row r="42" spans="1:2" x14ac:dyDescent="0.3">
      <c r="A42" s="7" t="s">
        <v>1</v>
      </c>
      <c r="B42" t="s">
        <v>47</v>
      </c>
    </row>
    <row r="43" spans="1:2" x14ac:dyDescent="0.3">
      <c r="A43" s="7" t="s">
        <v>2</v>
      </c>
      <c r="B43" t="s">
        <v>47</v>
      </c>
    </row>
    <row r="45" spans="1:2" x14ac:dyDescent="0.3">
      <c r="A45" s="7" t="s">
        <v>14</v>
      </c>
      <c r="B45" t="s">
        <v>15</v>
      </c>
    </row>
    <row r="46" spans="1:2" x14ac:dyDescent="0.3">
      <c r="A46" s="8">
        <v>1</v>
      </c>
      <c r="B46">
        <v>26130</v>
      </c>
    </row>
    <row r="47" spans="1:2" x14ac:dyDescent="0.3">
      <c r="A47" s="8">
        <v>2</v>
      </c>
      <c r="B47">
        <v>28393</v>
      </c>
    </row>
    <row r="48" spans="1:2" x14ac:dyDescent="0.3">
      <c r="A48" s="8">
        <v>3</v>
      </c>
      <c r="B48">
        <v>33259</v>
      </c>
    </row>
    <row r="49" spans="1:2" x14ac:dyDescent="0.3">
      <c r="A49" s="8">
        <v>4</v>
      </c>
      <c r="B49">
        <v>27587</v>
      </c>
    </row>
    <row r="50" spans="1:2" x14ac:dyDescent="0.3">
      <c r="A50" s="8" t="s">
        <v>16</v>
      </c>
      <c r="B50">
        <v>115369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AAF8-743C-4206-95EB-47E135AFDE98}">
  <dimension ref="B1:AA34"/>
  <sheetViews>
    <sheetView tabSelected="1" zoomScale="115" zoomScaleNormal="115" workbookViewId="0"/>
  </sheetViews>
  <sheetFormatPr defaultRowHeight="19.8" customHeight="1" x14ac:dyDescent="0.3"/>
  <cols>
    <col min="1" max="1" width="8.88671875" style="4"/>
    <col min="2" max="2" width="15.6640625" style="4" bestFit="1" customWidth="1"/>
    <col min="3" max="9" width="8.88671875" style="4"/>
    <col min="10" max="10" width="15.6640625" style="4" bestFit="1" customWidth="1"/>
    <col min="11" max="17" width="8.88671875" style="4"/>
    <col min="18" max="18" width="10.77734375" style="4" customWidth="1"/>
    <col min="19" max="22" width="8.88671875" style="4"/>
    <col min="23" max="23" width="11.33203125" style="4" bestFit="1" customWidth="1"/>
    <col min="24" max="27" width="9.33203125" style="4" bestFit="1" customWidth="1"/>
    <col min="28" max="16384" width="8.88671875" style="4"/>
  </cols>
  <sheetData>
    <row r="1" spans="2:27" ht="19.8" customHeight="1" x14ac:dyDescent="0.3">
      <c r="B1" s="5" t="s">
        <v>54</v>
      </c>
      <c r="J1" s="5" t="s">
        <v>28</v>
      </c>
      <c r="R1" s="5" t="s">
        <v>29</v>
      </c>
      <c r="V1" s="5" t="s">
        <v>30</v>
      </c>
    </row>
    <row r="2" spans="2:27" ht="19.8" customHeight="1" x14ac:dyDescent="0.3">
      <c r="B2" s="4" t="s">
        <v>13</v>
      </c>
      <c r="J2" s="4" t="s">
        <v>13</v>
      </c>
      <c r="R2" s="4" t="s">
        <v>13</v>
      </c>
      <c r="V2" s="4" t="s">
        <v>13</v>
      </c>
    </row>
    <row r="3" spans="2:27" ht="19.8" customHeight="1" x14ac:dyDescent="0.3">
      <c r="B3" s="4" t="s">
        <v>1</v>
      </c>
      <c r="C3" s="4" t="s">
        <v>5</v>
      </c>
      <c r="D3" s="4" t="s">
        <v>8</v>
      </c>
      <c r="E3" s="4" t="s">
        <v>9</v>
      </c>
      <c r="F3" s="4" t="s">
        <v>10</v>
      </c>
      <c r="G3" s="4" t="s">
        <v>11</v>
      </c>
      <c r="J3" s="4" t="s">
        <v>1</v>
      </c>
      <c r="K3" s="4" t="s">
        <v>5</v>
      </c>
      <c r="L3" s="4" t="s">
        <v>8</v>
      </c>
      <c r="M3" s="4" t="s">
        <v>9</v>
      </c>
      <c r="N3" s="4" t="s">
        <v>10</v>
      </c>
      <c r="O3" s="4" t="s">
        <v>11</v>
      </c>
      <c r="R3" s="4" t="s">
        <v>1</v>
      </c>
      <c r="S3" s="4" t="s">
        <v>26</v>
      </c>
      <c r="V3" s="4" t="s">
        <v>1</v>
      </c>
      <c r="W3" s="4" t="s">
        <v>5</v>
      </c>
      <c r="X3" s="4" t="s">
        <v>8</v>
      </c>
      <c r="Y3" s="4" t="s">
        <v>9</v>
      </c>
      <c r="Z3" s="4" t="s">
        <v>10</v>
      </c>
      <c r="AA3" s="4" t="s">
        <v>11</v>
      </c>
    </row>
    <row r="4" spans="2:27" ht="19.8" customHeight="1" x14ac:dyDescent="0.3">
      <c r="B4" s="4" t="s">
        <v>4</v>
      </c>
      <c r="C4" s="11">
        <v>75.451612903225808</v>
      </c>
      <c r="D4" s="11">
        <v>81.741935483870961</v>
      </c>
      <c r="E4" s="11">
        <v>68.612903225806448</v>
      </c>
      <c r="F4" s="11">
        <v>66.967741935483872</v>
      </c>
      <c r="G4" s="11">
        <v>79.290322580645167</v>
      </c>
      <c r="J4" s="4" t="s">
        <v>25</v>
      </c>
      <c r="K4" s="11">
        <f>SUM(C4:C6)</f>
        <v>765.16129032258061</v>
      </c>
      <c r="L4" s="11">
        <f>SUM(D4:D6)</f>
        <v>829.41935483870964</v>
      </c>
      <c r="M4" s="11">
        <f>SUM(E4:E6)</f>
        <v>808.67741935483878</v>
      </c>
      <c r="N4" s="11">
        <f>SUM(F4:F6)</f>
        <v>775.06451612903231</v>
      </c>
      <c r="O4" s="11">
        <f>SUM(G4:G6)</f>
        <v>786.35483870967744</v>
      </c>
      <c r="R4" s="4" t="s">
        <v>25</v>
      </c>
      <c r="S4" s="13">
        <f>SUM(K4:O4)</f>
        <v>3964.6774193548385</v>
      </c>
      <c r="V4" s="4" t="s">
        <v>31</v>
      </c>
      <c r="W4" s="15">
        <f>K4</f>
        <v>765.16129032258061</v>
      </c>
      <c r="X4" s="15">
        <f t="shared" ref="X4:AA4" si="0">L4</f>
        <v>829.41935483870964</v>
      </c>
      <c r="Y4" s="15">
        <f t="shared" si="0"/>
        <v>808.67741935483878</v>
      </c>
      <c r="Z4" s="15">
        <f t="shared" si="0"/>
        <v>775.06451612903231</v>
      </c>
      <c r="AA4" s="15">
        <f t="shared" si="0"/>
        <v>786.35483870967744</v>
      </c>
    </row>
    <row r="5" spans="2:27" ht="19.8" customHeight="1" x14ac:dyDescent="0.3">
      <c r="B5" s="4" t="s">
        <v>6</v>
      </c>
      <c r="C5" s="11">
        <v>473.96774193548384</v>
      </c>
      <c r="D5" s="11">
        <v>553.80645161290317</v>
      </c>
      <c r="E5" s="11">
        <v>540.83870967741939</v>
      </c>
      <c r="F5" s="11">
        <v>520.09677419354841</v>
      </c>
      <c r="G5" s="11">
        <v>494.70967741935482</v>
      </c>
      <c r="K5" s="11"/>
      <c r="L5" s="11"/>
      <c r="M5" s="11"/>
      <c r="N5" s="11"/>
      <c r="O5" s="11"/>
      <c r="V5" s="4" t="s">
        <v>32</v>
      </c>
      <c r="W5" s="16">
        <f>+W4*7</f>
        <v>5356.1290322580644</v>
      </c>
      <c r="X5" s="16">
        <f t="shared" ref="X5:AA5" si="1">+X4*7</f>
        <v>5805.9354838709678</v>
      </c>
      <c r="Y5" s="16">
        <f t="shared" si="1"/>
        <v>5660.7419354838712</v>
      </c>
      <c r="Z5" s="16">
        <f t="shared" si="1"/>
        <v>5425.4516129032263</v>
      </c>
      <c r="AA5" s="16">
        <f t="shared" si="1"/>
        <v>5504.4838709677424</v>
      </c>
    </row>
    <row r="6" spans="2:27" ht="19.8" customHeight="1" x14ac:dyDescent="0.3">
      <c r="B6" s="4" t="s">
        <v>7</v>
      </c>
      <c r="C6" s="11">
        <v>215.74193548387098</v>
      </c>
      <c r="D6" s="11">
        <v>193.87096774193549</v>
      </c>
      <c r="E6" s="11">
        <v>199.2258064516129</v>
      </c>
      <c r="F6" s="11">
        <v>188</v>
      </c>
      <c r="G6" s="11">
        <v>212.35483870967741</v>
      </c>
      <c r="K6" s="11"/>
      <c r="L6" s="11"/>
      <c r="M6" s="11"/>
      <c r="N6" s="11"/>
      <c r="O6" s="11"/>
      <c r="V6" s="4" t="s">
        <v>56</v>
      </c>
      <c r="W6" s="16">
        <f>+W4*365</f>
        <v>279283.87096774194</v>
      </c>
      <c r="X6" s="16">
        <f t="shared" ref="X6:AA6" si="2">+X4*365</f>
        <v>302738.06451612903</v>
      </c>
      <c r="Y6" s="16">
        <f t="shared" si="2"/>
        <v>295167.25806451618</v>
      </c>
      <c r="Z6" s="16">
        <f t="shared" si="2"/>
        <v>282898.54838709679</v>
      </c>
      <c r="AA6" s="16">
        <f t="shared" si="2"/>
        <v>287019.51612903224</v>
      </c>
    </row>
    <row r="8" spans="2:27" ht="19.8" customHeight="1" x14ac:dyDescent="0.3">
      <c r="B8" s="4" t="s">
        <v>23</v>
      </c>
      <c r="J8" s="4" t="s">
        <v>23</v>
      </c>
      <c r="R8" s="4" t="s">
        <v>23</v>
      </c>
      <c r="V8" s="4" t="s">
        <v>23</v>
      </c>
    </row>
    <row r="9" spans="2:27" ht="19.8" customHeight="1" x14ac:dyDescent="0.3">
      <c r="B9" s="4" t="s">
        <v>1</v>
      </c>
      <c r="C9" s="4" t="s">
        <v>5</v>
      </c>
      <c r="D9" s="4" t="s">
        <v>8</v>
      </c>
      <c r="E9" s="4" t="s">
        <v>9</v>
      </c>
      <c r="F9" s="4" t="s">
        <v>10</v>
      </c>
      <c r="G9" s="4" t="s">
        <v>11</v>
      </c>
      <c r="J9" s="4" t="s">
        <v>1</v>
      </c>
      <c r="K9" s="4" t="s">
        <v>5</v>
      </c>
      <c r="L9" s="4" t="s">
        <v>8</v>
      </c>
      <c r="M9" s="4" t="s">
        <v>9</v>
      </c>
      <c r="N9" s="4" t="s">
        <v>10</v>
      </c>
      <c r="O9" s="4" t="s">
        <v>11</v>
      </c>
      <c r="R9" s="4" t="s">
        <v>1</v>
      </c>
      <c r="S9" s="4" t="s">
        <v>26</v>
      </c>
      <c r="V9" s="4" t="s">
        <v>1</v>
      </c>
      <c r="W9" s="4" t="s">
        <v>5</v>
      </c>
      <c r="X9" s="4" t="s">
        <v>8</v>
      </c>
      <c r="Y9" s="4" t="s">
        <v>9</v>
      </c>
      <c r="Z9" s="4" t="s">
        <v>10</v>
      </c>
      <c r="AA9" s="4" t="s">
        <v>11</v>
      </c>
    </row>
    <row r="10" spans="2:27" ht="19.8" customHeight="1" x14ac:dyDescent="0.3">
      <c r="B10" s="4" t="s">
        <v>4</v>
      </c>
      <c r="C10" s="11">
        <v>25.393469708768752</v>
      </c>
      <c r="D10" s="11">
        <v>26.512282901345916</v>
      </c>
      <c r="E10" s="11">
        <v>27.541964953626017</v>
      </c>
      <c r="F10" s="11">
        <v>25.93102994977221</v>
      </c>
      <c r="G10" s="11">
        <v>27.747936335224708</v>
      </c>
      <c r="J10" s="4" t="s">
        <v>25</v>
      </c>
      <c r="K10" s="11">
        <f>SQRT(C10^2+C11^2+C12^2)</f>
        <v>173.27384448352836</v>
      </c>
      <c r="L10" s="11">
        <f>SQRT(D10^2+D11^2+D12^2)</f>
        <v>140.26130660703765</v>
      </c>
      <c r="M10" s="11">
        <f>SQRT(E10^2+E11^2+E12^2)</f>
        <v>179.83980037279554</v>
      </c>
      <c r="N10" s="11">
        <f>SQRT(F10^2+F11^2+F12^2)</f>
        <v>165.45749648341666</v>
      </c>
      <c r="O10" s="11">
        <f>SQRT(G10^2+G11^2+G12^2)</f>
        <v>179.35510559274641</v>
      </c>
      <c r="R10" s="4" t="s">
        <v>25</v>
      </c>
      <c r="S10" s="13">
        <f>SQRT(K10^2+L10^2+M10^2+N10^2+O10^2)</f>
        <v>376.27629496965045</v>
      </c>
      <c r="V10" s="4" t="s">
        <v>31</v>
      </c>
      <c r="W10" s="11">
        <f>+K10</f>
        <v>173.27384448352836</v>
      </c>
      <c r="X10" s="11">
        <f t="shared" ref="X10:AA10" si="3">+L10</f>
        <v>140.26130660703765</v>
      </c>
      <c r="Y10" s="11">
        <f t="shared" si="3"/>
        <v>179.83980037279554</v>
      </c>
      <c r="Z10" s="11">
        <f t="shared" si="3"/>
        <v>165.45749648341666</v>
      </c>
      <c r="AA10" s="11">
        <f t="shared" si="3"/>
        <v>179.35510559274641</v>
      </c>
    </row>
    <row r="11" spans="2:27" ht="19.8" customHeight="1" x14ac:dyDescent="0.3">
      <c r="B11" s="4" t="s">
        <v>6</v>
      </c>
      <c r="C11" s="11">
        <v>164.50188426628799</v>
      </c>
      <c r="D11" s="11">
        <v>126.2530534552087</v>
      </c>
      <c r="E11" s="11">
        <v>167.20995046294027</v>
      </c>
      <c r="F11" s="11">
        <v>152.84619189463291</v>
      </c>
      <c r="G11" s="11">
        <v>167.49235775505565</v>
      </c>
      <c r="K11" s="11"/>
      <c r="L11" s="11"/>
      <c r="M11" s="11"/>
      <c r="N11" s="11"/>
      <c r="O11" s="11"/>
      <c r="V11" s="4" t="s">
        <v>32</v>
      </c>
      <c r="W11" s="11">
        <f>SQRT(W10^2*7)</f>
        <v>458.43950121549716</v>
      </c>
      <c r="X11" s="11">
        <f t="shared" ref="X11:AA11" si="4">SQRT(X10^2*7)</f>
        <v>371.0965358472024</v>
      </c>
      <c r="Y11" s="11">
        <f t="shared" si="4"/>
        <v>475.81138761791806</v>
      </c>
      <c r="Z11" s="11">
        <f t="shared" si="4"/>
        <v>437.75938824646448</v>
      </c>
      <c r="AA11" s="11">
        <f t="shared" si="4"/>
        <v>474.52900576813687</v>
      </c>
    </row>
    <row r="12" spans="2:27" ht="19.8" customHeight="1" x14ac:dyDescent="0.3">
      <c r="B12" s="4" t="s">
        <v>7</v>
      </c>
      <c r="C12" s="11">
        <v>48.146930858494102</v>
      </c>
      <c r="D12" s="11">
        <v>55.04997256773737</v>
      </c>
      <c r="E12" s="11">
        <v>60.204870490694098</v>
      </c>
      <c r="F12" s="11">
        <v>57.808359703531664</v>
      </c>
      <c r="G12" s="11">
        <v>57.83265535122856</v>
      </c>
      <c r="K12" s="11"/>
      <c r="L12" s="11"/>
      <c r="M12" s="11"/>
      <c r="N12" s="11"/>
      <c r="O12" s="11"/>
      <c r="V12" s="4" t="s">
        <v>56</v>
      </c>
      <c r="W12" s="11">
        <f>SQRT(W10^2*365)</f>
        <v>3310.3921507077102</v>
      </c>
      <c r="X12" s="11">
        <f t="shared" ref="X12:AA12" si="5">SQRT(X10^2*365)</f>
        <v>2679.6885001537776</v>
      </c>
      <c r="Y12" s="11">
        <f t="shared" si="5"/>
        <v>3435.834561837391</v>
      </c>
      <c r="Z12" s="11">
        <f t="shared" si="5"/>
        <v>3161.0610318426852</v>
      </c>
      <c r="AA12" s="11">
        <f t="shared" si="5"/>
        <v>3426.5744810667115</v>
      </c>
    </row>
    <row r="15" spans="2:27" ht="19.8" customHeight="1" x14ac:dyDescent="0.3">
      <c r="B15" s="4" t="s">
        <v>24</v>
      </c>
      <c r="J15" s="4" t="s">
        <v>24</v>
      </c>
      <c r="R15" s="4" t="s">
        <v>24</v>
      </c>
      <c r="V15" s="4" t="s">
        <v>24</v>
      </c>
    </row>
    <row r="16" spans="2:27" ht="19.8" customHeight="1" x14ac:dyDescent="0.3">
      <c r="B16" s="4" t="s">
        <v>1</v>
      </c>
      <c r="C16" s="4" t="s">
        <v>5</v>
      </c>
      <c r="D16" s="4" t="s">
        <v>8</v>
      </c>
      <c r="E16" s="4" t="s">
        <v>9</v>
      </c>
      <c r="F16" s="4" t="s">
        <v>10</v>
      </c>
      <c r="G16" s="4" t="s">
        <v>11</v>
      </c>
      <c r="J16" s="4" t="s">
        <v>1</v>
      </c>
      <c r="K16" s="4" t="s">
        <v>5</v>
      </c>
      <c r="L16" s="4" t="s">
        <v>8</v>
      </c>
      <c r="M16" s="4" t="s">
        <v>9</v>
      </c>
      <c r="N16" s="4" t="s">
        <v>10</v>
      </c>
      <c r="O16" s="4" t="s">
        <v>11</v>
      </c>
      <c r="R16" s="4" t="s">
        <v>1</v>
      </c>
      <c r="S16" s="4" t="s">
        <v>26</v>
      </c>
      <c r="V16" s="4" t="s">
        <v>1</v>
      </c>
      <c r="W16" s="4" t="s">
        <v>5</v>
      </c>
      <c r="X16" s="4" t="s">
        <v>8</v>
      </c>
      <c r="Y16" s="4" t="s">
        <v>9</v>
      </c>
      <c r="Z16" s="4" t="s">
        <v>10</v>
      </c>
      <c r="AA16" s="4" t="s">
        <v>11</v>
      </c>
    </row>
    <row r="17" spans="2:27" ht="19.8" customHeight="1" x14ac:dyDescent="0.3">
      <c r="B17" s="4" t="s">
        <v>4</v>
      </c>
      <c r="C17" s="12">
        <f>C10/C4</f>
        <v>0.33655304017607152</v>
      </c>
      <c r="D17" s="12">
        <f t="shared" ref="D17:G17" si="6">D10/D4</f>
        <v>0.32434126674890429</v>
      </c>
      <c r="E17" s="12">
        <f t="shared" si="6"/>
        <v>0.40141086674302145</v>
      </c>
      <c r="F17" s="12">
        <f t="shared" si="6"/>
        <v>0.38721672853706091</v>
      </c>
      <c r="G17" s="12">
        <f t="shared" si="6"/>
        <v>0.34995363156711384</v>
      </c>
      <c r="J17" s="4" t="s">
        <v>25</v>
      </c>
      <c r="K17" s="12">
        <f>K10/K4</f>
        <v>0.22645401260494855</v>
      </c>
      <c r="L17" s="12">
        <f t="shared" ref="L17:O17" si="7">L10/L4</f>
        <v>0.16910782921663689</v>
      </c>
      <c r="M17" s="12">
        <f t="shared" si="7"/>
        <v>0.2223875627889689</v>
      </c>
      <c r="N17" s="12">
        <f t="shared" si="7"/>
        <v>0.2134757727134439</v>
      </c>
      <c r="O17" s="12">
        <f t="shared" si="7"/>
        <v>0.22808418892296586</v>
      </c>
      <c r="R17" s="4" t="s">
        <v>25</v>
      </c>
      <c r="S17" s="14">
        <f>S10/S4</f>
        <v>9.4907165241928035E-2</v>
      </c>
      <c r="V17" s="4" t="s">
        <v>31</v>
      </c>
      <c r="W17" s="12">
        <f>W10/W4</f>
        <v>0.22645401260494855</v>
      </c>
      <c r="X17" s="12">
        <f t="shared" ref="X17:AA17" si="8">X10/X4</f>
        <v>0.16910782921663689</v>
      </c>
      <c r="Y17" s="12">
        <f t="shared" si="8"/>
        <v>0.2223875627889689</v>
      </c>
      <c r="Z17" s="12">
        <f t="shared" si="8"/>
        <v>0.2134757727134439</v>
      </c>
      <c r="AA17" s="12">
        <f t="shared" si="8"/>
        <v>0.22808418892296586</v>
      </c>
    </row>
    <row r="18" spans="2:27" ht="19.8" customHeight="1" x14ac:dyDescent="0.3">
      <c r="B18" s="4" t="s">
        <v>6</v>
      </c>
      <c r="C18" s="12">
        <f t="shared" ref="C18:G19" si="9">C11/C5</f>
        <v>0.34707400886510092</v>
      </c>
      <c r="D18" s="12">
        <f t="shared" si="9"/>
        <v>0.2279732442399505</v>
      </c>
      <c r="E18" s="12">
        <f t="shared" si="9"/>
        <v>0.30916786737153451</v>
      </c>
      <c r="F18" s="12">
        <f t="shared" si="9"/>
        <v>0.29388029205071142</v>
      </c>
      <c r="G18" s="12">
        <f t="shared" si="9"/>
        <v>0.33856697250956735</v>
      </c>
      <c r="K18" s="12"/>
      <c r="L18" s="12"/>
      <c r="M18" s="12"/>
      <c r="N18" s="12"/>
      <c r="O18" s="12"/>
      <c r="V18" s="4" t="s">
        <v>32</v>
      </c>
      <c r="W18" s="12">
        <f t="shared" ref="W18:AA18" si="10">W11/W5</f>
        <v>8.5591571535054284E-2</v>
      </c>
      <c r="X18" s="12">
        <f t="shared" si="10"/>
        <v>6.3916751551600551E-2</v>
      </c>
      <c r="Y18" s="12">
        <f t="shared" si="10"/>
        <v>8.4054597973339071E-2</v>
      </c>
      <c r="Z18" s="12">
        <f t="shared" si="10"/>
        <v>8.0686257933874378E-2</v>
      </c>
      <c r="AA18" s="12">
        <f t="shared" si="10"/>
        <v>8.62077202680058E-2</v>
      </c>
    </row>
    <row r="19" spans="2:27" ht="19.8" customHeight="1" x14ac:dyDescent="0.3">
      <c r="B19" s="4" t="s">
        <v>7</v>
      </c>
      <c r="C19" s="12">
        <f t="shared" si="9"/>
        <v>0.22316908741227828</v>
      </c>
      <c r="D19" s="12">
        <f t="shared" si="9"/>
        <v>0.28395160559065863</v>
      </c>
      <c r="E19" s="12">
        <f t="shared" si="9"/>
        <v>0.30219413620652802</v>
      </c>
      <c r="F19" s="12">
        <f t="shared" si="9"/>
        <v>0.30749127501878543</v>
      </c>
      <c r="G19" s="12">
        <f t="shared" si="9"/>
        <v>0.27233971075316504</v>
      </c>
      <c r="K19" s="12"/>
      <c r="L19" s="12"/>
      <c r="M19" s="12"/>
      <c r="N19" s="12"/>
      <c r="O19" s="12"/>
      <c r="V19" s="4" t="s">
        <v>56</v>
      </c>
      <c r="W19" s="17">
        <f t="shared" ref="W19:AA19" si="11">W12/W6</f>
        <v>1.1853144756397586E-2</v>
      </c>
      <c r="X19" s="17">
        <f t="shared" si="11"/>
        <v>8.8515083309288027E-3</v>
      </c>
      <c r="Y19" s="17">
        <f t="shared" si="11"/>
        <v>1.1640297045027953E-2</v>
      </c>
      <c r="Z19" s="17">
        <f t="shared" si="11"/>
        <v>1.1173832633164772E-2</v>
      </c>
      <c r="AA19" s="17">
        <f t="shared" si="11"/>
        <v>1.1938472084686617E-2</v>
      </c>
    </row>
    <row r="22" spans="2:27" ht="19.8" customHeight="1" x14ac:dyDescent="0.3">
      <c r="B22" s="4" t="s">
        <v>43</v>
      </c>
      <c r="C22" s="4">
        <v>5</v>
      </c>
      <c r="D22" s="4" t="s">
        <v>44</v>
      </c>
      <c r="J22" s="4" t="s">
        <v>43</v>
      </c>
      <c r="K22" s="4">
        <f>C22</f>
        <v>5</v>
      </c>
      <c r="L22" s="4" t="s">
        <v>44</v>
      </c>
      <c r="R22" s="4" t="s">
        <v>43</v>
      </c>
      <c r="S22" s="4">
        <v>5</v>
      </c>
      <c r="T22" s="4" t="s">
        <v>44</v>
      </c>
    </row>
    <row r="23" spans="2:27" ht="19.8" customHeight="1" x14ac:dyDescent="0.3">
      <c r="B23" s="4" t="s">
        <v>42</v>
      </c>
      <c r="C23" s="31">
        <v>0.99</v>
      </c>
      <c r="J23" s="4" t="s">
        <v>42</v>
      </c>
      <c r="K23" s="31">
        <f>C23</f>
        <v>0.99</v>
      </c>
      <c r="R23" s="4" t="s">
        <v>42</v>
      </c>
      <c r="S23" s="31">
        <f>+C23</f>
        <v>0.99</v>
      </c>
    </row>
    <row r="24" spans="2:27" ht="19.8" customHeight="1" x14ac:dyDescent="0.3">
      <c r="B24" s="4" t="s">
        <v>45</v>
      </c>
      <c r="C24" s="14">
        <f>_xlfn.NORM.S.INV(C23)</f>
        <v>2.3263478740408408</v>
      </c>
      <c r="J24" s="4" t="s">
        <v>45</v>
      </c>
      <c r="K24" s="14">
        <f>_xlfn.NORM.S.INV(K23)</f>
        <v>2.3263478740408408</v>
      </c>
      <c r="R24" s="4" t="s">
        <v>45</v>
      </c>
      <c r="S24" s="14">
        <f>_xlfn.NORM.S.INV(S23)</f>
        <v>2.3263478740408408</v>
      </c>
    </row>
    <row r="25" spans="2:27" ht="19.8" customHeight="1" x14ac:dyDescent="0.3">
      <c r="C25" s="14"/>
    </row>
    <row r="26" spans="2:27" ht="19.8" customHeight="1" x14ac:dyDescent="0.3">
      <c r="B26" s="4" t="s">
        <v>1</v>
      </c>
      <c r="C26" s="4" t="s">
        <v>5</v>
      </c>
      <c r="D26" s="4" t="s">
        <v>8</v>
      </c>
      <c r="E26" s="4" t="s">
        <v>9</v>
      </c>
      <c r="F26" s="4" t="s">
        <v>10</v>
      </c>
      <c r="G26" s="4" t="s">
        <v>11</v>
      </c>
      <c r="H26" s="4" t="s">
        <v>46</v>
      </c>
      <c r="J26" s="4" t="s">
        <v>1</v>
      </c>
      <c r="K26" s="4" t="s">
        <v>5</v>
      </c>
      <c r="L26" s="4" t="s">
        <v>8</v>
      </c>
      <c r="M26" s="4" t="s">
        <v>9</v>
      </c>
      <c r="N26" s="4" t="s">
        <v>10</v>
      </c>
      <c r="O26" s="4" t="s">
        <v>11</v>
      </c>
      <c r="P26" s="4" t="s">
        <v>46</v>
      </c>
      <c r="R26" s="4" t="s">
        <v>1</v>
      </c>
      <c r="S26" s="4" t="s">
        <v>26</v>
      </c>
    </row>
    <row r="27" spans="2:27" ht="19.8" customHeight="1" x14ac:dyDescent="0.3">
      <c r="B27" s="4" t="s">
        <v>4</v>
      </c>
      <c r="C27" s="11">
        <f>$C$24*SQRT(C10^2*$C$22)</f>
        <v>132.09357869693886</v>
      </c>
      <c r="D27" s="11">
        <f t="shared" ref="D27:G27" si="12">$C$24*SQRT(D10^2*$C$22)</f>
        <v>137.91350170060116</v>
      </c>
      <c r="E27" s="11">
        <f t="shared" si="12"/>
        <v>143.26977592250157</v>
      </c>
      <c r="F27" s="11">
        <f t="shared" si="12"/>
        <v>134.88989825522339</v>
      </c>
      <c r="G27" s="11">
        <f t="shared" si="12"/>
        <v>144.34121268228901</v>
      </c>
      <c r="H27" s="13">
        <f>SUM(C27:G27)</f>
        <v>692.50796725755401</v>
      </c>
      <c r="I27" s="13"/>
      <c r="J27" s="4" t="s">
        <v>25</v>
      </c>
      <c r="K27" s="11">
        <f>$K$24*SQRT(K10^2*$K$22)</f>
        <v>901.34835746776264</v>
      </c>
      <c r="L27" s="11">
        <f t="shared" ref="L27:O27" si="13">$K$24*SQRT(L10^2*$K$22)</f>
        <v>729.62136151226036</v>
      </c>
      <c r="M27" s="11">
        <f t="shared" si="13"/>
        <v>935.50361946726957</v>
      </c>
      <c r="N27" s="11">
        <f t="shared" si="13"/>
        <v>860.68871577575374</v>
      </c>
      <c r="O27" s="11">
        <f t="shared" si="13"/>
        <v>932.98229926933288</v>
      </c>
      <c r="P27" s="13">
        <f>SUM(K27:O27)</f>
        <v>4360.1443534923792</v>
      </c>
      <c r="Q27" s="13"/>
      <c r="R27" s="4" t="s">
        <v>25</v>
      </c>
      <c r="S27" s="11">
        <f>S24*SQRT(S10^2*$S$22)</f>
        <v>1957.3411176733623</v>
      </c>
      <c r="T27" s="11"/>
      <c r="U27" s="11"/>
      <c r="V27" s="11"/>
      <c r="W27" s="11"/>
      <c r="X27" s="13"/>
    </row>
    <row r="28" spans="2:27" ht="19.8" customHeight="1" x14ac:dyDescent="0.3">
      <c r="B28" s="4" t="s">
        <v>6</v>
      </c>
      <c r="C28" s="11">
        <f t="shared" ref="C28:C29" si="14">$C$24*SQRT(C11^2*$C$22)</f>
        <v>855.71774335431064</v>
      </c>
      <c r="D28" s="11">
        <f t="shared" ref="D28:G28" si="15">$C$24*SQRT(D11^2*$C$22)</f>
        <v>656.75222187362374</v>
      </c>
      <c r="E28" s="11">
        <f t="shared" si="15"/>
        <v>869.80475703800903</v>
      </c>
      <c r="F28" s="11">
        <f t="shared" si="15"/>
        <v>795.08632373264049</v>
      </c>
      <c r="G28" s="11">
        <f t="shared" si="15"/>
        <v>871.27380361941232</v>
      </c>
      <c r="H28" s="13">
        <f>SUM(C28:G28)</f>
        <v>4048.6348496179962</v>
      </c>
      <c r="I28" s="13"/>
      <c r="P28" s="32">
        <f>+P27/H30-1</f>
        <v>-0.29592051525248897</v>
      </c>
      <c r="S28" s="32">
        <f>+S27/H30-1</f>
        <v>-0.68392704142863259</v>
      </c>
    </row>
    <row r="29" spans="2:27" ht="19.8" customHeight="1" x14ac:dyDescent="0.3">
      <c r="B29" s="4" t="s">
        <v>7</v>
      </c>
      <c r="C29" s="11">
        <f t="shared" si="14"/>
        <v>250.4541708286676</v>
      </c>
      <c r="D29" s="11">
        <f t="shared" ref="D29:G29" si="16">$C$24*SQRT(D12^2*$C$22)</f>
        <v>286.36291011187399</v>
      </c>
      <c r="E29" s="11">
        <f t="shared" si="16"/>
        <v>313.17802920627787</v>
      </c>
      <c r="F29" s="11">
        <f t="shared" si="16"/>
        <v>300.71168687918777</v>
      </c>
      <c r="G29" s="11">
        <f t="shared" si="16"/>
        <v>300.83806972831593</v>
      </c>
      <c r="H29" s="13">
        <f>SUM(C29:G29)</f>
        <v>1451.5448667543233</v>
      </c>
      <c r="I29" s="13"/>
      <c r="S29" s="32">
        <f>S27/P27-1</f>
        <v>-0.55108341399165472</v>
      </c>
    </row>
    <row r="30" spans="2:27" ht="19.8" customHeight="1" x14ac:dyDescent="0.3">
      <c r="H30" s="13">
        <f>SUM(H27:H29)</f>
        <v>6192.6876836298734</v>
      </c>
      <c r="I30" s="13"/>
    </row>
    <row r="34" spans="9:9" ht="19.8" customHeight="1" x14ac:dyDescent="0.3">
      <c r="I34" s="1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CaseStudy</vt:lpstr>
      <vt:lpstr>Data</vt:lpstr>
      <vt:lpstr>Pivot</vt:lpstr>
      <vt:lpstr>SKU</vt:lpstr>
      <vt:lpstr>Location</vt:lpstr>
      <vt:lpstr>Time</vt:lpstr>
      <vt:lpstr>Solution</vt:lpstr>
      <vt:lpstr>CaseStudy!Print_Area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Gauba</dc:creator>
  <cp:lastModifiedBy>Mohit Gauba</cp:lastModifiedBy>
  <cp:lastPrinted>2025-12-06T11:42:17Z</cp:lastPrinted>
  <dcterms:created xsi:type="dcterms:W3CDTF">2024-11-19T12:19:18Z</dcterms:created>
  <dcterms:modified xsi:type="dcterms:W3CDTF">2026-02-16T08:01:49Z</dcterms:modified>
</cp:coreProperties>
</file>